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zhang\Desktop\12564\原始数据\"/>
    </mc:Choice>
  </mc:AlternateContent>
  <xr:revisionPtr revIDLastSave="0" documentId="13_ncr:1_{71BB4B77-CE46-4448-A2ED-474DC1867FE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pyx point" sheetId="2" r:id="rId1"/>
    <sheet name="pyx line epma" sheetId="1" r:id="rId2"/>
    <sheet name="msk" sheetId="5" r:id="rId3"/>
    <sheet name="phosphates" sheetId="7" r:id="rId4"/>
    <sheet name="Fe-Ti Ox and fO2" sheetId="8" r:id="rId5"/>
    <sheet name="sulfide" sheetId="9" r:id="rId6"/>
    <sheet name="fayalite" sheetId="10" r:id="rId7"/>
  </sheets>
  <definedNames>
    <definedName name="_xlnm._FilterDatabase" localSheetId="0" hidden="1">'pyx point'!$T$2:$T$69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74" i="1" l="1"/>
  <c r="Q274" i="1"/>
  <c r="P274" i="1"/>
  <c r="R273" i="1"/>
  <c r="Q273" i="1"/>
  <c r="P273" i="1"/>
  <c r="T273" i="1" s="1"/>
  <c r="R272" i="1"/>
  <c r="Q272" i="1"/>
  <c r="P272" i="1"/>
  <c r="R271" i="1"/>
  <c r="Q271" i="1"/>
  <c r="P271" i="1"/>
  <c r="R270" i="1"/>
  <c r="Q270" i="1"/>
  <c r="P270" i="1"/>
  <c r="R269" i="1"/>
  <c r="U269" i="1" s="1"/>
  <c r="Q269" i="1"/>
  <c r="S269" i="1" s="1"/>
  <c r="P269" i="1"/>
  <c r="R268" i="1"/>
  <c r="Q268" i="1"/>
  <c r="P268" i="1"/>
  <c r="R267" i="1"/>
  <c r="Q267" i="1"/>
  <c r="P267" i="1"/>
  <c r="R266" i="1"/>
  <c r="Q266" i="1"/>
  <c r="P266" i="1"/>
  <c r="R265" i="1"/>
  <c r="Q265" i="1"/>
  <c r="P265" i="1"/>
  <c r="R264" i="1"/>
  <c r="Q264" i="1"/>
  <c r="S264" i="1" s="1"/>
  <c r="P264" i="1"/>
  <c r="R263" i="1"/>
  <c r="Q263" i="1"/>
  <c r="P263" i="1"/>
  <c r="R262" i="1"/>
  <c r="Q262" i="1"/>
  <c r="P262" i="1"/>
  <c r="R261" i="1"/>
  <c r="V261" i="1" s="1"/>
  <c r="Q261" i="1"/>
  <c r="P261" i="1"/>
  <c r="R260" i="1"/>
  <c r="Q260" i="1"/>
  <c r="P260" i="1"/>
  <c r="R259" i="1"/>
  <c r="U259" i="1" s="1"/>
  <c r="Q259" i="1"/>
  <c r="P259" i="1"/>
  <c r="R258" i="1"/>
  <c r="Q258" i="1"/>
  <c r="P258" i="1"/>
  <c r="R257" i="1"/>
  <c r="Q257" i="1"/>
  <c r="P257" i="1"/>
  <c r="R256" i="1"/>
  <c r="Q256" i="1"/>
  <c r="P256" i="1"/>
  <c r="R255" i="1"/>
  <c r="Q255" i="1"/>
  <c r="P255" i="1"/>
  <c r="R254" i="1"/>
  <c r="Q254" i="1"/>
  <c r="P254" i="1"/>
  <c r="R253" i="1"/>
  <c r="Q253" i="1"/>
  <c r="P253" i="1"/>
  <c r="R252" i="1"/>
  <c r="Q252" i="1"/>
  <c r="V252" i="1" s="1"/>
  <c r="P252" i="1"/>
  <c r="R251" i="1"/>
  <c r="Q251" i="1"/>
  <c r="P251" i="1"/>
  <c r="R250" i="1"/>
  <c r="Q250" i="1"/>
  <c r="P250" i="1"/>
  <c r="S250" i="1" s="1"/>
  <c r="R249" i="1"/>
  <c r="Q249" i="1"/>
  <c r="P249" i="1"/>
  <c r="R248" i="1"/>
  <c r="Q248" i="1"/>
  <c r="P248" i="1"/>
  <c r="R247" i="1"/>
  <c r="Q247" i="1"/>
  <c r="P247" i="1"/>
  <c r="U247" i="1" s="1"/>
  <c r="R246" i="1"/>
  <c r="Q246" i="1"/>
  <c r="P246" i="1"/>
  <c r="R245" i="1"/>
  <c r="Q245" i="1"/>
  <c r="P245" i="1"/>
  <c r="I74" i="8"/>
  <c r="I75" i="8"/>
  <c r="J75" i="8"/>
  <c r="J74" i="8"/>
  <c r="D30" i="8"/>
  <c r="H29" i="8"/>
  <c r="G29" i="8"/>
  <c r="F29" i="8"/>
  <c r="F30" i="8" s="1"/>
  <c r="E29" i="8"/>
  <c r="E30" i="8" s="1"/>
  <c r="D29" i="8"/>
  <c r="C29" i="8"/>
  <c r="C31" i="8" s="1"/>
  <c r="B29" i="8"/>
  <c r="H28" i="8"/>
  <c r="G28" i="8"/>
  <c r="F28" i="8"/>
  <c r="E28" i="8"/>
  <c r="D28" i="8"/>
  <c r="C28" i="8"/>
  <c r="B28" i="8"/>
  <c r="H27" i="8"/>
  <c r="G27" i="8"/>
  <c r="F27" i="8"/>
  <c r="E27" i="8"/>
  <c r="D27" i="8"/>
  <c r="C27" i="8"/>
  <c r="B27" i="8"/>
  <c r="AQ32" i="10"/>
  <c r="AP32" i="10"/>
  <c r="R32" i="10"/>
  <c r="Q32" i="10"/>
  <c r="V32" i="10" s="1"/>
  <c r="P32" i="10"/>
  <c r="AQ31" i="10"/>
  <c r="AP31" i="10"/>
  <c r="R31" i="10"/>
  <c r="Q31" i="10"/>
  <c r="P31" i="10"/>
  <c r="AQ30" i="10"/>
  <c r="AP30" i="10"/>
  <c r="R30" i="10"/>
  <c r="Q30" i="10"/>
  <c r="P30" i="10"/>
  <c r="W30" i="10" s="1"/>
  <c r="AQ29" i="10"/>
  <c r="AP29" i="10"/>
  <c r="W29" i="10"/>
  <c r="U29" i="10"/>
  <c r="R29" i="10"/>
  <c r="Q29" i="10"/>
  <c r="V29" i="10" s="1"/>
  <c r="P29" i="10"/>
  <c r="S29" i="10" s="1"/>
  <c r="AQ28" i="10"/>
  <c r="AP28" i="10"/>
  <c r="R28" i="10"/>
  <c r="Q28" i="10"/>
  <c r="P28" i="10"/>
  <c r="W28" i="10" s="1"/>
  <c r="AQ27" i="10"/>
  <c r="AP27" i="10"/>
  <c r="R27" i="10"/>
  <c r="Q27" i="10"/>
  <c r="P27" i="10"/>
  <c r="S27" i="10" s="1"/>
  <c r="AQ26" i="10"/>
  <c r="AP26" i="10"/>
  <c r="R26" i="10"/>
  <c r="Q26" i="10"/>
  <c r="P26" i="10"/>
  <c r="W26" i="10" s="1"/>
  <c r="AQ25" i="10"/>
  <c r="AP25" i="10"/>
  <c r="R25" i="10"/>
  <c r="Q25" i="10"/>
  <c r="V25" i="10" s="1"/>
  <c r="P25" i="10"/>
  <c r="AQ24" i="10"/>
  <c r="AP24" i="10"/>
  <c r="R24" i="10"/>
  <c r="Q24" i="10"/>
  <c r="V24" i="10" s="1"/>
  <c r="P24" i="10"/>
  <c r="AQ23" i="10"/>
  <c r="AP23" i="10"/>
  <c r="R23" i="10"/>
  <c r="Q23" i="10"/>
  <c r="P23" i="10"/>
  <c r="W23" i="10" s="1"/>
  <c r="AQ22" i="10"/>
  <c r="AP22" i="10"/>
  <c r="W22" i="10"/>
  <c r="V22" i="10"/>
  <c r="U22" i="10"/>
  <c r="R22" i="10"/>
  <c r="Q22" i="10"/>
  <c r="P22" i="10"/>
  <c r="S22" i="10" s="1"/>
  <c r="AQ21" i="10"/>
  <c r="AP21" i="10"/>
  <c r="R21" i="10"/>
  <c r="Q21" i="10"/>
  <c r="V21" i="10" s="1"/>
  <c r="P21" i="10"/>
  <c r="AQ20" i="10"/>
  <c r="AP20" i="10"/>
  <c r="R20" i="10"/>
  <c r="Q20" i="10"/>
  <c r="V20" i="10" s="1"/>
  <c r="P20" i="10"/>
  <c r="AQ19" i="10"/>
  <c r="AP19" i="10"/>
  <c r="R19" i="10"/>
  <c r="Q19" i="10"/>
  <c r="V19" i="10" s="1"/>
  <c r="P19" i="10"/>
  <c r="AQ18" i="10"/>
  <c r="AP18" i="10"/>
  <c r="R18" i="10"/>
  <c r="Q18" i="10"/>
  <c r="V18" i="10" s="1"/>
  <c r="P18" i="10"/>
  <c r="AQ17" i="10"/>
  <c r="AP17" i="10"/>
  <c r="R17" i="10"/>
  <c r="Q17" i="10"/>
  <c r="V17" i="10" s="1"/>
  <c r="P17" i="10"/>
  <c r="AQ16" i="10"/>
  <c r="AP16" i="10"/>
  <c r="R16" i="10"/>
  <c r="Q16" i="10"/>
  <c r="P16" i="10"/>
  <c r="W16" i="10" s="1"/>
  <c r="AQ15" i="10"/>
  <c r="AP15" i="10"/>
  <c r="R15" i="10"/>
  <c r="Q15" i="10"/>
  <c r="S15" i="10" s="1"/>
  <c r="P15" i="10"/>
  <c r="AQ14" i="10"/>
  <c r="AP14" i="10"/>
  <c r="U14" i="10"/>
  <c r="R14" i="10"/>
  <c r="Q14" i="10"/>
  <c r="P14" i="10"/>
  <c r="W14" i="10" s="1"/>
  <c r="AQ13" i="10"/>
  <c r="AP13" i="10"/>
  <c r="R13" i="10"/>
  <c r="Q13" i="10"/>
  <c r="V13" i="10" s="1"/>
  <c r="P13" i="10"/>
  <c r="W13" i="10" s="1"/>
  <c r="AQ12" i="10"/>
  <c r="AP12" i="10"/>
  <c r="R12" i="10"/>
  <c r="Q12" i="10"/>
  <c r="P12" i="10"/>
  <c r="W12" i="10" s="1"/>
  <c r="AQ11" i="10"/>
  <c r="AP11" i="10"/>
  <c r="W11" i="10"/>
  <c r="R11" i="10"/>
  <c r="Q11" i="10"/>
  <c r="P11" i="10"/>
  <c r="S11" i="10" s="1"/>
  <c r="AQ10" i="10"/>
  <c r="AP10" i="10"/>
  <c r="R10" i="10"/>
  <c r="Q10" i="10"/>
  <c r="V10" i="10" s="1"/>
  <c r="P10" i="10"/>
  <c r="AQ9" i="10"/>
  <c r="AP9" i="10"/>
  <c r="R9" i="10"/>
  <c r="Q9" i="10"/>
  <c r="V9" i="10" s="1"/>
  <c r="P9" i="10"/>
  <c r="AQ8" i="10"/>
  <c r="AP8" i="10"/>
  <c r="R8" i="10"/>
  <c r="Q8" i="10"/>
  <c r="V8" i="10" s="1"/>
  <c r="P8" i="10"/>
  <c r="AQ7" i="10"/>
  <c r="AP7" i="10"/>
  <c r="R7" i="10"/>
  <c r="Q7" i="10"/>
  <c r="P7" i="10"/>
  <c r="W7" i="10" s="1"/>
  <c r="AQ6" i="10"/>
  <c r="AP6" i="10"/>
  <c r="W6" i="10"/>
  <c r="R6" i="10"/>
  <c r="Q6" i="10"/>
  <c r="V6" i="10" s="1"/>
  <c r="P6" i="10"/>
  <c r="AQ5" i="10"/>
  <c r="AP5" i="10"/>
  <c r="R5" i="10"/>
  <c r="Q5" i="10"/>
  <c r="P5" i="10"/>
  <c r="S5" i="10" s="1"/>
  <c r="AQ4" i="10"/>
  <c r="AP4" i="10"/>
  <c r="W4" i="10"/>
  <c r="R4" i="10"/>
  <c r="Q4" i="10"/>
  <c r="V4" i="10" s="1"/>
  <c r="P4" i="10"/>
  <c r="S4" i="10" s="1"/>
  <c r="AQ3" i="10"/>
  <c r="AP3" i="10"/>
  <c r="R3" i="10"/>
  <c r="Q3" i="10"/>
  <c r="P3" i="10"/>
  <c r="W3" i="10" s="1"/>
  <c r="AQ2" i="10"/>
  <c r="AP2" i="10"/>
  <c r="R2" i="10"/>
  <c r="Q2" i="10"/>
  <c r="P2" i="10"/>
  <c r="W2" i="10" s="1"/>
  <c r="U271" i="1" l="1"/>
  <c r="T268" i="1"/>
  <c r="U261" i="1"/>
  <c r="U266" i="1"/>
  <c r="T257" i="1"/>
  <c r="U262" i="1"/>
  <c r="S258" i="1"/>
  <c r="U263" i="1"/>
  <c r="V248" i="1"/>
  <c r="U254" i="1"/>
  <c r="T260" i="1"/>
  <c r="T270" i="1"/>
  <c r="U245" i="1"/>
  <c r="T261" i="1"/>
  <c r="S266" i="1"/>
  <c r="T246" i="1"/>
  <c r="T252" i="1"/>
  <c r="U252" i="1"/>
  <c r="U272" i="1"/>
  <c r="U257" i="1"/>
  <c r="V253" i="1"/>
  <c r="V268" i="1"/>
  <c r="T259" i="1"/>
  <c r="U268" i="1"/>
  <c r="T254" i="1"/>
  <c r="T274" i="1"/>
  <c r="S249" i="1"/>
  <c r="V254" i="1"/>
  <c r="T255" i="1"/>
  <c r="U255" i="1"/>
  <c r="V270" i="1"/>
  <c r="U270" i="1"/>
  <c r="U256" i="1"/>
  <c r="S251" i="1"/>
  <c r="V266" i="1"/>
  <c r="V273" i="1"/>
  <c r="U273" i="1"/>
  <c r="S247" i="1"/>
  <c r="V259" i="1"/>
  <c r="V262" i="1"/>
  <c r="V269" i="1"/>
  <c r="S274" i="1"/>
  <c r="V247" i="1"/>
  <c r="S259" i="1"/>
  <c r="T262" i="1"/>
  <c r="S267" i="1"/>
  <c r="U274" i="1"/>
  <c r="S252" i="1"/>
  <c r="V255" i="1"/>
  <c r="U267" i="1"/>
  <c r="S248" i="1"/>
  <c r="S263" i="1"/>
  <c r="U248" i="1"/>
  <c r="U251" i="1"/>
  <c r="S245" i="1"/>
  <c r="V263" i="1"/>
  <c r="T271" i="1"/>
  <c r="V256" i="1"/>
  <c r="V260" i="1"/>
  <c r="V264" i="1"/>
  <c r="S268" i="1"/>
  <c r="V271" i="1"/>
  <c r="T245" i="1"/>
  <c r="S260" i="1"/>
  <c r="U253" i="1"/>
  <c r="U264" i="1"/>
  <c r="V245" i="1"/>
  <c r="V250" i="1"/>
  <c r="S253" i="1"/>
  <c r="V257" i="1"/>
  <c r="S261" i="1"/>
  <c r="S265" i="1"/>
  <c r="T269" i="1"/>
  <c r="U246" i="1"/>
  <c r="U250" i="1"/>
  <c r="T253" i="1"/>
  <c r="V272" i="1"/>
  <c r="V246" i="1"/>
  <c r="T258" i="1"/>
  <c r="T249" i="1"/>
  <c r="V251" i="1"/>
  <c r="S256" i="1"/>
  <c r="U258" i="1"/>
  <c r="T265" i="1"/>
  <c r="V267" i="1"/>
  <c r="S272" i="1"/>
  <c r="U249" i="1"/>
  <c r="T256" i="1"/>
  <c r="V258" i="1"/>
  <c r="U265" i="1"/>
  <c r="T272" i="1"/>
  <c r="V274" i="1"/>
  <c r="T247" i="1"/>
  <c r="V249" i="1"/>
  <c r="S254" i="1"/>
  <c r="T263" i="1"/>
  <c r="V265" i="1"/>
  <c r="S270" i="1"/>
  <c r="T250" i="1"/>
  <c r="S257" i="1"/>
  <c r="T266" i="1"/>
  <c r="S273" i="1"/>
  <c r="T248" i="1"/>
  <c r="S255" i="1"/>
  <c r="T264" i="1"/>
  <c r="S271" i="1"/>
  <c r="S246" i="1"/>
  <c r="S262" i="1"/>
  <c r="T251" i="1"/>
  <c r="U260" i="1"/>
  <c r="T267" i="1"/>
  <c r="B31" i="8"/>
  <c r="B32" i="8" s="1"/>
  <c r="D31" i="8"/>
  <c r="G30" i="8"/>
  <c r="H30" i="8"/>
  <c r="B30" i="8"/>
  <c r="C30" i="8"/>
  <c r="G31" i="8"/>
  <c r="C32" i="8"/>
  <c r="D32" i="8"/>
  <c r="E31" i="8"/>
  <c r="E32" i="8" s="1"/>
  <c r="F31" i="8"/>
  <c r="F32" i="8" s="1"/>
  <c r="H31" i="8"/>
  <c r="H32" i="8" s="1"/>
  <c r="W25" i="10"/>
  <c r="U20" i="10"/>
  <c r="U5" i="10"/>
  <c r="V7" i="10"/>
  <c r="W10" i="10"/>
  <c r="S18" i="10"/>
  <c r="W20" i="10"/>
  <c r="V12" i="10"/>
  <c r="V28" i="10"/>
  <c r="S7" i="10"/>
  <c r="V23" i="10"/>
  <c r="S31" i="10"/>
  <c r="V5" i="10"/>
  <c r="V3" i="10"/>
  <c r="W5" i="10"/>
  <c r="U7" i="10"/>
  <c r="W18" i="10"/>
  <c r="W21" i="10"/>
  <c r="V26" i="10"/>
  <c r="V2" i="10"/>
  <c r="S23" i="10"/>
  <c r="S13" i="10"/>
  <c r="U13" i="10"/>
  <c r="U23" i="10"/>
  <c r="S8" i="10"/>
  <c r="U11" i="10"/>
  <c r="V16" i="10"/>
  <c r="W19" i="10"/>
  <c r="W32" i="10"/>
  <c r="V11" i="10"/>
  <c r="S16" i="10"/>
  <c r="S24" i="10"/>
  <c r="U27" i="10"/>
  <c r="S6" i="10"/>
  <c r="S32" i="10"/>
  <c r="U4" i="10"/>
  <c r="U6" i="10"/>
  <c r="V27" i="10"/>
  <c r="W9" i="10"/>
  <c r="W17" i="10"/>
  <c r="S20" i="10"/>
  <c r="W27" i="10"/>
  <c r="U15" i="10"/>
  <c r="U8" i="10"/>
  <c r="V15" i="10"/>
  <c r="S17" i="10"/>
  <c r="U24" i="10"/>
  <c r="V31" i="10"/>
  <c r="S10" i="10"/>
  <c r="W15" i="10"/>
  <c r="U17" i="10"/>
  <c r="S26" i="10"/>
  <c r="W31" i="10"/>
  <c r="W8" i="10"/>
  <c r="U10" i="10"/>
  <c r="S19" i="10"/>
  <c r="W24" i="10"/>
  <c r="U26" i="10"/>
  <c r="U3" i="10"/>
  <c r="S12" i="10"/>
  <c r="U19" i="10"/>
  <c r="S28" i="10"/>
  <c r="S3" i="10"/>
  <c r="U12" i="10"/>
  <c r="S21" i="10"/>
  <c r="U28" i="10"/>
  <c r="U31" i="10"/>
  <c r="S14" i="10"/>
  <c r="U21" i="10"/>
  <c r="S30" i="10"/>
  <c r="U30" i="10"/>
  <c r="V14" i="10"/>
  <c r="V30" i="10"/>
  <c r="S9" i="10"/>
  <c r="U16" i="10"/>
  <c r="S25" i="10"/>
  <c r="U32" i="10"/>
  <c r="S2" i="10"/>
  <c r="U9" i="10"/>
  <c r="U25" i="10"/>
  <c r="U2" i="10"/>
  <c r="U18" i="10"/>
  <c r="G32" i="8" l="1"/>
  <c r="AS48" i="7"/>
  <c r="AR48" i="7"/>
  <c r="AQ48" i="7"/>
  <c r="AH48" i="7"/>
  <c r="AI48" i="7" s="1"/>
  <c r="AS47" i="7"/>
  <c r="AR47" i="7"/>
  <c r="AQ47" i="7"/>
  <c r="AH47" i="7"/>
  <c r="AI47" i="7" s="1"/>
  <c r="AS46" i="7"/>
  <c r="AR46" i="7"/>
  <c r="AQ46" i="7"/>
  <c r="AH46" i="7"/>
  <c r="AI46" i="7" s="1"/>
  <c r="AS45" i="7"/>
  <c r="AR45" i="7"/>
  <c r="AQ45" i="7"/>
  <c r="AH45" i="7"/>
  <c r="AI45" i="7" s="1"/>
  <c r="AS44" i="7"/>
  <c r="AR44" i="7"/>
  <c r="AQ44" i="7"/>
  <c r="AH44" i="7"/>
  <c r="AI44" i="7" s="1"/>
  <c r="AS43" i="7"/>
  <c r="AR43" i="7"/>
  <c r="AQ43" i="7"/>
  <c r="AH43" i="7"/>
  <c r="AI43" i="7" s="1"/>
  <c r="AS42" i="7"/>
  <c r="AR42" i="7"/>
  <c r="AQ42" i="7"/>
  <c r="AH42" i="7"/>
  <c r="AI42" i="7" s="1"/>
  <c r="AS41" i="7"/>
  <c r="AR41" i="7"/>
  <c r="AQ41" i="7"/>
  <c r="AH41" i="7"/>
  <c r="AI41" i="7" s="1"/>
  <c r="AS40" i="7"/>
  <c r="AR40" i="7"/>
  <c r="AQ40" i="7"/>
  <c r="AH40" i="7"/>
  <c r="AI40" i="7" s="1"/>
  <c r="AS39" i="7"/>
  <c r="AR39" i="7"/>
  <c r="AQ39" i="7"/>
  <c r="AH39" i="7"/>
  <c r="AI39" i="7" s="1"/>
  <c r="AS38" i="7"/>
  <c r="AR38" i="7"/>
  <c r="AQ38" i="7"/>
  <c r="AH38" i="7"/>
  <c r="AI38" i="7" s="1"/>
  <c r="AS37" i="7"/>
  <c r="AR37" i="7"/>
  <c r="AQ37" i="7"/>
  <c r="AH37" i="7"/>
  <c r="AI37" i="7" s="1"/>
  <c r="AS36" i="7"/>
  <c r="AR36" i="7"/>
  <c r="AQ36" i="7"/>
  <c r="AH36" i="7"/>
  <c r="AI36" i="7" s="1"/>
  <c r="AS35" i="7"/>
  <c r="AR35" i="7"/>
  <c r="AQ35" i="7"/>
  <c r="AH35" i="7"/>
  <c r="AI35" i="7" s="1"/>
  <c r="AS34" i="7"/>
  <c r="AR34" i="7"/>
  <c r="AQ34" i="7"/>
  <c r="AH34" i="7"/>
  <c r="AI34" i="7" s="1"/>
  <c r="AS33" i="7"/>
  <c r="AR33" i="7"/>
  <c r="AQ33" i="7"/>
  <c r="AI33" i="7"/>
  <c r="AH33" i="7"/>
  <c r="AS32" i="7"/>
  <c r="AR32" i="7"/>
  <c r="AQ32" i="7"/>
  <c r="AH32" i="7"/>
  <c r="AI32" i="7" s="1"/>
  <c r="AS31" i="7"/>
  <c r="AR31" i="7"/>
  <c r="AQ31" i="7"/>
  <c r="AH31" i="7"/>
  <c r="AI31" i="7" s="1"/>
  <c r="AS30" i="7"/>
  <c r="AR30" i="7"/>
  <c r="AQ30" i="7"/>
  <c r="AH30" i="7"/>
  <c r="AI30" i="7" s="1"/>
  <c r="AS29" i="7"/>
  <c r="AR29" i="7"/>
  <c r="AQ29" i="7"/>
  <c r="AH29" i="7"/>
  <c r="AI29" i="7" s="1"/>
  <c r="AS28" i="7"/>
  <c r="AR28" i="7"/>
  <c r="AQ28" i="7"/>
  <c r="AH28" i="7"/>
  <c r="AI28" i="7" s="1"/>
  <c r="AS27" i="7"/>
  <c r="AR27" i="7"/>
  <c r="AQ27" i="7"/>
  <c r="AH27" i="7"/>
  <c r="AI27" i="7" s="1"/>
  <c r="AS26" i="7"/>
  <c r="AR26" i="7"/>
  <c r="AQ26" i="7"/>
  <c r="AH26" i="7"/>
  <c r="AI26" i="7" s="1"/>
  <c r="AS25" i="7"/>
  <c r="AR25" i="7"/>
  <c r="AQ25" i="7"/>
  <c r="AH25" i="7"/>
  <c r="AI25" i="7" s="1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M100" i="5"/>
  <c r="L100" i="5"/>
  <c r="K100" i="5"/>
  <c r="J100" i="5"/>
  <c r="I100" i="5"/>
  <c r="H100" i="5"/>
  <c r="O100" i="5" s="1"/>
  <c r="G100" i="5"/>
  <c r="Q100" i="5" s="1"/>
  <c r="F100" i="5"/>
  <c r="E100" i="5"/>
  <c r="D100" i="5"/>
  <c r="P100" i="5" s="1"/>
  <c r="U100" i="5" s="1"/>
  <c r="C100" i="5"/>
  <c r="B100" i="5"/>
  <c r="AH99" i="5"/>
  <c r="AG99" i="5"/>
  <c r="AF99" i="5"/>
  <c r="AE99" i="5"/>
  <c r="AD99" i="5"/>
  <c r="AC99" i="5"/>
  <c r="AB99" i="5"/>
  <c r="AA99" i="5"/>
  <c r="Z99" i="5"/>
  <c r="Y99" i="5"/>
  <c r="X99" i="5"/>
  <c r="W99" i="5"/>
  <c r="M99" i="5"/>
  <c r="L99" i="5"/>
  <c r="K99" i="5"/>
  <c r="J99" i="5"/>
  <c r="I99" i="5"/>
  <c r="H99" i="5"/>
  <c r="O99" i="5" s="1"/>
  <c r="G99" i="5"/>
  <c r="Q99" i="5" s="1"/>
  <c r="F99" i="5"/>
  <c r="E99" i="5"/>
  <c r="D99" i="5"/>
  <c r="P99" i="5" s="1"/>
  <c r="U99" i="5" s="1"/>
  <c r="C99" i="5"/>
  <c r="B99" i="5"/>
  <c r="AH98" i="5"/>
  <c r="AG98" i="5"/>
  <c r="AF98" i="5"/>
  <c r="AE98" i="5"/>
  <c r="AD98" i="5"/>
  <c r="AC98" i="5"/>
  <c r="AB98" i="5"/>
  <c r="AA98" i="5"/>
  <c r="Z98" i="5"/>
  <c r="Y98" i="5"/>
  <c r="X98" i="5"/>
  <c r="W98" i="5"/>
  <c r="M98" i="5"/>
  <c r="L98" i="5"/>
  <c r="K98" i="5"/>
  <c r="J98" i="5"/>
  <c r="I98" i="5"/>
  <c r="H98" i="5"/>
  <c r="O98" i="5" s="1"/>
  <c r="G98" i="5"/>
  <c r="Q98" i="5" s="1"/>
  <c r="F98" i="5"/>
  <c r="E98" i="5"/>
  <c r="D98" i="5"/>
  <c r="P98" i="5" s="1"/>
  <c r="U98" i="5" s="1"/>
  <c r="C98" i="5"/>
  <c r="B98" i="5"/>
  <c r="AI97" i="5"/>
  <c r="Q97" i="5"/>
  <c r="P97" i="5"/>
  <c r="O97" i="5"/>
  <c r="U97" i="5" s="1"/>
  <c r="AI96" i="5"/>
  <c r="U96" i="5"/>
  <c r="T96" i="5"/>
  <c r="S96" i="5"/>
  <c r="Q96" i="5"/>
  <c r="P96" i="5"/>
  <c r="O96" i="5"/>
  <c r="AI95" i="5"/>
  <c r="U95" i="5"/>
  <c r="T95" i="5"/>
  <c r="S95" i="5"/>
  <c r="Q95" i="5"/>
  <c r="P95" i="5"/>
  <c r="O95" i="5"/>
  <c r="AI94" i="5"/>
  <c r="Q94" i="5"/>
  <c r="P94" i="5"/>
  <c r="O94" i="5"/>
  <c r="S94" i="5" s="1"/>
  <c r="AI93" i="5"/>
  <c r="T93" i="5"/>
  <c r="Q93" i="5"/>
  <c r="P93" i="5"/>
  <c r="U93" i="5" s="1"/>
  <c r="O93" i="5"/>
  <c r="AI92" i="5"/>
  <c r="Q92" i="5"/>
  <c r="T92" i="5" s="1"/>
  <c r="P92" i="5"/>
  <c r="U92" i="5" s="1"/>
  <c r="O92" i="5"/>
  <c r="S92" i="5" s="1"/>
  <c r="AI91" i="5"/>
  <c r="U91" i="5"/>
  <c r="T91" i="5"/>
  <c r="Q91" i="5"/>
  <c r="S91" i="5" s="1"/>
  <c r="P91" i="5"/>
  <c r="O91" i="5"/>
  <c r="AI90" i="5"/>
  <c r="Q90" i="5"/>
  <c r="T90" i="5" s="1"/>
  <c r="P90" i="5"/>
  <c r="O90" i="5"/>
  <c r="AI89" i="5"/>
  <c r="Q89" i="5"/>
  <c r="S89" i="5" s="1"/>
  <c r="P89" i="5"/>
  <c r="O89" i="5"/>
  <c r="AI88" i="5"/>
  <c r="T88" i="5"/>
  <c r="Q88" i="5"/>
  <c r="P88" i="5"/>
  <c r="O88" i="5"/>
  <c r="U88" i="5" s="1"/>
  <c r="AH85" i="5"/>
  <c r="AG85" i="5"/>
  <c r="AF85" i="5"/>
  <c r="AE85" i="5"/>
  <c r="AD85" i="5"/>
  <c r="AC85" i="5"/>
  <c r="AB85" i="5"/>
  <c r="AA85" i="5"/>
  <c r="Z85" i="5"/>
  <c r="Y85" i="5"/>
  <c r="X85" i="5"/>
  <c r="W85" i="5"/>
  <c r="Q85" i="5"/>
  <c r="M85" i="5"/>
  <c r="L85" i="5"/>
  <c r="K85" i="5"/>
  <c r="J85" i="5"/>
  <c r="I85" i="5"/>
  <c r="H85" i="5"/>
  <c r="O85" i="5" s="1"/>
  <c r="S85" i="5" s="1"/>
  <c r="G85" i="5"/>
  <c r="F85" i="5"/>
  <c r="E85" i="5"/>
  <c r="D85" i="5"/>
  <c r="P85" i="5" s="1"/>
  <c r="C85" i="5"/>
  <c r="B85" i="5"/>
  <c r="AH84" i="5"/>
  <c r="AG84" i="5"/>
  <c r="AF84" i="5"/>
  <c r="AE84" i="5"/>
  <c r="AD84" i="5"/>
  <c r="AC84" i="5"/>
  <c r="AB84" i="5"/>
  <c r="AA84" i="5"/>
  <c r="Z84" i="5"/>
  <c r="Y84" i="5"/>
  <c r="X84" i="5"/>
  <c r="W84" i="5"/>
  <c r="M84" i="5"/>
  <c r="L84" i="5"/>
  <c r="K84" i="5"/>
  <c r="J84" i="5"/>
  <c r="I84" i="5"/>
  <c r="H84" i="5"/>
  <c r="O84" i="5" s="1"/>
  <c r="G84" i="5"/>
  <c r="Q84" i="5" s="1"/>
  <c r="F84" i="5"/>
  <c r="E84" i="5"/>
  <c r="D84" i="5"/>
  <c r="P84" i="5" s="1"/>
  <c r="C84" i="5"/>
  <c r="B84" i="5"/>
  <c r="AH83" i="5"/>
  <c r="AG83" i="5"/>
  <c r="AF83" i="5"/>
  <c r="AE83" i="5"/>
  <c r="AD83" i="5"/>
  <c r="AC83" i="5"/>
  <c r="AB83" i="5"/>
  <c r="AA83" i="5"/>
  <c r="Z83" i="5"/>
  <c r="Y83" i="5"/>
  <c r="X83" i="5"/>
  <c r="W83" i="5"/>
  <c r="M83" i="5"/>
  <c r="L83" i="5"/>
  <c r="K83" i="5"/>
  <c r="J83" i="5"/>
  <c r="I83" i="5"/>
  <c r="H83" i="5"/>
  <c r="O83" i="5" s="1"/>
  <c r="S83" i="5" s="1"/>
  <c r="G83" i="5"/>
  <c r="Q83" i="5" s="1"/>
  <c r="F83" i="5"/>
  <c r="E83" i="5"/>
  <c r="D83" i="5"/>
  <c r="P83" i="5" s="1"/>
  <c r="C83" i="5"/>
  <c r="B83" i="5"/>
  <c r="AI82" i="5"/>
  <c r="Q82" i="5"/>
  <c r="T82" i="5" s="1"/>
  <c r="P82" i="5"/>
  <c r="O82" i="5"/>
  <c r="AI81" i="5"/>
  <c r="Q81" i="5"/>
  <c r="P81" i="5"/>
  <c r="O81" i="5"/>
  <c r="U81" i="5" s="1"/>
  <c r="AI80" i="5"/>
  <c r="Q80" i="5"/>
  <c r="P80" i="5"/>
  <c r="O80" i="5"/>
  <c r="T80" i="5" s="1"/>
  <c r="AI79" i="5"/>
  <c r="U79" i="5"/>
  <c r="Q79" i="5"/>
  <c r="S79" i="5" s="1"/>
  <c r="P79" i="5"/>
  <c r="O79" i="5"/>
  <c r="AI78" i="5"/>
  <c r="Q78" i="5"/>
  <c r="P78" i="5"/>
  <c r="U78" i="5" s="1"/>
  <c r="O78" i="5"/>
  <c r="AI77" i="5"/>
  <c r="Q77" i="5"/>
  <c r="S77" i="5" s="1"/>
  <c r="P77" i="5"/>
  <c r="O77" i="5"/>
  <c r="U77" i="5" s="1"/>
  <c r="AI76" i="5"/>
  <c r="U76" i="5"/>
  <c r="T76" i="5"/>
  <c r="Q76" i="5"/>
  <c r="S76" i="5" s="1"/>
  <c r="P76" i="5"/>
  <c r="O76" i="5"/>
  <c r="AI75" i="5"/>
  <c r="Q75" i="5"/>
  <c r="P75" i="5"/>
  <c r="U75" i="5" s="1"/>
  <c r="O75" i="5"/>
  <c r="AI74" i="5"/>
  <c r="U74" i="5"/>
  <c r="T74" i="5"/>
  <c r="Q74" i="5"/>
  <c r="P74" i="5"/>
  <c r="O74" i="5"/>
  <c r="S74" i="5" s="1"/>
  <c r="AI73" i="5"/>
  <c r="Q73" i="5"/>
  <c r="P73" i="5"/>
  <c r="U73" i="5" s="1"/>
  <c r="O73" i="5"/>
  <c r="S73" i="5" s="1"/>
  <c r="AI72" i="5"/>
  <c r="Q72" i="5"/>
  <c r="T72" i="5" s="1"/>
  <c r="P72" i="5"/>
  <c r="U72" i="5" s="1"/>
  <c r="O72" i="5"/>
  <c r="S72" i="5" s="1"/>
  <c r="AI71" i="5"/>
  <c r="Q71" i="5"/>
  <c r="P71" i="5"/>
  <c r="O71" i="5"/>
  <c r="AI70" i="5"/>
  <c r="U70" i="5"/>
  <c r="Q70" i="5"/>
  <c r="T70" i="5" s="1"/>
  <c r="P70" i="5"/>
  <c r="O70" i="5"/>
  <c r="S70" i="5" s="1"/>
  <c r="AI69" i="5"/>
  <c r="Q69" i="5"/>
  <c r="T69" i="5" s="1"/>
  <c r="P69" i="5"/>
  <c r="U69" i="5" s="1"/>
  <c r="O69" i="5"/>
  <c r="AI68" i="5"/>
  <c r="Q68" i="5"/>
  <c r="P68" i="5"/>
  <c r="S68" i="5" s="1"/>
  <c r="O68" i="5"/>
  <c r="AI67" i="5"/>
  <c r="Q67" i="5"/>
  <c r="T67" i="5" s="1"/>
  <c r="P67" i="5"/>
  <c r="U67" i="5" s="1"/>
  <c r="O67" i="5"/>
  <c r="AI66" i="5"/>
  <c r="Q66" i="5"/>
  <c r="P66" i="5"/>
  <c r="U66" i="5" s="1"/>
  <c r="O66" i="5"/>
  <c r="AI65" i="5"/>
  <c r="Q65" i="5"/>
  <c r="S65" i="5" s="1"/>
  <c r="P65" i="5"/>
  <c r="O65" i="5"/>
  <c r="AI64" i="5"/>
  <c r="Q64" i="5"/>
  <c r="T64" i="5" s="1"/>
  <c r="P64" i="5"/>
  <c r="O64" i="5"/>
  <c r="AI63" i="5"/>
  <c r="Q63" i="5"/>
  <c r="T63" i="5" s="1"/>
  <c r="P63" i="5"/>
  <c r="U63" i="5" s="1"/>
  <c r="O63" i="5"/>
  <c r="AH59" i="5"/>
  <c r="AG59" i="5"/>
  <c r="AF59" i="5"/>
  <c r="AE59" i="5"/>
  <c r="AD59" i="5"/>
  <c r="AC59" i="5"/>
  <c r="AB59" i="5"/>
  <c r="AA59" i="5"/>
  <c r="Z59" i="5"/>
  <c r="Y59" i="5"/>
  <c r="X59" i="5"/>
  <c r="W59" i="5"/>
  <c r="Q59" i="5"/>
  <c r="O59" i="5"/>
  <c r="M59" i="5"/>
  <c r="L59" i="5"/>
  <c r="K59" i="5"/>
  <c r="J59" i="5"/>
  <c r="I59" i="5"/>
  <c r="H59" i="5"/>
  <c r="G59" i="5"/>
  <c r="F59" i="5"/>
  <c r="E59" i="5"/>
  <c r="D59" i="5"/>
  <c r="P59" i="5" s="1"/>
  <c r="C59" i="5"/>
  <c r="B59" i="5"/>
  <c r="AH58" i="5"/>
  <c r="AG58" i="5"/>
  <c r="AF58" i="5"/>
  <c r="AE58" i="5"/>
  <c r="AD58" i="5"/>
  <c r="AC58" i="5"/>
  <c r="AB58" i="5"/>
  <c r="AA58" i="5"/>
  <c r="Z58" i="5"/>
  <c r="Y58" i="5"/>
  <c r="X58" i="5"/>
  <c r="W58" i="5"/>
  <c r="P58" i="5"/>
  <c r="M58" i="5"/>
  <c r="L58" i="5"/>
  <c r="K58" i="5"/>
  <c r="J58" i="5"/>
  <c r="I58" i="5"/>
  <c r="H58" i="5"/>
  <c r="O58" i="5" s="1"/>
  <c r="G58" i="5"/>
  <c r="Q58" i="5" s="1"/>
  <c r="F58" i="5"/>
  <c r="E58" i="5"/>
  <c r="D58" i="5"/>
  <c r="C58" i="5"/>
  <c r="B58" i="5"/>
  <c r="AH57" i="5"/>
  <c r="AG57" i="5"/>
  <c r="AF57" i="5"/>
  <c r="AE57" i="5"/>
  <c r="AD57" i="5"/>
  <c r="AC57" i="5"/>
  <c r="AB57" i="5"/>
  <c r="AA57" i="5"/>
  <c r="Z57" i="5"/>
  <c r="Y57" i="5"/>
  <c r="X57" i="5"/>
  <c r="W57" i="5"/>
  <c r="O57" i="5"/>
  <c r="M57" i="5"/>
  <c r="L57" i="5"/>
  <c r="K57" i="5"/>
  <c r="J57" i="5"/>
  <c r="I57" i="5"/>
  <c r="H57" i="5"/>
  <c r="G57" i="5"/>
  <c r="Q57" i="5" s="1"/>
  <c r="F57" i="5"/>
  <c r="E57" i="5"/>
  <c r="D57" i="5"/>
  <c r="P57" i="5" s="1"/>
  <c r="C57" i="5"/>
  <c r="B57" i="5"/>
  <c r="AI56" i="5"/>
  <c r="Q56" i="5"/>
  <c r="P56" i="5"/>
  <c r="O56" i="5"/>
  <c r="AI55" i="5"/>
  <c r="Q55" i="5"/>
  <c r="P55" i="5"/>
  <c r="O55" i="5"/>
  <c r="AI54" i="5"/>
  <c r="Q54" i="5"/>
  <c r="P54" i="5"/>
  <c r="O54" i="5"/>
  <c r="AI53" i="5"/>
  <c r="Q53" i="5"/>
  <c r="P53" i="5"/>
  <c r="O53" i="5"/>
  <c r="AI52" i="5"/>
  <c r="Q52" i="5"/>
  <c r="P52" i="5"/>
  <c r="O52" i="5"/>
  <c r="AI51" i="5"/>
  <c r="Q51" i="5"/>
  <c r="P51" i="5"/>
  <c r="O51" i="5"/>
  <c r="AI50" i="5"/>
  <c r="Q50" i="5"/>
  <c r="P50" i="5"/>
  <c r="O50" i="5"/>
  <c r="AI49" i="5"/>
  <c r="Q49" i="5"/>
  <c r="P49" i="5"/>
  <c r="O49" i="5"/>
  <c r="AI48" i="5"/>
  <c r="Q48" i="5"/>
  <c r="P48" i="5"/>
  <c r="O48" i="5"/>
  <c r="AI47" i="5"/>
  <c r="Q47" i="5"/>
  <c r="P47" i="5"/>
  <c r="O47" i="5"/>
  <c r="AI46" i="5"/>
  <c r="Q46" i="5"/>
  <c r="P46" i="5"/>
  <c r="O46" i="5"/>
  <c r="AI45" i="5"/>
  <c r="Q45" i="5"/>
  <c r="P45" i="5"/>
  <c r="O45" i="5"/>
  <c r="AI44" i="5"/>
  <c r="Q44" i="5"/>
  <c r="P44" i="5"/>
  <c r="O44" i="5"/>
  <c r="AI43" i="5"/>
  <c r="Q43" i="5"/>
  <c r="P43" i="5"/>
  <c r="O43" i="5"/>
  <c r="AI42" i="5"/>
  <c r="Q42" i="5"/>
  <c r="P42" i="5"/>
  <c r="O42" i="5"/>
  <c r="AI41" i="5"/>
  <c r="Q41" i="5"/>
  <c r="P41" i="5"/>
  <c r="O41" i="5"/>
  <c r="AI40" i="5"/>
  <c r="Q40" i="5"/>
  <c r="P40" i="5"/>
  <c r="O40" i="5"/>
  <c r="AI39" i="5"/>
  <c r="Q39" i="5"/>
  <c r="P39" i="5"/>
  <c r="O39" i="5"/>
  <c r="AI38" i="5"/>
  <c r="Q38" i="5"/>
  <c r="P38" i="5"/>
  <c r="O38" i="5"/>
  <c r="AI37" i="5"/>
  <c r="Q37" i="5"/>
  <c r="P37" i="5"/>
  <c r="O37" i="5"/>
  <c r="AI36" i="5"/>
  <c r="Q36" i="5"/>
  <c r="P36" i="5"/>
  <c r="O36" i="5"/>
  <c r="AI35" i="5"/>
  <c r="Q35" i="5"/>
  <c r="P35" i="5"/>
  <c r="O35" i="5"/>
  <c r="AI34" i="5"/>
  <c r="Q34" i="5"/>
  <c r="P34" i="5"/>
  <c r="O34" i="5"/>
  <c r="AI33" i="5"/>
  <c r="Q33" i="5"/>
  <c r="P33" i="5"/>
  <c r="O33" i="5"/>
  <c r="AI32" i="5"/>
  <c r="Q32" i="5"/>
  <c r="P32" i="5"/>
  <c r="O32" i="5"/>
  <c r="AH29" i="5"/>
  <c r="AG29" i="5"/>
  <c r="AF29" i="5"/>
  <c r="AE29" i="5"/>
  <c r="AD29" i="5"/>
  <c r="AC29" i="5"/>
  <c r="AB29" i="5"/>
  <c r="AA29" i="5"/>
  <c r="Z29" i="5"/>
  <c r="Y29" i="5"/>
  <c r="X29" i="5"/>
  <c r="W29" i="5"/>
  <c r="Q29" i="5"/>
  <c r="O29" i="5"/>
  <c r="M29" i="5"/>
  <c r="L29" i="5"/>
  <c r="K29" i="5"/>
  <c r="J29" i="5"/>
  <c r="I29" i="5"/>
  <c r="H29" i="5"/>
  <c r="G29" i="5"/>
  <c r="F29" i="5"/>
  <c r="E29" i="5"/>
  <c r="D29" i="5"/>
  <c r="P29" i="5" s="1"/>
  <c r="U29" i="5" s="1"/>
  <c r="C29" i="5"/>
  <c r="B29" i="5"/>
  <c r="AH28" i="5"/>
  <c r="AG28" i="5"/>
  <c r="AF28" i="5"/>
  <c r="AE28" i="5"/>
  <c r="AD28" i="5"/>
  <c r="AC28" i="5"/>
  <c r="AB28" i="5"/>
  <c r="AA28" i="5"/>
  <c r="Z28" i="5"/>
  <c r="Y28" i="5"/>
  <c r="X28" i="5"/>
  <c r="W28" i="5"/>
  <c r="P28" i="5"/>
  <c r="M28" i="5"/>
  <c r="L28" i="5"/>
  <c r="K28" i="5"/>
  <c r="J28" i="5"/>
  <c r="I28" i="5"/>
  <c r="H28" i="5"/>
  <c r="O28" i="5" s="1"/>
  <c r="G28" i="5"/>
  <c r="Q28" i="5" s="1"/>
  <c r="T28" i="5" s="1"/>
  <c r="F28" i="5"/>
  <c r="E28" i="5"/>
  <c r="D28" i="5"/>
  <c r="C28" i="5"/>
  <c r="B28" i="5"/>
  <c r="AH27" i="5"/>
  <c r="AG27" i="5"/>
  <c r="AF27" i="5"/>
  <c r="AE27" i="5"/>
  <c r="AD27" i="5"/>
  <c r="AC27" i="5"/>
  <c r="AB27" i="5"/>
  <c r="AA27" i="5"/>
  <c r="Z27" i="5"/>
  <c r="Y27" i="5"/>
  <c r="X27" i="5"/>
  <c r="W27" i="5"/>
  <c r="P27" i="5"/>
  <c r="M27" i="5"/>
  <c r="L27" i="5"/>
  <c r="K27" i="5"/>
  <c r="J27" i="5"/>
  <c r="I27" i="5"/>
  <c r="H27" i="5"/>
  <c r="O27" i="5" s="1"/>
  <c r="S27" i="5" s="1"/>
  <c r="G27" i="5"/>
  <c r="Q27" i="5" s="1"/>
  <c r="F27" i="5"/>
  <c r="E27" i="5"/>
  <c r="D27" i="5"/>
  <c r="C27" i="5"/>
  <c r="B27" i="5"/>
  <c r="AI26" i="5"/>
  <c r="Q26" i="5"/>
  <c r="S26" i="5" s="1"/>
  <c r="P26" i="5"/>
  <c r="O26" i="5"/>
  <c r="AI25" i="5"/>
  <c r="Q25" i="5"/>
  <c r="T25" i="5" s="1"/>
  <c r="P25" i="5"/>
  <c r="O25" i="5"/>
  <c r="U25" i="5" s="1"/>
  <c r="AI24" i="5"/>
  <c r="Q24" i="5"/>
  <c r="T24" i="5" s="1"/>
  <c r="P24" i="5"/>
  <c r="O24" i="5"/>
  <c r="AI23" i="5"/>
  <c r="T23" i="5"/>
  <c r="S23" i="5"/>
  <c r="Q23" i="5"/>
  <c r="P23" i="5"/>
  <c r="U23" i="5" s="1"/>
  <c r="O23" i="5"/>
  <c r="AI22" i="5"/>
  <c r="Q22" i="5"/>
  <c r="P22" i="5"/>
  <c r="O22" i="5"/>
  <c r="AI21" i="5"/>
  <c r="U21" i="5"/>
  <c r="T21" i="5"/>
  <c r="Q21" i="5"/>
  <c r="P21" i="5"/>
  <c r="O21" i="5"/>
  <c r="S21" i="5" s="1"/>
  <c r="AI20" i="5"/>
  <c r="U20" i="5"/>
  <c r="Q20" i="5"/>
  <c r="T20" i="5" s="1"/>
  <c r="P20" i="5"/>
  <c r="O20" i="5"/>
  <c r="S20" i="5" s="1"/>
  <c r="AI19" i="5"/>
  <c r="Q19" i="5"/>
  <c r="P19" i="5"/>
  <c r="O19" i="5"/>
  <c r="S19" i="5" s="1"/>
  <c r="AI18" i="5"/>
  <c r="U18" i="5"/>
  <c r="T18" i="5"/>
  <c r="Q18" i="5"/>
  <c r="P18" i="5"/>
  <c r="O18" i="5"/>
  <c r="S18" i="5" s="1"/>
  <c r="AI17" i="5"/>
  <c r="Q17" i="5"/>
  <c r="P17" i="5"/>
  <c r="U17" i="5" s="1"/>
  <c r="O17" i="5"/>
  <c r="AI16" i="5"/>
  <c r="Q16" i="5"/>
  <c r="P16" i="5"/>
  <c r="U16" i="5" s="1"/>
  <c r="O16" i="5"/>
  <c r="AI15" i="5"/>
  <c r="Q15" i="5"/>
  <c r="T15" i="5" s="1"/>
  <c r="P15" i="5"/>
  <c r="O15" i="5"/>
  <c r="AI14" i="5"/>
  <c r="Q14" i="5"/>
  <c r="T14" i="5" s="1"/>
  <c r="P14" i="5"/>
  <c r="U14" i="5" s="1"/>
  <c r="O14" i="5"/>
  <c r="S14" i="5" s="1"/>
  <c r="AI13" i="5"/>
  <c r="S13" i="5"/>
  <c r="Q13" i="5"/>
  <c r="P13" i="5"/>
  <c r="U13" i="5" s="1"/>
  <c r="O13" i="5"/>
  <c r="T13" i="5" s="1"/>
  <c r="AI12" i="5"/>
  <c r="U12" i="5"/>
  <c r="T12" i="5"/>
  <c r="Q12" i="5"/>
  <c r="P12" i="5"/>
  <c r="O12" i="5"/>
  <c r="S12" i="5" s="1"/>
  <c r="AI11" i="5"/>
  <c r="Q11" i="5"/>
  <c r="T11" i="5" s="1"/>
  <c r="P11" i="5"/>
  <c r="U11" i="5" s="1"/>
  <c r="O11" i="5"/>
  <c r="AI10" i="5"/>
  <c r="Q10" i="5"/>
  <c r="T10" i="5" s="1"/>
  <c r="P10" i="5"/>
  <c r="O10" i="5"/>
  <c r="AI9" i="5"/>
  <c r="Q9" i="5"/>
  <c r="T9" i="5" s="1"/>
  <c r="P9" i="5"/>
  <c r="U9" i="5" s="1"/>
  <c r="O9" i="5"/>
  <c r="S9" i="5" s="1"/>
  <c r="AI8" i="5"/>
  <c r="Q8" i="5"/>
  <c r="P8" i="5"/>
  <c r="O8" i="5"/>
  <c r="S8" i="5" s="1"/>
  <c r="AI7" i="5"/>
  <c r="U7" i="5"/>
  <c r="T7" i="5"/>
  <c r="Q7" i="5"/>
  <c r="S7" i="5" s="1"/>
  <c r="P7" i="5"/>
  <c r="O7" i="5"/>
  <c r="AI6" i="5"/>
  <c r="Q6" i="5"/>
  <c r="P6" i="5"/>
  <c r="O6" i="5"/>
  <c r="AI5" i="5"/>
  <c r="Q5" i="5"/>
  <c r="S5" i="5" s="1"/>
  <c r="P5" i="5"/>
  <c r="U5" i="5" s="1"/>
  <c r="O5" i="5"/>
  <c r="AI4" i="5"/>
  <c r="Q4" i="5"/>
  <c r="S4" i="5" s="1"/>
  <c r="P4" i="5"/>
  <c r="O4" i="5"/>
  <c r="U4" i="5" s="1"/>
  <c r="AI3" i="5"/>
  <c r="Q3" i="5"/>
  <c r="P3" i="5"/>
  <c r="U3" i="5" s="1"/>
  <c r="O3" i="5"/>
  <c r="AI2" i="5"/>
  <c r="U2" i="5"/>
  <c r="T2" i="5"/>
  <c r="Q2" i="5"/>
  <c r="P2" i="5"/>
  <c r="O2" i="5"/>
  <c r="S2" i="5" s="1"/>
  <c r="S28" i="5" l="1"/>
  <c r="U85" i="5"/>
  <c r="S88" i="5"/>
  <c r="U94" i="5"/>
  <c r="T66" i="5"/>
  <c r="S11" i="5"/>
  <c r="T27" i="5"/>
  <c r="S69" i="5"/>
  <c r="T77" i="5"/>
  <c r="U83" i="5"/>
  <c r="U22" i="5"/>
  <c r="U80" i="5"/>
  <c r="S63" i="5"/>
  <c r="AI27" i="5"/>
  <c r="T19" i="5"/>
  <c r="AI28" i="5"/>
  <c r="U28" i="5"/>
  <c r="AI98" i="5"/>
  <c r="S16" i="5"/>
  <c r="T5" i="5"/>
  <c r="AI59" i="5"/>
  <c r="AI83" i="5"/>
  <c r="T3" i="5"/>
  <c r="U6" i="5"/>
  <c r="S17" i="5"/>
  <c r="T22" i="5"/>
  <c r="S25" i="5"/>
  <c r="S64" i="5"/>
  <c r="T75" i="5"/>
  <c r="U64" i="5"/>
  <c r="S67" i="5"/>
  <c r="U19" i="5"/>
  <c r="T8" i="5"/>
  <c r="T16" i="5"/>
  <c r="S3" i="5"/>
  <c r="AI58" i="5"/>
  <c r="S78" i="5"/>
  <c r="S81" i="5"/>
  <c r="T89" i="5"/>
  <c r="T29" i="5"/>
  <c r="T85" i="5"/>
  <c r="T17" i="5"/>
  <c r="T78" i="5"/>
  <c r="T81" i="5"/>
  <c r="U89" i="5"/>
  <c r="U26" i="5"/>
  <c r="U27" i="5"/>
  <c r="T73" i="5"/>
  <c r="S90" i="5"/>
  <c r="U8" i="5"/>
  <c r="T4" i="5"/>
  <c r="S15" i="5"/>
  <c r="U10" i="5"/>
  <c r="U15" i="5"/>
  <c r="AI57" i="5"/>
  <c r="T65" i="5"/>
  <c r="U68" i="5"/>
  <c r="S82" i="5"/>
  <c r="U90" i="5"/>
  <c r="S93" i="5"/>
  <c r="U65" i="5"/>
  <c r="U71" i="5"/>
  <c r="U82" i="5"/>
  <c r="S24" i="5"/>
  <c r="S29" i="5"/>
  <c r="T84" i="5"/>
  <c r="U24" i="5"/>
  <c r="S66" i="5"/>
  <c r="T79" i="5"/>
  <c r="T98" i="5"/>
  <c r="T100" i="5"/>
  <c r="S98" i="5"/>
  <c r="S100" i="5"/>
  <c r="T99" i="5"/>
  <c r="T83" i="5"/>
  <c r="S84" i="5"/>
  <c r="S99" i="5"/>
  <c r="U84" i="5"/>
  <c r="S75" i="5"/>
  <c r="T94" i="5"/>
  <c r="AI29" i="5"/>
  <c r="S10" i="5"/>
  <c r="T68" i="5"/>
  <c r="T26" i="5"/>
  <c r="AI85" i="5"/>
  <c r="AI84" i="5"/>
  <c r="S80" i="5"/>
  <c r="S6" i="5"/>
  <c r="S22" i="5"/>
  <c r="S71" i="5"/>
  <c r="S97" i="5"/>
  <c r="AI100" i="5"/>
  <c r="T6" i="5"/>
  <c r="T71" i="5"/>
  <c r="T97" i="5"/>
  <c r="AI99" i="5"/>
  <c r="R242" i="1"/>
  <c r="Q242" i="1"/>
  <c r="P242" i="1"/>
  <c r="R241" i="1"/>
  <c r="Q241" i="1"/>
  <c r="P241" i="1"/>
  <c r="R240" i="1"/>
  <c r="Q240" i="1"/>
  <c r="P240" i="1"/>
  <c r="R239" i="1"/>
  <c r="Q239" i="1"/>
  <c r="P239" i="1"/>
  <c r="R238" i="1"/>
  <c r="Q238" i="1"/>
  <c r="P238" i="1"/>
  <c r="R237" i="1"/>
  <c r="Q237" i="1"/>
  <c r="P237" i="1"/>
  <c r="R236" i="1"/>
  <c r="Q236" i="1"/>
  <c r="P236" i="1"/>
  <c r="R235" i="1"/>
  <c r="Q235" i="1"/>
  <c r="P235" i="1"/>
  <c r="R234" i="1"/>
  <c r="Q234" i="1"/>
  <c r="P234" i="1"/>
  <c r="R233" i="1"/>
  <c r="Q233" i="1"/>
  <c r="P233" i="1"/>
  <c r="R232" i="1"/>
  <c r="Q232" i="1"/>
  <c r="P232" i="1"/>
  <c r="R231" i="1"/>
  <c r="Q231" i="1"/>
  <c r="P231" i="1"/>
  <c r="R230" i="1"/>
  <c r="Q230" i="1"/>
  <c r="P230" i="1"/>
  <c r="R229" i="1"/>
  <c r="Q229" i="1"/>
  <c r="P229" i="1"/>
  <c r="R228" i="1"/>
  <c r="Q228" i="1"/>
  <c r="P228" i="1"/>
  <c r="R227" i="1"/>
  <c r="Q227" i="1"/>
  <c r="P227" i="1"/>
  <c r="R226" i="1"/>
  <c r="Q226" i="1"/>
  <c r="P226" i="1"/>
  <c r="R225" i="1"/>
  <c r="Q225" i="1"/>
  <c r="P225" i="1"/>
  <c r="R224" i="1"/>
  <c r="Q224" i="1"/>
  <c r="P224" i="1"/>
  <c r="R223" i="1"/>
  <c r="Q223" i="1"/>
  <c r="P223" i="1"/>
  <c r="R222" i="1"/>
  <c r="Q222" i="1"/>
  <c r="P222" i="1"/>
  <c r="R221" i="1"/>
  <c r="Q221" i="1"/>
  <c r="P221" i="1"/>
  <c r="R220" i="1"/>
  <c r="Q220" i="1"/>
  <c r="P220" i="1"/>
  <c r="R219" i="1"/>
  <c r="Q219" i="1"/>
  <c r="P219" i="1"/>
  <c r="R218" i="1"/>
  <c r="Q218" i="1"/>
  <c r="P218" i="1"/>
  <c r="R217" i="1"/>
  <c r="Q217" i="1"/>
  <c r="P217" i="1"/>
  <c r="R216" i="1"/>
  <c r="Q216" i="1"/>
  <c r="P216" i="1"/>
  <c r="R215" i="1"/>
  <c r="Q215" i="1"/>
  <c r="P215" i="1"/>
  <c r="R214" i="1"/>
  <c r="Q214" i="1"/>
  <c r="P214" i="1"/>
  <c r="R213" i="1"/>
  <c r="Q213" i="1"/>
  <c r="P213" i="1"/>
  <c r="R212" i="1"/>
  <c r="Q212" i="1"/>
  <c r="P212" i="1"/>
  <c r="R211" i="1"/>
  <c r="Q211" i="1"/>
  <c r="P211" i="1"/>
  <c r="R210" i="1"/>
  <c r="Q210" i="1"/>
  <c r="P210" i="1"/>
  <c r="R209" i="1"/>
  <c r="Q209" i="1"/>
  <c r="P209" i="1"/>
  <c r="R208" i="1"/>
  <c r="Q208" i="1"/>
  <c r="P208" i="1"/>
  <c r="R207" i="1"/>
  <c r="Q207" i="1"/>
  <c r="P207" i="1"/>
  <c r="R206" i="1"/>
  <c r="Q206" i="1"/>
  <c r="P206" i="1"/>
  <c r="R205" i="1"/>
  <c r="Q205" i="1"/>
  <c r="P205" i="1"/>
  <c r="R204" i="1"/>
  <c r="Q204" i="1"/>
  <c r="P204" i="1"/>
  <c r="R203" i="1"/>
  <c r="Q203" i="1"/>
  <c r="P203" i="1"/>
  <c r="R202" i="1"/>
  <c r="Q202" i="1"/>
  <c r="P202" i="1"/>
  <c r="R201" i="1"/>
  <c r="Q201" i="1"/>
  <c r="P201" i="1"/>
  <c r="R200" i="1"/>
  <c r="Q200" i="1"/>
  <c r="P200" i="1"/>
  <c r="R199" i="1"/>
  <c r="Q199" i="1"/>
  <c r="P199" i="1"/>
  <c r="R198" i="1"/>
  <c r="Q198" i="1"/>
  <c r="P198" i="1"/>
  <c r="R197" i="1"/>
  <c r="Q197" i="1"/>
  <c r="P197" i="1"/>
  <c r="R196" i="1"/>
  <c r="Q196" i="1"/>
  <c r="P196" i="1"/>
  <c r="R195" i="1"/>
  <c r="Q195" i="1"/>
  <c r="P195" i="1"/>
  <c r="R194" i="1"/>
  <c r="Q194" i="1"/>
  <c r="P194" i="1"/>
  <c r="R193" i="1"/>
  <c r="Q193" i="1"/>
  <c r="P193" i="1"/>
  <c r="R192" i="1"/>
  <c r="Q192" i="1"/>
  <c r="P192" i="1"/>
  <c r="R191" i="1"/>
  <c r="Q191" i="1"/>
  <c r="P191" i="1"/>
  <c r="R190" i="1"/>
  <c r="Q190" i="1"/>
  <c r="P190" i="1"/>
  <c r="R189" i="1"/>
  <c r="Q189" i="1"/>
  <c r="P189" i="1"/>
  <c r="R188" i="1"/>
  <c r="Q188" i="1"/>
  <c r="P188" i="1"/>
  <c r="R187" i="1"/>
  <c r="Q187" i="1"/>
  <c r="P187" i="1"/>
  <c r="R186" i="1"/>
  <c r="Q186" i="1"/>
  <c r="P186" i="1"/>
  <c r="R185" i="1"/>
  <c r="Q185" i="1"/>
  <c r="P185" i="1"/>
  <c r="R184" i="1"/>
  <c r="Q184" i="1"/>
  <c r="P184" i="1"/>
  <c r="R183" i="1"/>
  <c r="Q183" i="1"/>
  <c r="P183" i="1"/>
  <c r="R182" i="1"/>
  <c r="Q182" i="1"/>
  <c r="P182" i="1"/>
  <c r="R181" i="1"/>
  <c r="Q181" i="1"/>
  <c r="P181" i="1"/>
  <c r="R180" i="1"/>
  <c r="Q180" i="1"/>
  <c r="P180" i="1"/>
  <c r="R179" i="1"/>
  <c r="Q179" i="1"/>
  <c r="P179" i="1"/>
  <c r="R178" i="1"/>
  <c r="Q178" i="1"/>
  <c r="P178" i="1"/>
  <c r="R177" i="1"/>
  <c r="Q177" i="1"/>
  <c r="P177" i="1"/>
  <c r="R176" i="1"/>
  <c r="Q176" i="1"/>
  <c r="P176" i="1"/>
  <c r="R175" i="1"/>
  <c r="Q175" i="1"/>
  <c r="P175" i="1"/>
  <c r="R174" i="1"/>
  <c r="Q174" i="1"/>
  <c r="P174" i="1"/>
  <c r="R173" i="1"/>
  <c r="Q173" i="1"/>
  <c r="P173" i="1"/>
  <c r="R172" i="1"/>
  <c r="Q172" i="1"/>
  <c r="P172" i="1"/>
  <c r="R171" i="1"/>
  <c r="Q171" i="1"/>
  <c r="P171" i="1"/>
  <c r="R170" i="1"/>
  <c r="Q170" i="1"/>
  <c r="P170" i="1"/>
  <c r="R169" i="1"/>
  <c r="Q169" i="1"/>
  <c r="P169" i="1"/>
  <c r="R168" i="1"/>
  <c r="Q168" i="1"/>
  <c r="P168" i="1"/>
  <c r="R166" i="1"/>
  <c r="Q166" i="1"/>
  <c r="P166" i="1"/>
  <c r="R165" i="1"/>
  <c r="Q165" i="1"/>
  <c r="P165" i="1"/>
  <c r="R164" i="1"/>
  <c r="Q164" i="1"/>
  <c r="P164" i="1"/>
  <c r="R163" i="1"/>
  <c r="Q163" i="1"/>
  <c r="P163" i="1"/>
  <c r="R162" i="1"/>
  <c r="Q162" i="1"/>
  <c r="P162" i="1"/>
  <c r="R161" i="1"/>
  <c r="Q161" i="1"/>
  <c r="P161" i="1"/>
  <c r="R160" i="1"/>
  <c r="Q160" i="1"/>
  <c r="P160" i="1"/>
  <c r="R159" i="1"/>
  <c r="Q159" i="1"/>
  <c r="P159" i="1"/>
  <c r="R158" i="1"/>
  <c r="Q158" i="1"/>
  <c r="P158" i="1"/>
  <c r="R157" i="1"/>
  <c r="Q157" i="1"/>
  <c r="P157" i="1"/>
  <c r="R156" i="1"/>
  <c r="Q156" i="1"/>
  <c r="P156" i="1"/>
  <c r="R155" i="1"/>
  <c r="Q155" i="1"/>
  <c r="P155" i="1"/>
  <c r="R154" i="1"/>
  <c r="Q154" i="1"/>
  <c r="P154" i="1"/>
  <c r="R153" i="1"/>
  <c r="Q153" i="1"/>
  <c r="P153" i="1"/>
  <c r="R152" i="1"/>
  <c r="Q152" i="1"/>
  <c r="P152" i="1"/>
  <c r="R151" i="1"/>
  <c r="Q151" i="1"/>
  <c r="P151" i="1"/>
  <c r="R150" i="1"/>
  <c r="Q150" i="1"/>
  <c r="P150" i="1"/>
  <c r="R149" i="1"/>
  <c r="Q149" i="1"/>
  <c r="P149" i="1"/>
  <c r="R148" i="1"/>
  <c r="Q148" i="1"/>
  <c r="P148" i="1"/>
  <c r="R147" i="1"/>
  <c r="Q147" i="1"/>
  <c r="P147" i="1"/>
  <c r="R146" i="1"/>
  <c r="Q146" i="1"/>
  <c r="P146" i="1"/>
  <c r="R145" i="1"/>
  <c r="Q145" i="1"/>
  <c r="P145" i="1"/>
  <c r="R144" i="1"/>
  <c r="Q144" i="1"/>
  <c r="P144" i="1"/>
  <c r="R143" i="1"/>
  <c r="Q143" i="1"/>
  <c r="P143" i="1"/>
  <c r="R142" i="1"/>
  <c r="Q142" i="1"/>
  <c r="P142" i="1"/>
  <c r="R141" i="1"/>
  <c r="Q141" i="1"/>
  <c r="P141" i="1"/>
  <c r="R140" i="1"/>
  <c r="Q140" i="1"/>
  <c r="P140" i="1"/>
  <c r="R139" i="1"/>
  <c r="Q139" i="1"/>
  <c r="P139" i="1"/>
  <c r="R138" i="1"/>
  <c r="Q138" i="1"/>
  <c r="P138" i="1"/>
  <c r="R137" i="1"/>
  <c r="Q137" i="1"/>
  <c r="P137" i="1"/>
  <c r="R136" i="1"/>
  <c r="Q136" i="1"/>
  <c r="P136" i="1"/>
  <c r="R135" i="1"/>
  <c r="Q135" i="1"/>
  <c r="P135" i="1"/>
  <c r="R134" i="1"/>
  <c r="Q134" i="1"/>
  <c r="P134" i="1"/>
  <c r="R133" i="1"/>
  <c r="Q133" i="1"/>
  <c r="P133" i="1"/>
  <c r="R132" i="1"/>
  <c r="Q132" i="1"/>
  <c r="P132" i="1"/>
  <c r="R131" i="1"/>
  <c r="Q131" i="1"/>
  <c r="P131" i="1"/>
  <c r="R130" i="1"/>
  <c r="Q130" i="1"/>
  <c r="P130" i="1"/>
  <c r="R129" i="1"/>
  <c r="Q129" i="1"/>
  <c r="P129" i="1"/>
  <c r="R128" i="1"/>
  <c r="Q128" i="1"/>
  <c r="P128" i="1"/>
  <c r="R127" i="1"/>
  <c r="Q127" i="1"/>
  <c r="P127" i="1"/>
  <c r="R126" i="1"/>
  <c r="Q126" i="1"/>
  <c r="P126" i="1"/>
  <c r="R125" i="1"/>
  <c r="Q125" i="1"/>
  <c r="P125" i="1"/>
  <c r="R124" i="1"/>
  <c r="Q124" i="1"/>
  <c r="P124" i="1"/>
  <c r="R123" i="1"/>
  <c r="Q123" i="1"/>
  <c r="P123" i="1"/>
  <c r="R122" i="1"/>
  <c r="Q122" i="1"/>
  <c r="P122" i="1"/>
  <c r="R121" i="1"/>
  <c r="Q121" i="1"/>
  <c r="P121" i="1"/>
  <c r="R120" i="1"/>
  <c r="Q120" i="1"/>
  <c r="P120" i="1"/>
  <c r="R119" i="1"/>
  <c r="Q119" i="1"/>
  <c r="P119" i="1"/>
  <c r="R118" i="1"/>
  <c r="Q118" i="1"/>
  <c r="P118" i="1"/>
  <c r="R116" i="1"/>
  <c r="Q116" i="1"/>
  <c r="P116" i="1"/>
  <c r="R115" i="1"/>
  <c r="Q115" i="1"/>
  <c r="P115" i="1"/>
  <c r="R114" i="1"/>
  <c r="Q114" i="1"/>
  <c r="P114" i="1"/>
  <c r="R113" i="1"/>
  <c r="Q113" i="1"/>
  <c r="P113" i="1"/>
  <c r="R112" i="1"/>
  <c r="Q112" i="1"/>
  <c r="P112" i="1"/>
  <c r="R111" i="1"/>
  <c r="Q111" i="1"/>
  <c r="P111" i="1"/>
  <c r="R110" i="1"/>
  <c r="Q110" i="1"/>
  <c r="P110" i="1"/>
  <c r="R109" i="1"/>
  <c r="Q109" i="1"/>
  <c r="P109" i="1"/>
  <c r="R108" i="1"/>
  <c r="Q108" i="1"/>
  <c r="P108" i="1"/>
  <c r="R107" i="1"/>
  <c r="Q107" i="1"/>
  <c r="P107" i="1"/>
  <c r="R106" i="1"/>
  <c r="Q106" i="1"/>
  <c r="P106" i="1"/>
  <c r="R105" i="1"/>
  <c r="Q105" i="1"/>
  <c r="P105" i="1"/>
  <c r="R104" i="1"/>
  <c r="Q104" i="1"/>
  <c r="P104" i="1"/>
  <c r="R103" i="1"/>
  <c r="Q103" i="1"/>
  <c r="P103" i="1"/>
  <c r="R102" i="1"/>
  <c r="Q102" i="1"/>
  <c r="P102" i="1"/>
  <c r="R101" i="1"/>
  <c r="Q101" i="1"/>
  <c r="P101" i="1"/>
  <c r="R100" i="1"/>
  <c r="Q100" i="1"/>
  <c r="P100" i="1"/>
  <c r="R99" i="1"/>
  <c r="Q99" i="1"/>
  <c r="P99" i="1"/>
  <c r="R98" i="1"/>
  <c r="Q98" i="1"/>
  <c r="P98" i="1"/>
  <c r="R97" i="1"/>
  <c r="Q97" i="1"/>
  <c r="P97" i="1"/>
  <c r="R96" i="1"/>
  <c r="Q96" i="1"/>
  <c r="P96" i="1"/>
  <c r="R95" i="1"/>
  <c r="Q95" i="1"/>
  <c r="P95" i="1"/>
  <c r="R94" i="1"/>
  <c r="Q94" i="1"/>
  <c r="P94" i="1"/>
  <c r="R93" i="1"/>
  <c r="Q93" i="1"/>
  <c r="P93" i="1"/>
  <c r="R92" i="1"/>
  <c r="Q92" i="1"/>
  <c r="P92" i="1"/>
  <c r="R91" i="1"/>
  <c r="Q91" i="1"/>
  <c r="P91" i="1"/>
  <c r="R90" i="1"/>
  <c r="Q90" i="1"/>
  <c r="P90" i="1"/>
  <c r="R89" i="1"/>
  <c r="Q89" i="1"/>
  <c r="P89" i="1"/>
  <c r="R88" i="1"/>
  <c r="Q88" i="1"/>
  <c r="P88" i="1"/>
  <c r="R87" i="1"/>
  <c r="Q87" i="1"/>
  <c r="P87" i="1"/>
  <c r="R86" i="1"/>
  <c r="Q86" i="1"/>
  <c r="P86" i="1"/>
  <c r="R85" i="1"/>
  <c r="Q85" i="1"/>
  <c r="P85" i="1"/>
  <c r="R84" i="1"/>
  <c r="Q84" i="1"/>
  <c r="P84" i="1"/>
  <c r="R83" i="1"/>
  <c r="Q83" i="1"/>
  <c r="P83" i="1"/>
  <c r="R82" i="1"/>
  <c r="Q82" i="1"/>
  <c r="P82" i="1"/>
  <c r="R81" i="1"/>
  <c r="Q81" i="1"/>
  <c r="P81" i="1"/>
  <c r="R80" i="1"/>
  <c r="Q80" i="1"/>
  <c r="P80" i="1"/>
  <c r="R79" i="1"/>
  <c r="Q79" i="1"/>
  <c r="P79" i="1"/>
  <c r="R78" i="1"/>
  <c r="Q78" i="1"/>
  <c r="P78" i="1"/>
  <c r="R77" i="1"/>
  <c r="Q77" i="1"/>
  <c r="P77" i="1"/>
  <c r="R76" i="1"/>
  <c r="Q76" i="1"/>
  <c r="P76" i="1"/>
  <c r="R75" i="1"/>
  <c r="Q75" i="1"/>
  <c r="P75" i="1"/>
  <c r="R74" i="1"/>
  <c r="Q74" i="1"/>
  <c r="P74" i="1"/>
  <c r="R73" i="1"/>
  <c r="Q73" i="1"/>
  <c r="P73" i="1"/>
  <c r="R72" i="1"/>
  <c r="Q72" i="1"/>
  <c r="P72" i="1"/>
  <c r="R71" i="1"/>
  <c r="Q71" i="1"/>
  <c r="P71" i="1"/>
  <c r="R70" i="1"/>
  <c r="Q70" i="1"/>
  <c r="P70" i="1"/>
  <c r="R69" i="1"/>
  <c r="Q69" i="1"/>
  <c r="P69" i="1"/>
  <c r="R68" i="1"/>
  <c r="Q68" i="1"/>
  <c r="P68" i="1"/>
  <c r="R67" i="1"/>
  <c r="Q67" i="1"/>
  <c r="P67" i="1"/>
  <c r="R66" i="1"/>
  <c r="Q66" i="1"/>
  <c r="P66" i="1"/>
  <c r="R65" i="1"/>
  <c r="Q65" i="1"/>
  <c r="P65" i="1"/>
  <c r="R64" i="1"/>
  <c r="Q64" i="1"/>
  <c r="P64" i="1"/>
  <c r="R63" i="1"/>
  <c r="Q63" i="1"/>
  <c r="P63" i="1"/>
  <c r="R62" i="1"/>
  <c r="Q62" i="1"/>
  <c r="P62" i="1"/>
  <c r="R61" i="1"/>
  <c r="Q61" i="1"/>
  <c r="P61" i="1"/>
  <c r="R60" i="1"/>
  <c r="Q60" i="1"/>
  <c r="P60" i="1"/>
  <c r="R59" i="1"/>
  <c r="Q59" i="1"/>
  <c r="P59" i="1"/>
  <c r="R58" i="1"/>
  <c r="Q58" i="1"/>
  <c r="P58" i="1"/>
  <c r="R57" i="1"/>
  <c r="Q57" i="1"/>
  <c r="P57" i="1"/>
  <c r="R56" i="1"/>
  <c r="Q56" i="1"/>
  <c r="P56" i="1"/>
  <c r="R55" i="1"/>
  <c r="Q55" i="1"/>
  <c r="P55" i="1"/>
  <c r="R54" i="1"/>
  <c r="Q54" i="1"/>
  <c r="P54" i="1"/>
  <c r="R53" i="1"/>
  <c r="Q53" i="1"/>
  <c r="P53" i="1"/>
  <c r="R52" i="1"/>
  <c r="Q52" i="1"/>
  <c r="P52" i="1"/>
  <c r="R51" i="1"/>
  <c r="Q51" i="1"/>
  <c r="P51" i="1"/>
  <c r="R50" i="1"/>
  <c r="Q50" i="1"/>
  <c r="P50" i="1"/>
  <c r="R49" i="1"/>
  <c r="Q49" i="1"/>
  <c r="P49" i="1"/>
  <c r="R48" i="1"/>
  <c r="Q48" i="1"/>
  <c r="P48" i="1"/>
  <c r="R47" i="1"/>
  <c r="Q47" i="1"/>
  <c r="P47" i="1"/>
  <c r="R46" i="1"/>
  <c r="Q46" i="1"/>
  <c r="P46" i="1"/>
  <c r="R45" i="1"/>
  <c r="Q45" i="1"/>
  <c r="P45" i="1"/>
  <c r="R44" i="1"/>
  <c r="Q44" i="1"/>
  <c r="P44" i="1"/>
  <c r="R43" i="1"/>
  <c r="Q43" i="1"/>
  <c r="P43" i="1"/>
  <c r="R42" i="1"/>
  <c r="Q42" i="1"/>
  <c r="P42" i="1"/>
  <c r="R41" i="1"/>
  <c r="Q41" i="1"/>
  <c r="P41" i="1"/>
  <c r="R39" i="1"/>
  <c r="Q39" i="1"/>
  <c r="P39" i="1"/>
  <c r="R38" i="1"/>
  <c r="Q38" i="1"/>
  <c r="P38" i="1"/>
  <c r="R37" i="1"/>
  <c r="Q37" i="1"/>
  <c r="P37" i="1"/>
  <c r="R36" i="1"/>
  <c r="Q36" i="1"/>
  <c r="P36" i="1"/>
  <c r="R35" i="1"/>
  <c r="Q35" i="1"/>
  <c r="P35" i="1"/>
  <c r="R34" i="1"/>
  <c r="Q34" i="1"/>
  <c r="P34" i="1"/>
  <c r="R33" i="1"/>
  <c r="Q33" i="1"/>
  <c r="P33" i="1"/>
  <c r="R32" i="1"/>
  <c r="Q32" i="1"/>
  <c r="P32" i="1"/>
  <c r="R31" i="1"/>
  <c r="Q31" i="1"/>
  <c r="P31" i="1"/>
  <c r="R30" i="1"/>
  <c r="Q30" i="1"/>
  <c r="P30" i="1"/>
  <c r="R29" i="1"/>
  <c r="Q29" i="1"/>
  <c r="P29" i="1"/>
  <c r="R28" i="1"/>
  <c r="Q28" i="1"/>
  <c r="P28" i="1"/>
  <c r="R27" i="1"/>
  <c r="Q27" i="1"/>
  <c r="P27" i="1"/>
  <c r="R26" i="1"/>
  <c r="Q26" i="1"/>
  <c r="P26" i="1"/>
  <c r="R25" i="1"/>
  <c r="Q25" i="1"/>
  <c r="P25" i="1"/>
  <c r="R24" i="1"/>
  <c r="Q24" i="1"/>
  <c r="P24" i="1"/>
  <c r="R23" i="1"/>
  <c r="Q23" i="1"/>
  <c r="P23" i="1"/>
  <c r="R22" i="1"/>
  <c r="Q22" i="1"/>
  <c r="P22" i="1"/>
  <c r="R21" i="1"/>
  <c r="Q21" i="1"/>
  <c r="P21" i="1"/>
  <c r="R20" i="1"/>
  <c r="Q20" i="1"/>
  <c r="P20" i="1"/>
  <c r="R19" i="1"/>
  <c r="Q19" i="1"/>
  <c r="P19" i="1"/>
  <c r="R18" i="1"/>
  <c r="Q18" i="1"/>
  <c r="P18" i="1"/>
  <c r="R17" i="1"/>
  <c r="Q17" i="1"/>
  <c r="P17" i="1"/>
  <c r="R16" i="1"/>
  <c r="Q16" i="1"/>
  <c r="P16" i="1"/>
  <c r="R15" i="1"/>
  <c r="Q15" i="1"/>
  <c r="P15" i="1"/>
  <c r="R14" i="1"/>
  <c r="Q14" i="1"/>
  <c r="P14" i="1"/>
  <c r="R13" i="1"/>
  <c r="Q13" i="1"/>
  <c r="P13" i="1"/>
  <c r="R12" i="1"/>
  <c r="Q12" i="1"/>
  <c r="P12" i="1"/>
  <c r="R11" i="1"/>
  <c r="Q11" i="1"/>
  <c r="P11" i="1"/>
  <c r="R10" i="1"/>
  <c r="Q10" i="1"/>
  <c r="P10" i="1"/>
  <c r="R9" i="1"/>
  <c r="Q9" i="1"/>
  <c r="P9" i="1"/>
  <c r="R8" i="1"/>
  <c r="Q8" i="1"/>
  <c r="P8" i="1"/>
  <c r="R7" i="1"/>
  <c r="Q7" i="1"/>
  <c r="P7" i="1"/>
  <c r="R6" i="1"/>
  <c r="Q6" i="1"/>
  <c r="P6" i="1"/>
  <c r="R5" i="1"/>
  <c r="Q5" i="1"/>
  <c r="P5" i="1"/>
  <c r="R4" i="1"/>
  <c r="Q4" i="1"/>
  <c r="P4" i="1"/>
  <c r="R3" i="1"/>
  <c r="Q3" i="1"/>
  <c r="P3" i="1"/>
  <c r="S61" i="2"/>
  <c r="B127" i="2"/>
  <c r="C470" i="2"/>
  <c r="D470" i="2"/>
  <c r="E470" i="2"/>
  <c r="F470" i="2"/>
  <c r="G470" i="2"/>
  <c r="H470" i="2"/>
  <c r="I470" i="2"/>
  <c r="J470" i="2"/>
  <c r="K470" i="2"/>
  <c r="L470" i="2"/>
  <c r="M470" i="2"/>
  <c r="N470" i="2"/>
  <c r="O470" i="2"/>
  <c r="C471" i="2"/>
  <c r="D471" i="2"/>
  <c r="E471" i="2"/>
  <c r="F471" i="2"/>
  <c r="G471" i="2"/>
  <c r="H471" i="2"/>
  <c r="I471" i="2"/>
  <c r="J471" i="2"/>
  <c r="K471" i="2"/>
  <c r="L471" i="2"/>
  <c r="M471" i="2"/>
  <c r="N471" i="2"/>
  <c r="O471" i="2"/>
  <c r="C472" i="2"/>
  <c r="D472" i="2"/>
  <c r="E472" i="2"/>
  <c r="F472" i="2"/>
  <c r="G472" i="2"/>
  <c r="H472" i="2"/>
  <c r="I472" i="2"/>
  <c r="J472" i="2"/>
  <c r="K472" i="2"/>
  <c r="L472" i="2"/>
  <c r="M472" i="2"/>
  <c r="N472" i="2"/>
  <c r="O472" i="2"/>
  <c r="B472" i="2"/>
  <c r="B470" i="2"/>
  <c r="B471" i="2"/>
  <c r="AN436" i="2"/>
  <c r="AM436" i="2"/>
  <c r="S436" i="2"/>
  <c r="R436" i="2"/>
  <c r="Q436" i="2"/>
  <c r="AN393" i="2"/>
  <c r="AM393" i="2"/>
  <c r="S393" i="2"/>
  <c r="R393" i="2"/>
  <c r="Q393" i="2"/>
  <c r="AN401" i="2"/>
  <c r="AM401" i="2"/>
  <c r="S401" i="2"/>
  <c r="R401" i="2"/>
  <c r="Q401" i="2"/>
  <c r="AN402" i="2"/>
  <c r="AM402" i="2"/>
  <c r="S402" i="2"/>
  <c r="R402" i="2"/>
  <c r="Q402" i="2"/>
  <c r="AN416" i="2"/>
  <c r="AM416" i="2"/>
  <c r="S416" i="2"/>
  <c r="R416" i="2"/>
  <c r="Q416" i="2"/>
  <c r="AN459" i="2"/>
  <c r="AM459" i="2"/>
  <c r="S459" i="2"/>
  <c r="R459" i="2"/>
  <c r="Q459" i="2"/>
  <c r="AN422" i="2"/>
  <c r="AM422" i="2"/>
  <c r="S422" i="2"/>
  <c r="R422" i="2"/>
  <c r="Q422" i="2"/>
  <c r="AN435" i="2"/>
  <c r="AM435" i="2"/>
  <c r="S435" i="2"/>
  <c r="R435" i="2"/>
  <c r="Q435" i="2"/>
  <c r="AN461" i="2"/>
  <c r="AM461" i="2"/>
  <c r="S461" i="2"/>
  <c r="R461" i="2"/>
  <c r="Q461" i="2"/>
  <c r="AN404" i="2"/>
  <c r="AM404" i="2"/>
  <c r="S404" i="2"/>
  <c r="R404" i="2"/>
  <c r="Q404" i="2"/>
  <c r="AN417" i="2"/>
  <c r="AM417" i="2"/>
  <c r="S417" i="2"/>
  <c r="R417" i="2"/>
  <c r="Q417" i="2"/>
  <c r="AN410" i="2"/>
  <c r="AM410" i="2"/>
  <c r="S410" i="2"/>
  <c r="R410" i="2"/>
  <c r="Q410" i="2"/>
  <c r="AN411" i="2"/>
  <c r="AM411" i="2"/>
  <c r="S411" i="2"/>
  <c r="R411" i="2"/>
  <c r="Q411" i="2"/>
  <c r="AN409" i="2"/>
  <c r="AM409" i="2"/>
  <c r="S409" i="2"/>
  <c r="R409" i="2"/>
  <c r="Q409" i="2"/>
  <c r="AN420" i="2"/>
  <c r="AM420" i="2"/>
  <c r="S420" i="2"/>
  <c r="R420" i="2"/>
  <c r="Q420" i="2"/>
  <c r="AN399" i="2"/>
  <c r="AM399" i="2"/>
  <c r="S399" i="2"/>
  <c r="R399" i="2"/>
  <c r="Q399" i="2"/>
  <c r="AN452" i="2"/>
  <c r="AM452" i="2"/>
  <c r="S452" i="2"/>
  <c r="R452" i="2"/>
  <c r="Q452" i="2"/>
  <c r="AN403" i="2"/>
  <c r="AM403" i="2"/>
  <c r="S403" i="2"/>
  <c r="R403" i="2"/>
  <c r="Q403" i="2"/>
  <c r="AN453" i="2"/>
  <c r="AM453" i="2"/>
  <c r="S453" i="2"/>
  <c r="R453" i="2"/>
  <c r="Q453" i="2"/>
  <c r="AN407" i="2"/>
  <c r="AM407" i="2"/>
  <c r="S407" i="2"/>
  <c r="R407" i="2"/>
  <c r="Q407" i="2"/>
  <c r="AN405" i="2"/>
  <c r="AM405" i="2"/>
  <c r="S405" i="2"/>
  <c r="R405" i="2"/>
  <c r="Q405" i="2"/>
  <c r="AN429" i="2"/>
  <c r="AM429" i="2"/>
  <c r="S429" i="2"/>
  <c r="R429" i="2"/>
  <c r="Q429" i="2"/>
  <c r="AN423" i="2"/>
  <c r="AM423" i="2"/>
  <c r="S423" i="2"/>
  <c r="R423" i="2"/>
  <c r="Q423" i="2"/>
  <c r="AN451" i="2"/>
  <c r="AM451" i="2"/>
  <c r="S451" i="2"/>
  <c r="R451" i="2"/>
  <c r="Q451" i="2"/>
  <c r="AN408" i="2"/>
  <c r="AM408" i="2"/>
  <c r="S408" i="2"/>
  <c r="R408" i="2"/>
  <c r="Q408" i="2"/>
  <c r="AN425" i="2"/>
  <c r="AM425" i="2"/>
  <c r="S425" i="2"/>
  <c r="R425" i="2"/>
  <c r="Q425" i="2"/>
  <c r="AN412" i="2"/>
  <c r="AM412" i="2"/>
  <c r="S412" i="2"/>
  <c r="R412" i="2"/>
  <c r="Q412" i="2"/>
  <c r="AN398" i="2"/>
  <c r="AM398" i="2"/>
  <c r="S398" i="2"/>
  <c r="R398" i="2"/>
  <c r="Q398" i="2"/>
  <c r="AN448" i="2"/>
  <c r="AM448" i="2"/>
  <c r="S448" i="2"/>
  <c r="R448" i="2"/>
  <c r="Q448" i="2"/>
  <c r="AN424" i="2"/>
  <c r="AM424" i="2"/>
  <c r="S424" i="2"/>
  <c r="R424" i="2"/>
  <c r="Q424" i="2"/>
  <c r="AN396" i="2"/>
  <c r="AM396" i="2"/>
  <c r="S396" i="2"/>
  <c r="R396" i="2"/>
  <c r="Q396" i="2"/>
  <c r="AN445" i="2"/>
  <c r="AM445" i="2"/>
  <c r="S445" i="2"/>
  <c r="R445" i="2"/>
  <c r="Q445" i="2"/>
  <c r="AN406" i="2"/>
  <c r="AM406" i="2"/>
  <c r="S406" i="2"/>
  <c r="R406" i="2"/>
  <c r="Q406" i="2"/>
  <c r="AN431" i="2"/>
  <c r="AM431" i="2"/>
  <c r="S431" i="2"/>
  <c r="R431" i="2"/>
  <c r="Q431" i="2"/>
  <c r="AN421" i="2"/>
  <c r="AM421" i="2"/>
  <c r="S421" i="2"/>
  <c r="R421" i="2"/>
  <c r="Q421" i="2"/>
  <c r="AN415" i="2"/>
  <c r="AM415" i="2"/>
  <c r="S415" i="2"/>
  <c r="R415" i="2"/>
  <c r="Q415" i="2"/>
  <c r="AN444" i="2"/>
  <c r="AM444" i="2"/>
  <c r="S444" i="2"/>
  <c r="R444" i="2"/>
  <c r="Q444" i="2"/>
  <c r="AN397" i="2"/>
  <c r="AM397" i="2"/>
  <c r="S397" i="2"/>
  <c r="R397" i="2"/>
  <c r="Q397" i="2"/>
  <c r="AN441" i="2"/>
  <c r="AM441" i="2"/>
  <c r="S441" i="2"/>
  <c r="R441" i="2"/>
  <c r="Q441" i="2"/>
  <c r="AN437" i="2"/>
  <c r="AM437" i="2"/>
  <c r="S437" i="2"/>
  <c r="R437" i="2"/>
  <c r="Q437" i="2"/>
  <c r="AN464" i="2"/>
  <c r="AM464" i="2"/>
  <c r="S464" i="2"/>
  <c r="R464" i="2"/>
  <c r="Q464" i="2"/>
  <c r="AN443" i="2"/>
  <c r="AM443" i="2"/>
  <c r="S443" i="2"/>
  <c r="R443" i="2"/>
  <c r="Q443" i="2"/>
  <c r="AN447" i="2"/>
  <c r="AM447" i="2"/>
  <c r="S447" i="2"/>
  <c r="R447" i="2"/>
  <c r="Q447" i="2"/>
  <c r="AN414" i="2"/>
  <c r="AM414" i="2"/>
  <c r="S414" i="2"/>
  <c r="R414" i="2"/>
  <c r="Q414" i="2"/>
  <c r="AN400" i="2"/>
  <c r="AM400" i="2"/>
  <c r="S400" i="2"/>
  <c r="R400" i="2"/>
  <c r="Q400" i="2"/>
  <c r="AN413" i="2"/>
  <c r="AM413" i="2"/>
  <c r="S413" i="2"/>
  <c r="R413" i="2"/>
  <c r="Q413" i="2"/>
  <c r="AN434" i="2"/>
  <c r="AM434" i="2"/>
  <c r="S434" i="2"/>
  <c r="R434" i="2"/>
  <c r="Q434" i="2"/>
  <c r="AN438" i="2"/>
  <c r="AM438" i="2"/>
  <c r="S438" i="2"/>
  <c r="R438" i="2"/>
  <c r="Q438" i="2"/>
  <c r="AN462" i="2"/>
  <c r="AM462" i="2"/>
  <c r="S462" i="2"/>
  <c r="R462" i="2"/>
  <c r="Q462" i="2"/>
  <c r="AN446" i="2"/>
  <c r="AM446" i="2"/>
  <c r="S446" i="2"/>
  <c r="R446" i="2"/>
  <c r="Q446" i="2"/>
  <c r="AN430" i="2"/>
  <c r="AM430" i="2"/>
  <c r="S430" i="2"/>
  <c r="R430" i="2"/>
  <c r="Q430" i="2"/>
  <c r="AN456" i="2"/>
  <c r="AM456" i="2"/>
  <c r="S456" i="2"/>
  <c r="R456" i="2"/>
  <c r="Q456" i="2"/>
  <c r="AN457" i="2"/>
  <c r="AM457" i="2"/>
  <c r="S457" i="2"/>
  <c r="R457" i="2"/>
  <c r="Q457" i="2"/>
  <c r="AN419" i="2"/>
  <c r="AM419" i="2"/>
  <c r="S419" i="2"/>
  <c r="R419" i="2"/>
  <c r="Q419" i="2"/>
  <c r="AN466" i="2"/>
  <c r="AM466" i="2"/>
  <c r="S466" i="2"/>
  <c r="R466" i="2"/>
  <c r="Q466" i="2"/>
  <c r="AN442" i="2"/>
  <c r="AM442" i="2"/>
  <c r="S442" i="2"/>
  <c r="R442" i="2"/>
  <c r="Q442" i="2"/>
  <c r="AN426" i="2"/>
  <c r="AM426" i="2"/>
  <c r="S426" i="2"/>
  <c r="R426" i="2"/>
  <c r="Q426" i="2"/>
  <c r="AN467" i="2"/>
  <c r="AM467" i="2"/>
  <c r="S467" i="2"/>
  <c r="R467" i="2"/>
  <c r="Q467" i="2"/>
  <c r="AN465" i="2"/>
  <c r="AM465" i="2"/>
  <c r="S465" i="2"/>
  <c r="R465" i="2"/>
  <c r="Q465" i="2"/>
  <c r="AN394" i="2"/>
  <c r="AM394" i="2"/>
  <c r="S394" i="2"/>
  <c r="R394" i="2"/>
  <c r="Q394" i="2"/>
  <c r="AN432" i="2"/>
  <c r="AM432" i="2"/>
  <c r="S432" i="2"/>
  <c r="R432" i="2"/>
  <c r="Q432" i="2"/>
  <c r="AN449" i="2"/>
  <c r="AM449" i="2"/>
  <c r="S449" i="2"/>
  <c r="R449" i="2"/>
  <c r="Q449" i="2"/>
  <c r="AN458" i="2"/>
  <c r="AM458" i="2"/>
  <c r="S458" i="2"/>
  <c r="R458" i="2"/>
  <c r="Q458" i="2"/>
  <c r="AN454" i="2"/>
  <c r="AM454" i="2"/>
  <c r="S454" i="2"/>
  <c r="R454" i="2"/>
  <c r="Q454" i="2"/>
  <c r="AN439" i="2"/>
  <c r="AM439" i="2"/>
  <c r="S439" i="2"/>
  <c r="R439" i="2"/>
  <c r="Q439" i="2"/>
  <c r="AN450" i="2"/>
  <c r="AM450" i="2"/>
  <c r="S450" i="2"/>
  <c r="R450" i="2"/>
  <c r="Q450" i="2"/>
  <c r="AN460" i="2"/>
  <c r="AM460" i="2"/>
  <c r="S460" i="2"/>
  <c r="R460" i="2"/>
  <c r="Q460" i="2"/>
  <c r="AN440" i="2"/>
  <c r="AM440" i="2"/>
  <c r="S440" i="2"/>
  <c r="R440" i="2"/>
  <c r="Q440" i="2"/>
  <c r="AN469" i="2"/>
  <c r="AM469" i="2"/>
  <c r="S469" i="2"/>
  <c r="R469" i="2"/>
  <c r="Q469" i="2"/>
  <c r="AN392" i="2"/>
  <c r="AM392" i="2"/>
  <c r="S392" i="2"/>
  <c r="R392" i="2"/>
  <c r="Q392" i="2"/>
  <c r="AN463" i="2"/>
  <c r="AM463" i="2"/>
  <c r="S463" i="2"/>
  <c r="R463" i="2"/>
  <c r="Q463" i="2"/>
  <c r="AN427" i="2"/>
  <c r="AM427" i="2"/>
  <c r="S427" i="2"/>
  <c r="R427" i="2"/>
  <c r="Q427" i="2"/>
  <c r="AN433" i="2"/>
  <c r="AM433" i="2"/>
  <c r="S433" i="2"/>
  <c r="R433" i="2"/>
  <c r="Q433" i="2"/>
  <c r="AN468" i="2"/>
  <c r="AM468" i="2"/>
  <c r="S468" i="2"/>
  <c r="R468" i="2"/>
  <c r="Q468" i="2"/>
  <c r="AN418" i="2"/>
  <c r="AM418" i="2"/>
  <c r="S418" i="2"/>
  <c r="R418" i="2"/>
  <c r="Q418" i="2"/>
  <c r="AN395" i="2"/>
  <c r="AM395" i="2"/>
  <c r="S395" i="2"/>
  <c r="R395" i="2"/>
  <c r="Q395" i="2"/>
  <c r="AN428" i="2"/>
  <c r="AM428" i="2"/>
  <c r="S428" i="2"/>
  <c r="R428" i="2"/>
  <c r="Q428" i="2"/>
  <c r="AN391" i="2"/>
  <c r="AM391" i="2"/>
  <c r="S391" i="2"/>
  <c r="R391" i="2"/>
  <c r="Q391" i="2"/>
  <c r="AN455" i="2"/>
  <c r="AM455" i="2"/>
  <c r="S455" i="2"/>
  <c r="R455" i="2"/>
  <c r="Q455" i="2"/>
  <c r="AN378" i="2"/>
  <c r="AM378" i="2"/>
  <c r="S378" i="2"/>
  <c r="R378" i="2"/>
  <c r="Q378" i="2"/>
  <c r="AN366" i="2"/>
  <c r="AM366" i="2"/>
  <c r="S366" i="2"/>
  <c r="R366" i="2"/>
  <c r="Q366" i="2"/>
  <c r="AN373" i="2"/>
  <c r="AM373" i="2"/>
  <c r="S373" i="2"/>
  <c r="R373" i="2"/>
  <c r="Q373" i="2"/>
  <c r="AN323" i="2"/>
  <c r="AM323" i="2"/>
  <c r="S323" i="2"/>
  <c r="R323" i="2"/>
  <c r="Q323" i="2"/>
  <c r="AN346" i="2"/>
  <c r="AM346" i="2"/>
  <c r="S346" i="2"/>
  <c r="R346" i="2"/>
  <c r="Q346" i="2"/>
  <c r="AN334" i="2"/>
  <c r="AM334" i="2"/>
  <c r="S334" i="2"/>
  <c r="R334" i="2"/>
  <c r="Q334" i="2"/>
  <c r="AN370" i="2"/>
  <c r="AM370" i="2"/>
  <c r="S370" i="2"/>
  <c r="R370" i="2"/>
  <c r="Q370" i="2"/>
  <c r="AN369" i="2"/>
  <c r="AM369" i="2"/>
  <c r="S369" i="2"/>
  <c r="R369" i="2"/>
  <c r="Q369" i="2"/>
  <c r="AN356" i="2"/>
  <c r="AM356" i="2"/>
  <c r="S356" i="2"/>
  <c r="R356" i="2"/>
  <c r="Q356" i="2"/>
  <c r="AN367" i="2"/>
  <c r="AM367" i="2"/>
  <c r="S367" i="2"/>
  <c r="R367" i="2"/>
  <c r="Q367" i="2"/>
  <c r="AN375" i="2"/>
  <c r="AM375" i="2"/>
  <c r="S375" i="2"/>
  <c r="R375" i="2"/>
  <c r="Q375" i="2"/>
  <c r="AN329" i="2"/>
  <c r="AM329" i="2"/>
  <c r="S329" i="2"/>
  <c r="R329" i="2"/>
  <c r="Q329" i="2"/>
  <c r="AN387" i="2"/>
  <c r="AM387" i="2"/>
  <c r="S387" i="2"/>
  <c r="R387" i="2"/>
  <c r="Q387" i="2"/>
  <c r="AN388" i="2"/>
  <c r="AM388" i="2"/>
  <c r="S388" i="2"/>
  <c r="R388" i="2"/>
  <c r="Q388" i="2"/>
  <c r="AN339" i="2"/>
  <c r="AM339" i="2"/>
  <c r="S339" i="2"/>
  <c r="R339" i="2"/>
  <c r="Q339" i="2"/>
  <c r="AN382" i="2"/>
  <c r="AM382" i="2"/>
  <c r="S382" i="2"/>
  <c r="R382" i="2"/>
  <c r="Q382" i="2"/>
  <c r="AN374" i="2"/>
  <c r="AM374" i="2"/>
  <c r="S374" i="2"/>
  <c r="R374" i="2"/>
  <c r="Q374" i="2"/>
  <c r="AN385" i="2"/>
  <c r="AM385" i="2"/>
  <c r="S385" i="2"/>
  <c r="R385" i="2"/>
  <c r="Q385" i="2"/>
  <c r="AN363" i="2"/>
  <c r="AM363" i="2"/>
  <c r="S363" i="2"/>
  <c r="R363" i="2"/>
  <c r="Q363" i="2"/>
  <c r="AN376" i="2"/>
  <c r="AM376" i="2"/>
  <c r="S376" i="2"/>
  <c r="R376" i="2"/>
  <c r="Q376" i="2"/>
  <c r="AN371" i="2"/>
  <c r="AM371" i="2"/>
  <c r="S371" i="2"/>
  <c r="R371" i="2"/>
  <c r="Q371" i="2"/>
  <c r="AN355" i="2"/>
  <c r="AM355" i="2"/>
  <c r="S355" i="2"/>
  <c r="R355" i="2"/>
  <c r="Q355" i="2"/>
  <c r="AN383" i="2"/>
  <c r="AM383" i="2"/>
  <c r="S383" i="2"/>
  <c r="R383" i="2"/>
  <c r="Q383" i="2"/>
  <c r="AN381" i="2"/>
  <c r="AM381" i="2"/>
  <c r="S381" i="2"/>
  <c r="R381" i="2"/>
  <c r="Q381" i="2"/>
  <c r="AN377" i="2"/>
  <c r="AM377" i="2"/>
  <c r="S377" i="2"/>
  <c r="R377" i="2"/>
  <c r="Q377" i="2"/>
  <c r="AN380" i="2"/>
  <c r="AM380" i="2"/>
  <c r="S380" i="2"/>
  <c r="R380" i="2"/>
  <c r="Q380" i="2"/>
  <c r="AN386" i="2"/>
  <c r="AM386" i="2"/>
  <c r="S386" i="2"/>
  <c r="R386" i="2"/>
  <c r="Q386" i="2"/>
  <c r="AN390" i="2"/>
  <c r="AM390" i="2"/>
  <c r="S390" i="2"/>
  <c r="R390" i="2"/>
  <c r="Q390" i="2"/>
  <c r="AN295" i="2"/>
  <c r="AM295" i="2"/>
  <c r="S295" i="2"/>
  <c r="R295" i="2"/>
  <c r="Q295" i="2"/>
  <c r="AN320" i="2"/>
  <c r="AM320" i="2"/>
  <c r="S320" i="2"/>
  <c r="R320" i="2"/>
  <c r="Q320" i="2"/>
  <c r="AN322" i="2"/>
  <c r="AM322" i="2"/>
  <c r="S322" i="2"/>
  <c r="R322" i="2"/>
  <c r="Q322" i="2"/>
  <c r="AN330" i="2"/>
  <c r="AM330" i="2"/>
  <c r="S330" i="2"/>
  <c r="R330" i="2"/>
  <c r="Q330" i="2"/>
  <c r="AN310" i="2"/>
  <c r="AM310" i="2"/>
  <c r="S310" i="2"/>
  <c r="R310" i="2"/>
  <c r="Q310" i="2"/>
  <c r="AN298" i="2"/>
  <c r="AM298" i="2"/>
  <c r="S298" i="2"/>
  <c r="R298" i="2"/>
  <c r="Q298" i="2"/>
  <c r="AN348" i="2"/>
  <c r="AM348" i="2"/>
  <c r="S348" i="2"/>
  <c r="R348" i="2"/>
  <c r="Q348" i="2"/>
  <c r="AN304" i="2"/>
  <c r="AM304" i="2"/>
  <c r="S304" i="2"/>
  <c r="R304" i="2"/>
  <c r="Q304" i="2"/>
  <c r="AN350" i="2"/>
  <c r="AM350" i="2"/>
  <c r="S350" i="2"/>
  <c r="R350" i="2"/>
  <c r="Q350" i="2"/>
  <c r="AN353" i="2"/>
  <c r="AM353" i="2"/>
  <c r="S353" i="2"/>
  <c r="R353" i="2"/>
  <c r="Q353" i="2"/>
  <c r="AN317" i="2"/>
  <c r="AM317" i="2"/>
  <c r="S317" i="2"/>
  <c r="R317" i="2"/>
  <c r="Q317" i="2"/>
  <c r="AN300" i="2"/>
  <c r="AM300" i="2"/>
  <c r="S300" i="2"/>
  <c r="R300" i="2"/>
  <c r="Q300" i="2"/>
  <c r="AN344" i="2"/>
  <c r="AM344" i="2"/>
  <c r="S344" i="2"/>
  <c r="R344" i="2"/>
  <c r="Q344" i="2"/>
  <c r="AN351" i="2"/>
  <c r="AM351" i="2"/>
  <c r="S351" i="2"/>
  <c r="R351" i="2"/>
  <c r="Q351" i="2"/>
  <c r="AN307" i="2"/>
  <c r="AM307" i="2"/>
  <c r="S307" i="2"/>
  <c r="R307" i="2"/>
  <c r="Q307" i="2"/>
  <c r="AN357" i="2"/>
  <c r="AM357" i="2"/>
  <c r="S357" i="2"/>
  <c r="R357" i="2"/>
  <c r="Q357" i="2"/>
  <c r="AN358" i="2"/>
  <c r="AM358" i="2"/>
  <c r="S358" i="2"/>
  <c r="R358" i="2"/>
  <c r="Q358" i="2"/>
  <c r="AN326" i="2"/>
  <c r="AM326" i="2"/>
  <c r="S326" i="2"/>
  <c r="R326" i="2"/>
  <c r="Q326" i="2"/>
  <c r="AN309" i="2"/>
  <c r="AM309" i="2"/>
  <c r="S309" i="2"/>
  <c r="R309" i="2"/>
  <c r="Q309" i="2"/>
  <c r="AN313" i="2"/>
  <c r="AM313" i="2"/>
  <c r="S313" i="2"/>
  <c r="R313" i="2"/>
  <c r="Q313" i="2"/>
  <c r="AN361" i="2"/>
  <c r="AM361" i="2"/>
  <c r="S361" i="2"/>
  <c r="R361" i="2"/>
  <c r="Q361" i="2"/>
  <c r="AN318" i="2"/>
  <c r="AM318" i="2"/>
  <c r="S318" i="2"/>
  <c r="R318" i="2"/>
  <c r="Q318" i="2"/>
  <c r="AN368" i="2"/>
  <c r="AM368" i="2"/>
  <c r="S368" i="2"/>
  <c r="R368" i="2"/>
  <c r="Q368" i="2"/>
  <c r="AN331" i="2"/>
  <c r="AM331" i="2"/>
  <c r="S331" i="2"/>
  <c r="R331" i="2"/>
  <c r="Q331" i="2"/>
  <c r="AN325" i="2"/>
  <c r="AM325" i="2"/>
  <c r="S325" i="2"/>
  <c r="R325" i="2"/>
  <c r="Q325" i="2"/>
  <c r="AN359" i="2"/>
  <c r="AM359" i="2"/>
  <c r="S359" i="2"/>
  <c r="R359" i="2"/>
  <c r="Q359" i="2"/>
  <c r="AN316" i="2"/>
  <c r="AM316" i="2"/>
  <c r="S316" i="2"/>
  <c r="R316" i="2"/>
  <c r="Q316" i="2"/>
  <c r="AN333" i="2"/>
  <c r="AM333" i="2"/>
  <c r="S333" i="2"/>
  <c r="R333" i="2"/>
  <c r="Q333" i="2"/>
  <c r="AN321" i="2"/>
  <c r="AM321" i="2"/>
  <c r="S321" i="2"/>
  <c r="R321" i="2"/>
  <c r="Q321" i="2"/>
  <c r="AN342" i="2"/>
  <c r="AM342" i="2"/>
  <c r="S342" i="2"/>
  <c r="R342" i="2"/>
  <c r="Q342" i="2"/>
  <c r="AN305" i="2"/>
  <c r="AM305" i="2"/>
  <c r="S305" i="2"/>
  <c r="R305" i="2"/>
  <c r="Q305" i="2"/>
  <c r="AN345" i="2"/>
  <c r="AM345" i="2"/>
  <c r="S345" i="2"/>
  <c r="R345" i="2"/>
  <c r="Q345" i="2"/>
  <c r="AN362" i="2"/>
  <c r="AM362" i="2"/>
  <c r="S362" i="2"/>
  <c r="R362" i="2"/>
  <c r="Q362" i="2"/>
  <c r="AN354" i="2"/>
  <c r="AM354" i="2"/>
  <c r="S354" i="2"/>
  <c r="R354" i="2"/>
  <c r="Q354" i="2"/>
  <c r="AN327" i="2"/>
  <c r="AM327" i="2"/>
  <c r="S327" i="2"/>
  <c r="R327" i="2"/>
  <c r="Q327" i="2"/>
  <c r="AN341" i="2"/>
  <c r="AM341" i="2"/>
  <c r="S341" i="2"/>
  <c r="R341" i="2"/>
  <c r="Q341" i="2"/>
  <c r="AN352" i="2"/>
  <c r="AM352" i="2"/>
  <c r="S352" i="2"/>
  <c r="R352" i="2"/>
  <c r="Q352" i="2"/>
  <c r="AN319" i="2"/>
  <c r="AM319" i="2"/>
  <c r="S319" i="2"/>
  <c r="R319" i="2"/>
  <c r="Q319" i="2"/>
  <c r="AN340" i="2"/>
  <c r="AM340" i="2"/>
  <c r="S340" i="2"/>
  <c r="R340" i="2"/>
  <c r="Q340" i="2"/>
  <c r="AN384" i="2"/>
  <c r="AM384" i="2"/>
  <c r="S384" i="2"/>
  <c r="R384" i="2"/>
  <c r="Q384" i="2"/>
  <c r="AN349" i="2"/>
  <c r="AM349" i="2"/>
  <c r="S349" i="2"/>
  <c r="R349" i="2"/>
  <c r="Q349" i="2"/>
  <c r="AN360" i="2"/>
  <c r="AM360" i="2"/>
  <c r="S360" i="2"/>
  <c r="R360" i="2"/>
  <c r="Q360" i="2"/>
  <c r="AN314" i="2"/>
  <c r="AM314" i="2"/>
  <c r="S314" i="2"/>
  <c r="R314" i="2"/>
  <c r="Q314" i="2"/>
  <c r="AN337" i="2"/>
  <c r="AM337" i="2"/>
  <c r="S337" i="2"/>
  <c r="R337" i="2"/>
  <c r="Q337" i="2"/>
  <c r="AN343" i="2"/>
  <c r="AM343" i="2"/>
  <c r="S343" i="2"/>
  <c r="R343" i="2"/>
  <c r="Q343" i="2"/>
  <c r="AN306" i="2"/>
  <c r="AM306" i="2"/>
  <c r="S306" i="2"/>
  <c r="R306" i="2"/>
  <c r="Q306" i="2"/>
  <c r="AN347" i="2"/>
  <c r="AM347" i="2"/>
  <c r="S347" i="2"/>
  <c r="R347" i="2"/>
  <c r="Q347" i="2"/>
  <c r="AN332" i="2"/>
  <c r="AM332" i="2"/>
  <c r="S332" i="2"/>
  <c r="R332" i="2"/>
  <c r="Q332" i="2"/>
  <c r="AN324" i="2"/>
  <c r="AM324" i="2"/>
  <c r="S324" i="2"/>
  <c r="R324" i="2"/>
  <c r="Q324" i="2"/>
  <c r="AN336" i="2"/>
  <c r="AM336" i="2"/>
  <c r="S336" i="2"/>
  <c r="R336" i="2"/>
  <c r="Q336" i="2"/>
  <c r="AN364" i="2"/>
  <c r="AM364" i="2"/>
  <c r="S364" i="2"/>
  <c r="R364" i="2"/>
  <c r="Q364" i="2"/>
  <c r="AN379" i="2"/>
  <c r="AM379" i="2"/>
  <c r="S379" i="2"/>
  <c r="R379" i="2"/>
  <c r="Q379" i="2"/>
  <c r="AN312" i="2"/>
  <c r="AM312" i="2"/>
  <c r="S312" i="2"/>
  <c r="R312" i="2"/>
  <c r="Q312" i="2"/>
  <c r="AN365" i="2"/>
  <c r="AM365" i="2"/>
  <c r="S365" i="2"/>
  <c r="R365" i="2"/>
  <c r="Q365" i="2"/>
  <c r="AN328" i="2"/>
  <c r="AM328" i="2"/>
  <c r="S328" i="2"/>
  <c r="R328" i="2"/>
  <c r="Q328" i="2"/>
  <c r="AN389" i="2"/>
  <c r="AM389" i="2"/>
  <c r="S389" i="2"/>
  <c r="R389" i="2"/>
  <c r="Q389" i="2"/>
  <c r="AN338" i="2"/>
  <c r="AM338" i="2"/>
  <c r="S338" i="2"/>
  <c r="R338" i="2"/>
  <c r="Q338" i="2"/>
  <c r="AN372" i="2"/>
  <c r="AM372" i="2"/>
  <c r="S372" i="2"/>
  <c r="R372" i="2"/>
  <c r="Q372" i="2"/>
  <c r="AN315" i="2"/>
  <c r="AM315" i="2"/>
  <c r="S315" i="2"/>
  <c r="R315" i="2"/>
  <c r="Q315" i="2"/>
  <c r="AN335" i="2"/>
  <c r="AM335" i="2"/>
  <c r="S335" i="2"/>
  <c r="R335" i="2"/>
  <c r="Q335" i="2"/>
  <c r="AN277" i="2"/>
  <c r="AM277" i="2"/>
  <c r="S277" i="2"/>
  <c r="R277" i="2"/>
  <c r="Q277" i="2"/>
  <c r="AN286" i="2"/>
  <c r="AM286" i="2"/>
  <c r="S286" i="2"/>
  <c r="R286" i="2"/>
  <c r="Q286" i="2"/>
  <c r="AN272" i="2"/>
  <c r="AM272" i="2"/>
  <c r="S272" i="2"/>
  <c r="R272" i="2"/>
  <c r="Q272" i="2"/>
  <c r="AN311" i="2"/>
  <c r="AM311" i="2"/>
  <c r="S311" i="2"/>
  <c r="R311" i="2"/>
  <c r="Q311" i="2"/>
  <c r="AN301" i="2"/>
  <c r="AM301" i="2"/>
  <c r="S301" i="2"/>
  <c r="R301" i="2"/>
  <c r="Q301" i="2"/>
  <c r="AN244" i="2"/>
  <c r="AM244" i="2"/>
  <c r="S244" i="2"/>
  <c r="R244" i="2"/>
  <c r="Q244" i="2"/>
  <c r="AN268" i="2"/>
  <c r="AM268" i="2"/>
  <c r="S268" i="2"/>
  <c r="R268" i="2"/>
  <c r="Q268" i="2"/>
  <c r="AN292" i="2"/>
  <c r="AM292" i="2"/>
  <c r="S292" i="2"/>
  <c r="R292" i="2"/>
  <c r="Q292" i="2"/>
  <c r="AN261" i="2"/>
  <c r="AM261" i="2"/>
  <c r="S261" i="2"/>
  <c r="R261" i="2"/>
  <c r="Q261" i="2"/>
  <c r="AN274" i="2"/>
  <c r="AM274" i="2"/>
  <c r="S274" i="2"/>
  <c r="R274" i="2"/>
  <c r="Q274" i="2"/>
  <c r="AN271" i="2"/>
  <c r="AM271" i="2"/>
  <c r="S271" i="2"/>
  <c r="R271" i="2"/>
  <c r="Q271" i="2"/>
  <c r="AN276" i="2"/>
  <c r="AM276" i="2"/>
  <c r="S276" i="2"/>
  <c r="R276" i="2"/>
  <c r="Q276" i="2"/>
  <c r="AN242" i="2"/>
  <c r="AM242" i="2"/>
  <c r="S242" i="2"/>
  <c r="R242" i="2"/>
  <c r="Q242" i="2"/>
  <c r="AN287" i="2"/>
  <c r="AM287" i="2"/>
  <c r="S287" i="2"/>
  <c r="R287" i="2"/>
  <c r="Q287" i="2"/>
  <c r="AN236" i="2"/>
  <c r="AM236" i="2"/>
  <c r="S236" i="2"/>
  <c r="R236" i="2"/>
  <c r="Q236" i="2"/>
  <c r="AN291" i="2"/>
  <c r="AM291" i="2"/>
  <c r="S291" i="2"/>
  <c r="R291" i="2"/>
  <c r="Q291" i="2"/>
  <c r="AN270" i="2"/>
  <c r="AM270" i="2"/>
  <c r="S270" i="2"/>
  <c r="R270" i="2"/>
  <c r="Q270" i="2"/>
  <c r="AN278" i="2"/>
  <c r="AM278" i="2"/>
  <c r="S278" i="2"/>
  <c r="R278" i="2"/>
  <c r="Q278" i="2"/>
  <c r="AN257" i="2"/>
  <c r="AM257" i="2"/>
  <c r="S257" i="2"/>
  <c r="R257" i="2"/>
  <c r="Q257" i="2"/>
  <c r="AN254" i="2"/>
  <c r="AM254" i="2"/>
  <c r="S254" i="2"/>
  <c r="R254" i="2"/>
  <c r="Q254" i="2"/>
  <c r="AN285" i="2"/>
  <c r="AM285" i="2"/>
  <c r="S285" i="2"/>
  <c r="R285" i="2"/>
  <c r="Q285" i="2"/>
  <c r="AN264" i="2"/>
  <c r="AM264" i="2"/>
  <c r="S264" i="2"/>
  <c r="R264" i="2"/>
  <c r="Q264" i="2"/>
  <c r="AN263" i="2"/>
  <c r="AM263" i="2"/>
  <c r="S263" i="2"/>
  <c r="R263" i="2"/>
  <c r="Q263" i="2"/>
  <c r="AN302" i="2"/>
  <c r="AM302" i="2"/>
  <c r="S302" i="2"/>
  <c r="R302" i="2"/>
  <c r="Q302" i="2"/>
  <c r="AN267" i="2"/>
  <c r="AM267" i="2"/>
  <c r="S267" i="2"/>
  <c r="R267" i="2"/>
  <c r="Q267" i="2"/>
  <c r="AN243" i="2"/>
  <c r="AM243" i="2"/>
  <c r="S243" i="2"/>
  <c r="R243" i="2"/>
  <c r="Q243" i="2"/>
  <c r="AN260" i="2"/>
  <c r="AM260" i="2"/>
  <c r="S260" i="2"/>
  <c r="R260" i="2"/>
  <c r="Q260" i="2"/>
  <c r="AN273" i="2"/>
  <c r="AM273" i="2"/>
  <c r="S273" i="2"/>
  <c r="R273" i="2"/>
  <c r="Q273" i="2"/>
  <c r="AN266" i="2"/>
  <c r="AM266" i="2"/>
  <c r="S266" i="2"/>
  <c r="R266" i="2"/>
  <c r="Q266" i="2"/>
  <c r="AN279" i="2"/>
  <c r="AM279" i="2"/>
  <c r="S279" i="2"/>
  <c r="R279" i="2"/>
  <c r="Q279" i="2"/>
  <c r="AN282" i="2"/>
  <c r="AM282" i="2"/>
  <c r="S282" i="2"/>
  <c r="R282" i="2"/>
  <c r="Q282" i="2"/>
  <c r="AN258" i="2"/>
  <c r="AM258" i="2"/>
  <c r="S258" i="2"/>
  <c r="R258" i="2"/>
  <c r="Q258" i="2"/>
  <c r="AN241" i="2"/>
  <c r="AM241" i="2"/>
  <c r="S241" i="2"/>
  <c r="R241" i="2"/>
  <c r="Q241" i="2"/>
  <c r="AN246" i="2"/>
  <c r="AM246" i="2"/>
  <c r="S246" i="2"/>
  <c r="R246" i="2"/>
  <c r="Q246" i="2"/>
  <c r="AN303" i="2"/>
  <c r="AM303" i="2"/>
  <c r="S303" i="2"/>
  <c r="R303" i="2"/>
  <c r="Q303" i="2"/>
  <c r="AN253" i="2"/>
  <c r="AM253" i="2"/>
  <c r="S253" i="2"/>
  <c r="R253" i="2"/>
  <c r="Q253" i="2"/>
  <c r="AN249" i="2"/>
  <c r="AM249" i="2"/>
  <c r="S249" i="2"/>
  <c r="R249" i="2"/>
  <c r="Q249" i="2"/>
  <c r="AN247" i="2"/>
  <c r="AM247" i="2"/>
  <c r="S247" i="2"/>
  <c r="R247" i="2"/>
  <c r="Q247" i="2"/>
  <c r="AN283" i="2"/>
  <c r="AM283" i="2"/>
  <c r="S283" i="2"/>
  <c r="R283" i="2"/>
  <c r="Q283" i="2"/>
  <c r="AN281" i="2"/>
  <c r="AM281" i="2"/>
  <c r="S281" i="2"/>
  <c r="R281" i="2"/>
  <c r="Q281" i="2"/>
  <c r="AN250" i="2"/>
  <c r="AM250" i="2"/>
  <c r="S250" i="2"/>
  <c r="R250" i="2"/>
  <c r="Q250" i="2"/>
  <c r="AN288" i="2"/>
  <c r="AM288" i="2"/>
  <c r="S288" i="2"/>
  <c r="R288" i="2"/>
  <c r="Q288" i="2"/>
  <c r="AN252" i="2"/>
  <c r="AM252" i="2"/>
  <c r="S252" i="2"/>
  <c r="R252" i="2"/>
  <c r="Q252" i="2"/>
  <c r="AN296" i="2"/>
  <c r="AM296" i="2"/>
  <c r="S296" i="2"/>
  <c r="R296" i="2"/>
  <c r="Q296" i="2"/>
  <c r="AN259" i="2"/>
  <c r="AM259" i="2"/>
  <c r="S259" i="2"/>
  <c r="R259" i="2"/>
  <c r="Q259" i="2"/>
  <c r="AN290" i="2"/>
  <c r="AM290" i="2"/>
  <c r="S290" i="2"/>
  <c r="R290" i="2"/>
  <c r="Q290" i="2"/>
  <c r="AN262" i="2"/>
  <c r="AM262" i="2"/>
  <c r="S262" i="2"/>
  <c r="R262" i="2"/>
  <c r="Q262" i="2"/>
  <c r="AN269" i="2"/>
  <c r="AM269" i="2"/>
  <c r="S269" i="2"/>
  <c r="R269" i="2"/>
  <c r="Q269" i="2"/>
  <c r="AN251" i="2"/>
  <c r="AM251" i="2"/>
  <c r="S251" i="2"/>
  <c r="R251" i="2"/>
  <c r="Q251" i="2"/>
  <c r="AN275" i="2"/>
  <c r="AM275" i="2"/>
  <c r="S275" i="2"/>
  <c r="R275" i="2"/>
  <c r="Q275" i="2"/>
  <c r="AN297" i="2"/>
  <c r="AM297" i="2"/>
  <c r="S297" i="2"/>
  <c r="R297" i="2"/>
  <c r="Q297" i="2"/>
  <c r="AN239" i="2"/>
  <c r="AM239" i="2"/>
  <c r="S239" i="2"/>
  <c r="R239" i="2"/>
  <c r="Q239" i="2"/>
  <c r="AN238" i="2"/>
  <c r="AM238" i="2"/>
  <c r="S238" i="2"/>
  <c r="R238" i="2"/>
  <c r="Q238" i="2"/>
  <c r="AN245" i="2"/>
  <c r="AM245" i="2"/>
  <c r="S245" i="2"/>
  <c r="R245" i="2"/>
  <c r="Q245" i="2"/>
  <c r="AN308" i="2"/>
  <c r="AM308" i="2"/>
  <c r="S308" i="2"/>
  <c r="R308" i="2"/>
  <c r="Q308" i="2"/>
  <c r="AN237" i="2"/>
  <c r="AM237" i="2"/>
  <c r="S237" i="2"/>
  <c r="R237" i="2"/>
  <c r="Q237" i="2"/>
  <c r="AN256" i="2"/>
  <c r="AM256" i="2"/>
  <c r="S256" i="2"/>
  <c r="R256" i="2"/>
  <c r="Q256" i="2"/>
  <c r="AN294" i="2"/>
  <c r="AM294" i="2"/>
  <c r="S294" i="2"/>
  <c r="R294" i="2"/>
  <c r="Q294" i="2"/>
  <c r="AN265" i="2"/>
  <c r="AM265" i="2"/>
  <c r="S265" i="2"/>
  <c r="R265" i="2"/>
  <c r="Q265" i="2"/>
  <c r="AN293" i="2"/>
  <c r="AM293" i="2"/>
  <c r="S293" i="2"/>
  <c r="R293" i="2"/>
  <c r="Q293" i="2"/>
  <c r="AN255" i="2"/>
  <c r="AM255" i="2"/>
  <c r="S255" i="2"/>
  <c r="R255" i="2"/>
  <c r="Q255" i="2"/>
  <c r="AN299" i="2"/>
  <c r="AM299" i="2"/>
  <c r="S299" i="2"/>
  <c r="R299" i="2"/>
  <c r="Q299" i="2"/>
  <c r="AN284" i="2"/>
  <c r="AM284" i="2"/>
  <c r="S284" i="2"/>
  <c r="R284" i="2"/>
  <c r="Q284" i="2"/>
  <c r="AN280" i="2"/>
  <c r="AM280" i="2"/>
  <c r="S280" i="2"/>
  <c r="R280" i="2"/>
  <c r="Q280" i="2"/>
  <c r="AN240" i="2"/>
  <c r="AM240" i="2"/>
  <c r="S240" i="2"/>
  <c r="R240" i="2"/>
  <c r="Q240" i="2"/>
  <c r="AN289" i="2"/>
  <c r="AM289" i="2"/>
  <c r="S289" i="2"/>
  <c r="R289" i="2"/>
  <c r="Q289" i="2"/>
  <c r="AN248" i="2"/>
  <c r="AM248" i="2"/>
  <c r="S248" i="2"/>
  <c r="R248" i="2"/>
  <c r="Q248" i="2"/>
  <c r="AN235" i="2"/>
  <c r="AM235" i="2"/>
  <c r="S235" i="2"/>
  <c r="R235" i="2"/>
  <c r="Q235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O228" i="2"/>
  <c r="N228" i="2"/>
  <c r="M228" i="2"/>
  <c r="R228" i="2" s="1"/>
  <c r="L228" i="2"/>
  <c r="K228" i="2"/>
  <c r="J228" i="2"/>
  <c r="S228" i="2" s="1"/>
  <c r="I228" i="2"/>
  <c r="H228" i="2"/>
  <c r="G228" i="2"/>
  <c r="F228" i="2"/>
  <c r="E228" i="2"/>
  <c r="D228" i="2"/>
  <c r="Q228" i="2" s="1"/>
  <c r="C228" i="2"/>
  <c r="B228" i="2"/>
  <c r="AN227" i="2"/>
  <c r="S227" i="2"/>
  <c r="R227" i="2"/>
  <c r="Q227" i="2"/>
  <c r="AN226" i="2"/>
  <c r="S226" i="2"/>
  <c r="R226" i="2"/>
  <c r="Q226" i="2"/>
  <c r="AN225" i="2"/>
  <c r="S225" i="2"/>
  <c r="R225" i="2"/>
  <c r="Q225" i="2"/>
  <c r="AN224" i="2"/>
  <c r="S224" i="2"/>
  <c r="R224" i="2"/>
  <c r="Q224" i="2"/>
  <c r="AN223" i="2"/>
  <c r="S223" i="2"/>
  <c r="R223" i="2"/>
  <c r="Q223" i="2"/>
  <c r="AN222" i="2"/>
  <c r="S222" i="2"/>
  <c r="R222" i="2"/>
  <c r="Q222" i="2"/>
  <c r="AN221" i="2"/>
  <c r="S221" i="2"/>
  <c r="R221" i="2"/>
  <c r="Q221" i="2"/>
  <c r="AN220" i="2"/>
  <c r="S220" i="2"/>
  <c r="R220" i="2"/>
  <c r="Q220" i="2"/>
  <c r="AN219" i="2"/>
  <c r="S219" i="2"/>
  <c r="R219" i="2"/>
  <c r="Q219" i="2"/>
  <c r="AN218" i="2"/>
  <c r="S218" i="2"/>
  <c r="R218" i="2"/>
  <c r="Q218" i="2"/>
  <c r="AN217" i="2"/>
  <c r="S217" i="2"/>
  <c r="R217" i="2"/>
  <c r="Q217" i="2"/>
  <c r="AN216" i="2"/>
  <c r="S216" i="2"/>
  <c r="R216" i="2"/>
  <c r="Q216" i="2"/>
  <c r="AN215" i="2"/>
  <c r="S215" i="2"/>
  <c r="R215" i="2"/>
  <c r="Q215" i="2"/>
  <c r="AN214" i="2"/>
  <c r="S214" i="2"/>
  <c r="R214" i="2"/>
  <c r="Q214" i="2"/>
  <c r="AN213" i="2"/>
  <c r="S213" i="2"/>
  <c r="R213" i="2"/>
  <c r="Q213" i="2"/>
  <c r="AN212" i="2"/>
  <c r="S212" i="2"/>
  <c r="R212" i="2"/>
  <c r="Q212" i="2"/>
  <c r="AN211" i="2"/>
  <c r="S211" i="2"/>
  <c r="R211" i="2"/>
  <c r="Q211" i="2"/>
  <c r="AN210" i="2"/>
  <c r="S210" i="2"/>
  <c r="R210" i="2"/>
  <c r="Q210" i="2"/>
  <c r="AN209" i="2"/>
  <c r="S209" i="2"/>
  <c r="R209" i="2"/>
  <c r="Q209" i="2"/>
  <c r="AN208" i="2"/>
  <c r="S208" i="2"/>
  <c r="R208" i="2"/>
  <c r="Q208" i="2"/>
  <c r="AN207" i="2"/>
  <c r="S207" i="2"/>
  <c r="R207" i="2"/>
  <c r="Q207" i="2"/>
  <c r="AN206" i="2"/>
  <c r="S206" i="2"/>
  <c r="R206" i="2"/>
  <c r="Q206" i="2"/>
  <c r="AN205" i="2"/>
  <c r="S205" i="2"/>
  <c r="R205" i="2"/>
  <c r="Q205" i="2"/>
  <c r="AN204" i="2"/>
  <c r="S204" i="2"/>
  <c r="R204" i="2"/>
  <c r="Q204" i="2"/>
  <c r="AN203" i="2"/>
  <c r="S203" i="2"/>
  <c r="R203" i="2"/>
  <c r="Q203" i="2"/>
  <c r="AN202" i="2"/>
  <c r="S202" i="2"/>
  <c r="R202" i="2"/>
  <c r="Q202" i="2"/>
  <c r="AN201" i="2"/>
  <c r="S201" i="2"/>
  <c r="R201" i="2"/>
  <c r="Q201" i="2"/>
  <c r="AN200" i="2"/>
  <c r="S200" i="2"/>
  <c r="R200" i="2"/>
  <c r="Q200" i="2"/>
  <c r="AN199" i="2"/>
  <c r="S199" i="2"/>
  <c r="R199" i="2"/>
  <c r="Q199" i="2"/>
  <c r="AN198" i="2"/>
  <c r="S198" i="2"/>
  <c r="R198" i="2"/>
  <c r="Q198" i="2"/>
  <c r="AN197" i="2"/>
  <c r="S197" i="2"/>
  <c r="R197" i="2"/>
  <c r="Q197" i="2"/>
  <c r="AN196" i="2"/>
  <c r="S196" i="2"/>
  <c r="R196" i="2"/>
  <c r="Q196" i="2"/>
  <c r="AN195" i="2"/>
  <c r="S195" i="2"/>
  <c r="R195" i="2"/>
  <c r="Q195" i="2"/>
  <c r="AN194" i="2"/>
  <c r="S194" i="2"/>
  <c r="R194" i="2"/>
  <c r="Q194" i="2"/>
  <c r="AN193" i="2"/>
  <c r="S193" i="2"/>
  <c r="R193" i="2"/>
  <c r="Q193" i="2"/>
  <c r="AN192" i="2"/>
  <c r="S192" i="2"/>
  <c r="R192" i="2"/>
  <c r="Q192" i="2"/>
  <c r="AN191" i="2"/>
  <c r="S191" i="2"/>
  <c r="R191" i="2"/>
  <c r="Q191" i="2"/>
  <c r="AN190" i="2"/>
  <c r="S190" i="2"/>
  <c r="R190" i="2"/>
  <c r="Q190" i="2"/>
  <c r="AN189" i="2"/>
  <c r="S189" i="2"/>
  <c r="R189" i="2"/>
  <c r="Q189" i="2"/>
  <c r="AN169" i="2"/>
  <c r="S169" i="2"/>
  <c r="R169" i="2"/>
  <c r="Q169" i="2"/>
  <c r="AN168" i="2"/>
  <c r="S168" i="2"/>
  <c r="R168" i="2"/>
  <c r="Q168" i="2"/>
  <c r="S167" i="2"/>
  <c r="R167" i="2"/>
  <c r="Q167" i="2"/>
  <c r="S166" i="2"/>
  <c r="R166" i="2"/>
  <c r="Q166" i="2"/>
  <c r="S165" i="2"/>
  <c r="R165" i="2"/>
  <c r="Q165" i="2"/>
  <c r="S164" i="2"/>
  <c r="R164" i="2"/>
  <c r="Q164" i="2"/>
  <c r="S163" i="2"/>
  <c r="R163" i="2"/>
  <c r="Q163" i="2"/>
  <c r="S162" i="2"/>
  <c r="R162" i="2"/>
  <c r="Q162" i="2"/>
  <c r="S161" i="2"/>
  <c r="R161" i="2"/>
  <c r="Q161" i="2"/>
  <c r="S160" i="2"/>
  <c r="R160" i="2"/>
  <c r="Q160" i="2"/>
  <c r="S159" i="2"/>
  <c r="R159" i="2"/>
  <c r="Q159" i="2"/>
  <c r="S158" i="2"/>
  <c r="R158" i="2"/>
  <c r="Q158" i="2"/>
  <c r="S157" i="2"/>
  <c r="R157" i="2"/>
  <c r="Q157" i="2"/>
  <c r="S156" i="2"/>
  <c r="R156" i="2"/>
  <c r="Q156" i="2"/>
  <c r="S155" i="2"/>
  <c r="R155" i="2"/>
  <c r="Q155" i="2"/>
  <c r="S154" i="2"/>
  <c r="R154" i="2"/>
  <c r="Q154" i="2"/>
  <c r="S153" i="2"/>
  <c r="R153" i="2"/>
  <c r="Q153" i="2"/>
  <c r="S152" i="2"/>
  <c r="R152" i="2"/>
  <c r="Q152" i="2"/>
  <c r="S151" i="2"/>
  <c r="R151" i="2"/>
  <c r="Q151" i="2"/>
  <c r="S150" i="2"/>
  <c r="R150" i="2"/>
  <c r="Q150" i="2"/>
  <c r="S149" i="2"/>
  <c r="R149" i="2"/>
  <c r="Q149" i="2"/>
  <c r="S148" i="2"/>
  <c r="R148" i="2"/>
  <c r="Q148" i="2"/>
  <c r="S147" i="2"/>
  <c r="R147" i="2"/>
  <c r="Q147" i="2"/>
  <c r="S146" i="2"/>
  <c r="R146" i="2"/>
  <c r="Q146" i="2"/>
  <c r="AN145" i="2"/>
  <c r="S145" i="2"/>
  <c r="R145" i="2"/>
  <c r="Q145" i="2"/>
  <c r="AN144" i="2"/>
  <c r="S144" i="2"/>
  <c r="R144" i="2"/>
  <c r="Q144" i="2"/>
  <c r="AN188" i="2"/>
  <c r="S188" i="2"/>
  <c r="R188" i="2"/>
  <c r="Q188" i="2"/>
  <c r="AN187" i="2"/>
  <c r="S187" i="2"/>
  <c r="R187" i="2"/>
  <c r="Q187" i="2"/>
  <c r="AN186" i="2"/>
  <c r="S186" i="2"/>
  <c r="R186" i="2"/>
  <c r="Q186" i="2"/>
  <c r="AN185" i="2"/>
  <c r="S185" i="2"/>
  <c r="R185" i="2"/>
  <c r="Q185" i="2"/>
  <c r="AN184" i="2"/>
  <c r="S184" i="2"/>
  <c r="R184" i="2"/>
  <c r="Q184" i="2"/>
  <c r="AN183" i="2"/>
  <c r="S183" i="2"/>
  <c r="R183" i="2"/>
  <c r="Q183" i="2"/>
  <c r="AN182" i="2"/>
  <c r="S182" i="2"/>
  <c r="R182" i="2"/>
  <c r="Q182" i="2"/>
  <c r="AN181" i="2"/>
  <c r="S181" i="2"/>
  <c r="R181" i="2"/>
  <c r="Q181" i="2"/>
  <c r="AN180" i="2"/>
  <c r="S180" i="2"/>
  <c r="R180" i="2"/>
  <c r="Q180" i="2"/>
  <c r="AN179" i="2"/>
  <c r="S179" i="2"/>
  <c r="R179" i="2"/>
  <c r="Q179" i="2"/>
  <c r="AN178" i="2"/>
  <c r="S178" i="2"/>
  <c r="R178" i="2"/>
  <c r="Q178" i="2"/>
  <c r="AN177" i="2"/>
  <c r="S177" i="2"/>
  <c r="R177" i="2"/>
  <c r="Q177" i="2"/>
  <c r="AN176" i="2"/>
  <c r="S176" i="2"/>
  <c r="R176" i="2"/>
  <c r="Q176" i="2"/>
  <c r="AN175" i="2"/>
  <c r="S175" i="2"/>
  <c r="R175" i="2"/>
  <c r="Q175" i="2"/>
  <c r="AN174" i="2"/>
  <c r="S174" i="2"/>
  <c r="R174" i="2"/>
  <c r="Q174" i="2"/>
  <c r="AN173" i="2"/>
  <c r="S173" i="2"/>
  <c r="R173" i="2"/>
  <c r="Q173" i="2"/>
  <c r="AN172" i="2"/>
  <c r="S172" i="2"/>
  <c r="R172" i="2"/>
  <c r="Q172" i="2"/>
  <c r="AN171" i="2"/>
  <c r="S171" i="2"/>
  <c r="R171" i="2"/>
  <c r="Q171" i="2"/>
  <c r="AN170" i="2"/>
  <c r="S170" i="2"/>
  <c r="R170" i="2"/>
  <c r="Q170" i="2"/>
  <c r="AN143" i="2"/>
  <c r="S143" i="2"/>
  <c r="R143" i="2"/>
  <c r="Q143" i="2"/>
  <c r="AN142" i="2"/>
  <c r="S142" i="2"/>
  <c r="R142" i="2"/>
  <c r="Q142" i="2"/>
  <c r="AN141" i="2"/>
  <c r="S141" i="2"/>
  <c r="R141" i="2"/>
  <c r="Q141" i="2"/>
  <c r="AN140" i="2"/>
  <c r="S140" i="2"/>
  <c r="R140" i="2"/>
  <c r="Q140" i="2"/>
  <c r="AN139" i="2"/>
  <c r="S139" i="2"/>
  <c r="R139" i="2"/>
  <c r="Q139" i="2"/>
  <c r="AN138" i="2"/>
  <c r="S138" i="2"/>
  <c r="R138" i="2"/>
  <c r="Q138" i="2"/>
  <c r="AN137" i="2"/>
  <c r="S137" i="2"/>
  <c r="R137" i="2"/>
  <c r="Q137" i="2"/>
  <c r="AN136" i="2"/>
  <c r="S136" i="2"/>
  <c r="R136" i="2"/>
  <c r="Q136" i="2"/>
  <c r="AN135" i="2"/>
  <c r="S135" i="2"/>
  <c r="R135" i="2"/>
  <c r="Q135" i="2"/>
  <c r="AN134" i="2"/>
  <c r="S134" i="2"/>
  <c r="R134" i="2"/>
  <c r="Q134" i="2"/>
  <c r="AN133" i="2"/>
  <c r="S133" i="2"/>
  <c r="R133" i="2"/>
  <c r="Q133" i="2"/>
  <c r="AN132" i="2"/>
  <c r="S132" i="2"/>
  <c r="R132" i="2"/>
  <c r="Q132" i="2"/>
  <c r="C129" i="2"/>
  <c r="C128" i="2"/>
  <c r="C127" i="2"/>
  <c r="AN126" i="2"/>
  <c r="S126" i="2"/>
  <c r="R126" i="2"/>
  <c r="Q126" i="2"/>
  <c r="AN125" i="2"/>
  <c r="S125" i="2"/>
  <c r="R125" i="2"/>
  <c r="Q125" i="2"/>
  <c r="AN124" i="2"/>
  <c r="S124" i="2"/>
  <c r="R124" i="2"/>
  <c r="Q124" i="2"/>
  <c r="AN123" i="2"/>
  <c r="S123" i="2"/>
  <c r="R123" i="2"/>
  <c r="Q123" i="2"/>
  <c r="AN122" i="2"/>
  <c r="S122" i="2"/>
  <c r="R122" i="2"/>
  <c r="Q122" i="2"/>
  <c r="AN121" i="2"/>
  <c r="S121" i="2"/>
  <c r="R121" i="2"/>
  <c r="Q121" i="2"/>
  <c r="AN120" i="2"/>
  <c r="S120" i="2"/>
  <c r="R120" i="2"/>
  <c r="Q120" i="2"/>
  <c r="AN119" i="2"/>
  <c r="S119" i="2"/>
  <c r="R119" i="2"/>
  <c r="Q119" i="2"/>
  <c r="AN118" i="2"/>
  <c r="S118" i="2"/>
  <c r="R118" i="2"/>
  <c r="Q118" i="2"/>
  <c r="AN117" i="2"/>
  <c r="S117" i="2"/>
  <c r="R117" i="2"/>
  <c r="Q117" i="2"/>
  <c r="AN116" i="2"/>
  <c r="S116" i="2"/>
  <c r="R116" i="2"/>
  <c r="Q116" i="2"/>
  <c r="AN115" i="2"/>
  <c r="S115" i="2"/>
  <c r="R115" i="2"/>
  <c r="Q115" i="2"/>
  <c r="AN114" i="2"/>
  <c r="S114" i="2"/>
  <c r="R114" i="2"/>
  <c r="Q114" i="2"/>
  <c r="AN113" i="2"/>
  <c r="S113" i="2"/>
  <c r="R113" i="2"/>
  <c r="Q113" i="2"/>
  <c r="AN112" i="2"/>
  <c r="S112" i="2"/>
  <c r="R112" i="2"/>
  <c r="Q112" i="2"/>
  <c r="AN111" i="2"/>
  <c r="S111" i="2"/>
  <c r="R111" i="2"/>
  <c r="Q111" i="2"/>
  <c r="AN110" i="2"/>
  <c r="S110" i="2"/>
  <c r="R110" i="2"/>
  <c r="Q110" i="2"/>
  <c r="AN109" i="2"/>
  <c r="S109" i="2"/>
  <c r="R109" i="2"/>
  <c r="Q109" i="2"/>
  <c r="AN108" i="2"/>
  <c r="S108" i="2"/>
  <c r="R108" i="2"/>
  <c r="Q108" i="2"/>
  <c r="AN107" i="2"/>
  <c r="S107" i="2"/>
  <c r="R107" i="2"/>
  <c r="Q107" i="2"/>
  <c r="AN106" i="2"/>
  <c r="S106" i="2"/>
  <c r="R106" i="2"/>
  <c r="Q106" i="2"/>
  <c r="AN105" i="2"/>
  <c r="S105" i="2"/>
  <c r="R105" i="2"/>
  <c r="Q105" i="2"/>
  <c r="AN104" i="2"/>
  <c r="S104" i="2"/>
  <c r="R104" i="2"/>
  <c r="Q104" i="2"/>
  <c r="AN103" i="2"/>
  <c r="S103" i="2"/>
  <c r="R103" i="2"/>
  <c r="Q103" i="2"/>
  <c r="AN102" i="2"/>
  <c r="S102" i="2"/>
  <c r="R102" i="2"/>
  <c r="Q102" i="2"/>
  <c r="AN101" i="2"/>
  <c r="S101" i="2"/>
  <c r="R101" i="2"/>
  <c r="Q101" i="2"/>
  <c r="AN100" i="2"/>
  <c r="S100" i="2"/>
  <c r="R100" i="2"/>
  <c r="Q100" i="2"/>
  <c r="AN99" i="2"/>
  <c r="S99" i="2"/>
  <c r="R99" i="2"/>
  <c r="Q99" i="2"/>
  <c r="AN98" i="2"/>
  <c r="S98" i="2"/>
  <c r="R98" i="2"/>
  <c r="Q98" i="2"/>
  <c r="AN97" i="2"/>
  <c r="S97" i="2"/>
  <c r="R97" i="2"/>
  <c r="Q97" i="2"/>
  <c r="AN96" i="2"/>
  <c r="S96" i="2"/>
  <c r="R96" i="2"/>
  <c r="Q96" i="2"/>
  <c r="AN95" i="2"/>
  <c r="S95" i="2"/>
  <c r="R95" i="2"/>
  <c r="Q95" i="2"/>
  <c r="AN94" i="2"/>
  <c r="S94" i="2"/>
  <c r="R94" i="2"/>
  <c r="Q94" i="2"/>
  <c r="AN93" i="2"/>
  <c r="S93" i="2"/>
  <c r="R93" i="2"/>
  <c r="Q93" i="2"/>
  <c r="AN92" i="2"/>
  <c r="S92" i="2"/>
  <c r="R92" i="2"/>
  <c r="Q92" i="2"/>
  <c r="AN91" i="2"/>
  <c r="S91" i="2"/>
  <c r="R91" i="2"/>
  <c r="Q91" i="2"/>
  <c r="AN90" i="2"/>
  <c r="S90" i="2"/>
  <c r="R90" i="2"/>
  <c r="Q90" i="2"/>
  <c r="AN89" i="2"/>
  <c r="S89" i="2"/>
  <c r="R89" i="2"/>
  <c r="Q89" i="2"/>
  <c r="AN88" i="2"/>
  <c r="S88" i="2"/>
  <c r="R88" i="2"/>
  <c r="Q88" i="2"/>
  <c r="AN87" i="2"/>
  <c r="S87" i="2"/>
  <c r="R87" i="2"/>
  <c r="Q87" i="2"/>
  <c r="AN86" i="2"/>
  <c r="S86" i="2"/>
  <c r="R86" i="2"/>
  <c r="Q86" i="2"/>
  <c r="AN85" i="2"/>
  <c r="S85" i="2"/>
  <c r="R85" i="2"/>
  <c r="Q85" i="2"/>
  <c r="AN84" i="2"/>
  <c r="S84" i="2"/>
  <c r="R84" i="2"/>
  <c r="Q84" i="2"/>
  <c r="AN83" i="2"/>
  <c r="S83" i="2"/>
  <c r="R83" i="2"/>
  <c r="Q83" i="2"/>
  <c r="AN82" i="2"/>
  <c r="S82" i="2"/>
  <c r="R82" i="2"/>
  <c r="Q82" i="2"/>
  <c r="AN81" i="2"/>
  <c r="S81" i="2"/>
  <c r="R81" i="2"/>
  <c r="Q81" i="2"/>
  <c r="AN80" i="2"/>
  <c r="S80" i="2"/>
  <c r="R80" i="2"/>
  <c r="Q80" i="2"/>
  <c r="AN79" i="2"/>
  <c r="S79" i="2"/>
  <c r="R79" i="2"/>
  <c r="Q79" i="2"/>
  <c r="AN78" i="2"/>
  <c r="S78" i="2"/>
  <c r="R78" i="2"/>
  <c r="Q78" i="2"/>
  <c r="AN77" i="2"/>
  <c r="S77" i="2"/>
  <c r="R77" i="2"/>
  <c r="Q77" i="2"/>
  <c r="AN76" i="2"/>
  <c r="S76" i="2"/>
  <c r="R76" i="2"/>
  <c r="Q76" i="2"/>
  <c r="AN75" i="2"/>
  <c r="S75" i="2"/>
  <c r="R75" i="2"/>
  <c r="Q75" i="2"/>
  <c r="AN74" i="2"/>
  <c r="S74" i="2"/>
  <c r="R74" i="2"/>
  <c r="Q74" i="2"/>
  <c r="AN73" i="2"/>
  <c r="S73" i="2"/>
  <c r="R73" i="2"/>
  <c r="Q73" i="2"/>
  <c r="AN72" i="2"/>
  <c r="S72" i="2"/>
  <c r="R72" i="2"/>
  <c r="Q72" i="2"/>
  <c r="AN71" i="2"/>
  <c r="S71" i="2"/>
  <c r="R71" i="2"/>
  <c r="Q71" i="2"/>
  <c r="AN70" i="2"/>
  <c r="S70" i="2"/>
  <c r="R70" i="2"/>
  <c r="Q70" i="2"/>
  <c r="AN69" i="2"/>
  <c r="S69" i="2"/>
  <c r="R69" i="2"/>
  <c r="Q69" i="2"/>
  <c r="AN68" i="2"/>
  <c r="S68" i="2"/>
  <c r="R68" i="2"/>
  <c r="Q68" i="2"/>
  <c r="AN67" i="2"/>
  <c r="S67" i="2"/>
  <c r="R67" i="2"/>
  <c r="Q67" i="2"/>
  <c r="AN66" i="2"/>
  <c r="S66" i="2"/>
  <c r="R66" i="2"/>
  <c r="Q66" i="2"/>
  <c r="AN65" i="2"/>
  <c r="S65" i="2"/>
  <c r="R65" i="2"/>
  <c r="Q65" i="2"/>
  <c r="AN64" i="2"/>
  <c r="S64" i="2"/>
  <c r="R64" i="2"/>
  <c r="Q64" i="2"/>
  <c r="AN63" i="2"/>
  <c r="S63" i="2"/>
  <c r="R63" i="2"/>
  <c r="Q63" i="2"/>
  <c r="AN62" i="2"/>
  <c r="S62" i="2"/>
  <c r="R62" i="2"/>
  <c r="Q62" i="2"/>
  <c r="AN61" i="2"/>
  <c r="R61" i="2"/>
  <c r="Q61" i="2"/>
  <c r="AN60" i="2"/>
  <c r="S60" i="2"/>
  <c r="R60" i="2"/>
  <c r="Q60" i="2"/>
  <c r="AN59" i="2"/>
  <c r="S59" i="2"/>
  <c r="R59" i="2"/>
  <c r="Q59" i="2"/>
  <c r="S58" i="2"/>
  <c r="R58" i="2"/>
  <c r="Q58" i="2"/>
  <c r="S57" i="2"/>
  <c r="R57" i="2"/>
  <c r="Q57" i="2"/>
  <c r="S56" i="2"/>
  <c r="R56" i="2"/>
  <c r="Q56" i="2"/>
  <c r="S55" i="2"/>
  <c r="R55" i="2"/>
  <c r="Q55" i="2"/>
  <c r="S54" i="2"/>
  <c r="R54" i="2"/>
  <c r="Q54" i="2"/>
  <c r="S53" i="2"/>
  <c r="R53" i="2"/>
  <c r="Q53" i="2"/>
  <c r="S52" i="2"/>
  <c r="R52" i="2"/>
  <c r="Q52" i="2"/>
  <c r="S51" i="2"/>
  <c r="R51" i="2"/>
  <c r="Q51" i="2"/>
  <c r="S50" i="2"/>
  <c r="R50" i="2"/>
  <c r="Q50" i="2"/>
  <c r="S49" i="2"/>
  <c r="R49" i="2"/>
  <c r="Q49" i="2"/>
  <c r="S48" i="2"/>
  <c r="R48" i="2"/>
  <c r="Q48" i="2"/>
  <c r="S47" i="2"/>
  <c r="R47" i="2"/>
  <c r="Q47" i="2"/>
  <c r="S46" i="2"/>
  <c r="R46" i="2"/>
  <c r="Q46" i="2"/>
  <c r="S45" i="2"/>
  <c r="R45" i="2"/>
  <c r="Q45" i="2"/>
  <c r="S44" i="2"/>
  <c r="R44" i="2"/>
  <c r="Q44" i="2"/>
  <c r="S43" i="2"/>
  <c r="R43" i="2"/>
  <c r="Q43" i="2"/>
  <c r="S42" i="2"/>
  <c r="R42" i="2"/>
  <c r="Q42" i="2"/>
  <c r="S41" i="2"/>
  <c r="R41" i="2"/>
  <c r="Q41" i="2"/>
  <c r="S40" i="2"/>
  <c r="R40" i="2"/>
  <c r="Q40" i="2"/>
  <c r="S39" i="2"/>
  <c r="R39" i="2"/>
  <c r="Q39" i="2"/>
  <c r="S38" i="2"/>
  <c r="R38" i="2"/>
  <c r="Q38" i="2"/>
  <c r="S37" i="2"/>
  <c r="R37" i="2"/>
  <c r="Q37" i="2"/>
  <c r="S36" i="2"/>
  <c r="R36" i="2"/>
  <c r="Q36" i="2"/>
  <c r="S35" i="2"/>
  <c r="R35" i="2"/>
  <c r="Q35" i="2"/>
  <c r="S34" i="2"/>
  <c r="R34" i="2"/>
  <c r="Q34" i="2"/>
  <c r="S33" i="2"/>
  <c r="R33" i="2"/>
  <c r="Q33" i="2"/>
  <c r="S32" i="2"/>
  <c r="R32" i="2"/>
  <c r="Q32" i="2"/>
  <c r="S31" i="2"/>
  <c r="R31" i="2"/>
  <c r="Q31" i="2"/>
  <c r="S30" i="2"/>
  <c r="R30" i="2"/>
  <c r="Q30" i="2"/>
  <c r="S29" i="2"/>
  <c r="R29" i="2"/>
  <c r="Q29" i="2"/>
  <c r="S28" i="2"/>
  <c r="R28" i="2"/>
  <c r="Q28" i="2"/>
  <c r="S27" i="2"/>
  <c r="R27" i="2"/>
  <c r="Q27" i="2"/>
  <c r="S26" i="2"/>
  <c r="R26" i="2"/>
  <c r="Q26" i="2"/>
  <c r="S25" i="2"/>
  <c r="R25" i="2"/>
  <c r="Q25" i="2"/>
  <c r="S24" i="2"/>
  <c r="R24" i="2"/>
  <c r="Q24" i="2"/>
  <c r="S23" i="2"/>
  <c r="R23" i="2"/>
  <c r="Q23" i="2"/>
  <c r="S22" i="2"/>
  <c r="R22" i="2"/>
  <c r="Q22" i="2"/>
  <c r="S21" i="2"/>
  <c r="R21" i="2"/>
  <c r="Q21" i="2"/>
  <c r="S20" i="2"/>
  <c r="R20" i="2"/>
  <c r="Q20" i="2"/>
  <c r="S19" i="2"/>
  <c r="R19" i="2"/>
  <c r="Q19" i="2"/>
  <c r="S18" i="2"/>
  <c r="R18" i="2"/>
  <c r="Q18" i="2"/>
  <c r="S17" i="2"/>
  <c r="R17" i="2"/>
  <c r="Q17" i="2"/>
  <c r="S16" i="2"/>
  <c r="R16" i="2"/>
  <c r="Q16" i="2"/>
  <c r="S15" i="2"/>
  <c r="R15" i="2"/>
  <c r="Q15" i="2"/>
  <c r="S14" i="2"/>
  <c r="R14" i="2"/>
  <c r="Q14" i="2"/>
  <c r="S13" i="2"/>
  <c r="R13" i="2"/>
  <c r="Q13" i="2"/>
  <c r="S12" i="2"/>
  <c r="R12" i="2"/>
  <c r="Q12" i="2"/>
  <c r="S11" i="2"/>
  <c r="R11" i="2"/>
  <c r="Q11" i="2"/>
  <c r="S10" i="2"/>
  <c r="R10" i="2"/>
  <c r="Q10" i="2"/>
  <c r="S9" i="2"/>
  <c r="R9" i="2"/>
  <c r="Q9" i="2"/>
  <c r="S8" i="2"/>
  <c r="R8" i="2"/>
  <c r="Q8" i="2"/>
  <c r="S7" i="2"/>
  <c r="R7" i="2"/>
  <c r="Q7" i="2"/>
  <c r="S6" i="2"/>
  <c r="R6" i="2"/>
  <c r="Q6" i="2"/>
  <c r="S5" i="2"/>
  <c r="R5" i="2"/>
  <c r="Q5" i="2"/>
  <c r="S147" i="1" l="1"/>
  <c r="U152" i="1"/>
  <c r="T89" i="1"/>
  <c r="V231" i="1"/>
  <c r="T222" i="1"/>
  <c r="U206" i="1"/>
  <c r="S69" i="1"/>
  <c r="S192" i="1"/>
  <c r="U228" i="1"/>
  <c r="S239" i="1"/>
  <c r="V75" i="1"/>
  <c r="T193" i="1"/>
  <c r="U71" i="1"/>
  <c r="S200" i="1"/>
  <c r="T221" i="1"/>
  <c r="U46" i="1"/>
  <c r="U72" i="1"/>
  <c r="S221" i="1"/>
  <c r="U181" i="1"/>
  <c r="U197" i="1"/>
  <c r="V228" i="1"/>
  <c r="V238" i="1"/>
  <c r="V198" i="1"/>
  <c r="T189" i="1"/>
  <c r="U204" i="1"/>
  <c r="T83" i="1"/>
  <c r="V78" i="1"/>
  <c r="U190" i="1"/>
  <c r="U221" i="1"/>
  <c r="S211" i="1"/>
  <c r="T237" i="1"/>
  <c r="T47" i="1"/>
  <c r="T111" i="1"/>
  <c r="V175" i="1"/>
  <c r="V191" i="1"/>
  <c r="U211" i="1"/>
  <c r="V221" i="1"/>
  <c r="S82" i="1"/>
  <c r="S98" i="1"/>
  <c r="U151" i="1"/>
  <c r="U163" i="1"/>
  <c r="U168" i="1"/>
  <c r="V173" i="1"/>
  <c r="S238" i="1"/>
  <c r="T77" i="1"/>
  <c r="T93" i="1"/>
  <c r="T174" i="1"/>
  <c r="S204" i="1"/>
  <c r="V214" i="1"/>
  <c r="U219" i="1"/>
  <c r="T224" i="1"/>
  <c r="U238" i="1"/>
  <c r="S62" i="1"/>
  <c r="V190" i="1"/>
  <c r="T204" i="1"/>
  <c r="U45" i="1"/>
  <c r="S52" i="1"/>
  <c r="T84" i="1"/>
  <c r="U116" i="1"/>
  <c r="U220" i="1"/>
  <c r="U229" i="1"/>
  <c r="U145" i="1"/>
  <c r="U180" i="1"/>
  <c r="V98" i="1"/>
  <c r="S206" i="1"/>
  <c r="U230" i="1"/>
  <c r="S96" i="1"/>
  <c r="S112" i="1"/>
  <c r="V206" i="1"/>
  <c r="T217" i="1"/>
  <c r="S231" i="1"/>
  <c r="V236" i="1"/>
  <c r="S102" i="1"/>
  <c r="U182" i="1"/>
  <c r="V212" i="1"/>
  <c r="U49" i="1"/>
  <c r="V97" i="1"/>
  <c r="S162" i="1"/>
  <c r="U187" i="1"/>
  <c r="U172" i="1"/>
  <c r="T178" i="1"/>
  <c r="U183" i="1"/>
  <c r="T208" i="1"/>
  <c r="T213" i="1"/>
  <c r="T228" i="1"/>
  <c r="T75" i="1"/>
  <c r="U79" i="1"/>
  <c r="T85" i="1"/>
  <c r="U156" i="1"/>
  <c r="U160" i="1"/>
  <c r="T170" i="1"/>
  <c r="U174" i="1"/>
  <c r="T190" i="1"/>
  <c r="S195" i="1"/>
  <c r="U213" i="1"/>
  <c r="T219" i="1"/>
  <c r="T233" i="1"/>
  <c r="T60" i="1"/>
  <c r="V101" i="1"/>
  <c r="U146" i="1"/>
  <c r="T175" i="1"/>
  <c r="V180" i="1"/>
  <c r="T43" i="1"/>
  <c r="S75" i="1"/>
  <c r="U80" i="1"/>
  <c r="V107" i="1"/>
  <c r="U112" i="1"/>
  <c r="T171" i="1"/>
  <c r="U175" i="1"/>
  <c r="U185" i="1"/>
  <c r="V201" i="1"/>
  <c r="U209" i="1"/>
  <c r="U214" i="1"/>
  <c r="T220" i="1"/>
  <c r="S224" i="1"/>
  <c r="T229" i="1"/>
  <c r="V43" i="1"/>
  <c r="T61" i="1"/>
  <c r="V66" i="1"/>
  <c r="T81" i="1"/>
  <c r="V181" i="1"/>
  <c r="T186" i="1"/>
  <c r="T191" i="1"/>
  <c r="T205" i="1"/>
  <c r="U215" i="1"/>
  <c r="V229" i="1"/>
  <c r="V234" i="1"/>
  <c r="V76" i="1"/>
  <c r="S103" i="1"/>
  <c r="U113" i="1"/>
  <c r="S154" i="1"/>
  <c r="S166" i="1"/>
  <c r="T172" i="1"/>
  <c r="U176" i="1"/>
  <c r="T182" i="1"/>
  <c r="U191" i="1"/>
  <c r="T197" i="1"/>
  <c r="U205" i="1"/>
  <c r="V225" i="1"/>
  <c r="T230" i="1"/>
  <c r="T235" i="1"/>
  <c r="T49" i="1"/>
  <c r="V54" i="1"/>
  <c r="V72" i="1"/>
  <c r="T87" i="1"/>
  <c r="T147" i="1"/>
  <c r="V182" i="1"/>
  <c r="T187" i="1"/>
  <c r="V197" i="1"/>
  <c r="T206" i="1"/>
  <c r="T216" i="1"/>
  <c r="V230" i="1"/>
  <c r="V187" i="1"/>
  <c r="T202" i="1"/>
  <c r="U88" i="1"/>
  <c r="V93" i="1"/>
  <c r="V226" i="1"/>
  <c r="T241" i="1"/>
  <c r="V50" i="1"/>
  <c r="V63" i="1"/>
  <c r="U68" i="1"/>
  <c r="S110" i="1"/>
  <c r="S168" i="1"/>
  <c r="T173" i="1"/>
  <c r="V188" i="1"/>
  <c r="S193" i="1"/>
  <c r="U198" i="1"/>
  <c r="T203" i="1"/>
  <c r="V207" i="1"/>
  <c r="T212" i="1"/>
  <c r="U236" i="1"/>
  <c r="S173" i="1"/>
  <c r="S56" i="1"/>
  <c r="V89" i="1"/>
  <c r="U173" i="1"/>
  <c r="V183" i="1"/>
  <c r="V199" i="1"/>
  <c r="U212" i="1"/>
  <c r="V222" i="1"/>
  <c r="U227" i="1"/>
  <c r="U217" i="1"/>
  <c r="V51" i="1"/>
  <c r="U56" i="1"/>
  <c r="V69" i="1"/>
  <c r="V84" i="1"/>
  <c r="T121" i="1"/>
  <c r="T125" i="1"/>
  <c r="T129" i="1"/>
  <c r="T133" i="1"/>
  <c r="T137" i="1"/>
  <c r="T141" i="1"/>
  <c r="V169" i="1"/>
  <c r="V179" i="1"/>
  <c r="U199" i="1"/>
  <c r="U222" i="1"/>
  <c r="U237" i="1"/>
  <c r="T57" i="1"/>
  <c r="U74" i="1"/>
  <c r="S79" i="1"/>
  <c r="S184" i="1"/>
  <c r="U189" i="1"/>
  <c r="U194" i="1"/>
  <c r="U200" i="1"/>
  <c r="V213" i="1"/>
  <c r="U218" i="1"/>
  <c r="V223" i="1"/>
  <c r="S228" i="1"/>
  <c r="U232" i="1"/>
  <c r="T238" i="1"/>
  <c r="S28" i="1"/>
  <c r="U48" i="1"/>
  <c r="S53" i="1"/>
  <c r="V58" i="1"/>
  <c r="S86" i="1"/>
  <c r="S95" i="1"/>
  <c r="U144" i="1"/>
  <c r="S170" i="1"/>
  <c r="T177" i="1"/>
  <c r="U188" i="1"/>
  <c r="V195" i="1"/>
  <c r="U201" i="1"/>
  <c r="S207" i="1"/>
  <c r="U225" i="1"/>
  <c r="T232" i="1"/>
  <c r="U28" i="1"/>
  <c r="T34" i="1"/>
  <c r="U53" i="1"/>
  <c r="S60" i="1"/>
  <c r="U69" i="1"/>
  <c r="U86" i="1"/>
  <c r="V91" i="1"/>
  <c r="S105" i="1"/>
  <c r="T154" i="1"/>
  <c r="S158" i="1"/>
  <c r="U170" i="1"/>
  <c r="S174" i="1"/>
  <c r="S177" i="1"/>
  <c r="S181" i="1"/>
  <c r="U184" i="1"/>
  <c r="S188" i="1"/>
  <c r="U195" i="1"/>
  <c r="S198" i="1"/>
  <c r="U207" i="1"/>
  <c r="V219" i="1"/>
  <c r="V232" i="1"/>
  <c r="S236" i="1"/>
  <c r="T239" i="1"/>
  <c r="V49" i="1"/>
  <c r="T59" i="1"/>
  <c r="V86" i="1"/>
  <c r="U100" i="1"/>
  <c r="U105" i="1"/>
  <c r="U115" i="1"/>
  <c r="T181" i="1"/>
  <c r="T188" i="1"/>
  <c r="S191" i="1"/>
  <c r="T198" i="1"/>
  <c r="T236" i="1"/>
  <c r="T66" i="1"/>
  <c r="V148" i="1"/>
  <c r="V171" i="1"/>
  <c r="S205" i="1"/>
  <c r="S208" i="1"/>
  <c r="S212" i="1"/>
  <c r="S219" i="1"/>
  <c r="U226" i="1"/>
  <c r="S229" i="1"/>
  <c r="U239" i="1"/>
  <c r="V41" i="1"/>
  <c r="S49" i="1"/>
  <c r="U96" i="1"/>
  <c r="V106" i="1"/>
  <c r="U155" i="1"/>
  <c r="T162" i="1"/>
  <c r="U171" i="1"/>
  <c r="V178" i="1"/>
  <c r="V184" i="1"/>
  <c r="V189" i="1"/>
  <c r="V196" i="1"/>
  <c r="S215" i="1"/>
  <c r="S222" i="1"/>
  <c r="S226" i="1"/>
  <c r="S233" i="1"/>
  <c r="V239" i="1"/>
  <c r="T44" i="1"/>
  <c r="T55" i="1"/>
  <c r="V145" i="1"/>
  <c r="U159" i="1"/>
  <c r="T166" i="1"/>
  <c r="V174" i="1"/>
  <c r="U178" i="1"/>
  <c r="T185" i="1"/>
  <c r="U196" i="1"/>
  <c r="T199" i="1"/>
  <c r="V202" i="1"/>
  <c r="T209" i="1"/>
  <c r="U233" i="1"/>
  <c r="S237" i="1"/>
  <c r="T240" i="1"/>
  <c r="T62" i="1"/>
  <c r="V70" i="1"/>
  <c r="U92" i="1"/>
  <c r="T107" i="1"/>
  <c r="T116" i="1"/>
  <c r="S149" i="1"/>
  <c r="V172" i="1"/>
  <c r="V185" i="1"/>
  <c r="S189" i="1"/>
  <c r="V192" i="1"/>
  <c r="S196" i="1"/>
  <c r="U202" i="1"/>
  <c r="V209" i="1"/>
  <c r="V215" i="1"/>
  <c r="V220" i="1"/>
  <c r="V227" i="1"/>
  <c r="T234" i="1"/>
  <c r="S240" i="1"/>
  <c r="V205" i="1"/>
  <c r="V67" i="1"/>
  <c r="V102" i="1"/>
  <c r="S172" i="1"/>
  <c r="U179" i="1"/>
  <c r="S182" i="1"/>
  <c r="U192" i="1"/>
  <c r="V203" i="1"/>
  <c r="V216" i="1"/>
  <c r="S220" i="1"/>
  <c r="S227" i="1"/>
  <c r="U234" i="1"/>
  <c r="S51" i="1"/>
  <c r="V62" i="1"/>
  <c r="S175" i="1"/>
  <c r="S179" i="1"/>
  <c r="S186" i="1"/>
  <c r="U203" i="1"/>
  <c r="V210" i="1"/>
  <c r="U216" i="1"/>
  <c r="S223" i="1"/>
  <c r="V237" i="1"/>
  <c r="V241" i="1"/>
  <c r="U93" i="1"/>
  <c r="V160" i="1"/>
  <c r="U186" i="1"/>
  <c r="S190" i="1"/>
  <c r="S197" i="1"/>
  <c r="S203" i="1"/>
  <c r="U210" i="1"/>
  <c r="S213" i="1"/>
  <c r="U223" i="1"/>
  <c r="V235" i="1"/>
  <c r="U241" i="1"/>
  <c r="U84" i="1"/>
  <c r="S164" i="1"/>
  <c r="V168" i="1"/>
  <c r="S210" i="1"/>
  <c r="S217" i="1"/>
  <c r="U235" i="1"/>
  <c r="S143" i="1"/>
  <c r="U169" i="1"/>
  <c r="T183" i="1"/>
  <c r="T194" i="1"/>
  <c r="U231" i="1"/>
  <c r="S235" i="1"/>
  <c r="V242" i="1"/>
  <c r="S109" i="1"/>
  <c r="V176" i="1"/>
  <c r="S180" i="1"/>
  <c r="V194" i="1"/>
  <c r="V200" i="1"/>
  <c r="V204" i="1"/>
  <c r="V211" i="1"/>
  <c r="T218" i="1"/>
  <c r="U242" i="1"/>
  <c r="T46" i="1"/>
  <c r="S72" i="1"/>
  <c r="V80" i="1"/>
  <c r="T90" i="1"/>
  <c r="V99" i="1"/>
  <c r="V104" i="1"/>
  <c r="U114" i="1"/>
  <c r="U161" i="1"/>
  <c r="S176" i="1"/>
  <c r="T201" i="1"/>
  <c r="T214" i="1"/>
  <c r="V218" i="1"/>
  <c r="T225" i="1"/>
  <c r="S242" i="1"/>
  <c r="T168" i="1"/>
  <c r="V170" i="1"/>
  <c r="U177" i="1"/>
  <c r="T184" i="1"/>
  <c r="V186" i="1"/>
  <c r="U193" i="1"/>
  <c r="T200" i="1"/>
  <c r="U208" i="1"/>
  <c r="T215" i="1"/>
  <c r="V217" i="1"/>
  <c r="U224" i="1"/>
  <c r="T231" i="1"/>
  <c r="V233" i="1"/>
  <c r="U240" i="1"/>
  <c r="V177" i="1"/>
  <c r="V193" i="1"/>
  <c r="V208" i="1"/>
  <c r="V224" i="1"/>
  <c r="V240" i="1"/>
  <c r="S171" i="1"/>
  <c r="T180" i="1"/>
  <c r="S187" i="1"/>
  <c r="T196" i="1"/>
  <c r="S202" i="1"/>
  <c r="T211" i="1"/>
  <c r="S218" i="1"/>
  <c r="T227" i="1"/>
  <c r="S234" i="1"/>
  <c r="S178" i="1"/>
  <c r="S194" i="1"/>
  <c r="S209" i="1"/>
  <c r="S225" i="1"/>
  <c r="S241" i="1"/>
  <c r="S169" i="1"/>
  <c r="S185" i="1"/>
  <c r="S201" i="1"/>
  <c r="S216" i="1"/>
  <c r="S232" i="1"/>
  <c r="T169" i="1"/>
  <c r="T176" i="1"/>
  <c r="S183" i="1"/>
  <c r="T192" i="1"/>
  <c r="S199" i="1"/>
  <c r="T207" i="1"/>
  <c r="S214" i="1"/>
  <c r="T223" i="1"/>
  <c r="S230" i="1"/>
  <c r="T179" i="1"/>
  <c r="T195" i="1"/>
  <c r="T210" i="1"/>
  <c r="T226" i="1"/>
  <c r="T242" i="1"/>
  <c r="U3" i="1"/>
  <c r="S14" i="1"/>
  <c r="U19" i="1"/>
  <c r="S30" i="1"/>
  <c r="U50" i="1"/>
  <c r="T67" i="1"/>
  <c r="T73" i="1"/>
  <c r="T79" i="1"/>
  <c r="V83" i="1"/>
  <c r="S87" i="1"/>
  <c r="U106" i="1"/>
  <c r="V110" i="1"/>
  <c r="T114" i="1"/>
  <c r="V149" i="1"/>
  <c r="V151" i="1"/>
  <c r="V164" i="1"/>
  <c r="T41" i="1"/>
  <c r="S54" i="1"/>
  <c r="T58" i="1"/>
  <c r="V79" i="1"/>
  <c r="U83" i="1"/>
  <c r="U91" i="1"/>
  <c r="U98" i="1"/>
  <c r="U102" i="1"/>
  <c r="T149" i="1"/>
  <c r="U154" i="1"/>
  <c r="T164" i="1"/>
  <c r="S4" i="1"/>
  <c r="S20" i="1"/>
  <c r="T36" i="1"/>
  <c r="U41" i="1"/>
  <c r="V47" i="1"/>
  <c r="U54" i="1"/>
  <c r="U58" i="1"/>
  <c r="U63" i="1"/>
  <c r="T80" i="1"/>
  <c r="V87" i="1"/>
  <c r="S91" i="1"/>
  <c r="U95" i="1"/>
  <c r="T99" i="1"/>
  <c r="V114" i="1"/>
  <c r="V119" i="1"/>
  <c r="V123" i="1"/>
  <c r="V127" i="1"/>
  <c r="V131" i="1"/>
  <c r="V135" i="1"/>
  <c r="V139" i="1"/>
  <c r="V143" i="1"/>
  <c r="V146" i="1"/>
  <c r="V158" i="1"/>
  <c r="V161" i="1"/>
  <c r="U47" i="1"/>
  <c r="T51" i="1"/>
  <c r="S67" i="1"/>
  <c r="T70" i="1"/>
  <c r="T91" i="1"/>
  <c r="T95" i="1"/>
  <c r="U107" i="1"/>
  <c r="S114" i="1"/>
  <c r="T119" i="1"/>
  <c r="T123" i="1"/>
  <c r="T127" i="1"/>
  <c r="T131" i="1"/>
  <c r="T135" i="1"/>
  <c r="T139" i="1"/>
  <c r="T143" i="1"/>
  <c r="U149" i="1"/>
  <c r="T158" i="1"/>
  <c r="U164" i="1"/>
  <c r="S10" i="1"/>
  <c r="T26" i="1"/>
  <c r="U51" i="1"/>
  <c r="V55" i="1"/>
  <c r="V59" i="1"/>
  <c r="U60" i="1"/>
  <c r="S64" i="1"/>
  <c r="U67" i="1"/>
  <c r="U70" i="1"/>
  <c r="U76" i="1"/>
  <c r="V95" i="1"/>
  <c r="U99" i="1"/>
  <c r="S107" i="1"/>
  <c r="S111" i="1"/>
  <c r="V152" i="1"/>
  <c r="V155" i="1"/>
  <c r="S42" i="1"/>
  <c r="T48" i="1"/>
  <c r="U55" i="1"/>
  <c r="U59" i="1"/>
  <c r="T64" i="1"/>
  <c r="T68" i="1"/>
  <c r="T71" i="1"/>
  <c r="S80" i="1"/>
  <c r="V88" i="1"/>
  <c r="T96" i="1"/>
  <c r="T103" i="1"/>
  <c r="U111" i="1"/>
  <c r="T115" i="1"/>
  <c r="U120" i="1"/>
  <c r="U124" i="1"/>
  <c r="U128" i="1"/>
  <c r="U132" i="1"/>
  <c r="U136" i="1"/>
  <c r="U140" i="1"/>
  <c r="U143" i="1"/>
  <c r="U150" i="1"/>
  <c r="T152" i="1"/>
  <c r="U158" i="1"/>
  <c r="U165" i="1"/>
  <c r="T11" i="1"/>
  <c r="T27" i="1"/>
  <c r="V44" i="1"/>
  <c r="V48" i="1"/>
  <c r="T56" i="1"/>
  <c r="V60" i="1"/>
  <c r="U64" i="1"/>
  <c r="V68" i="1"/>
  <c r="V71" i="1"/>
  <c r="S77" i="1"/>
  <c r="V92" i="1"/>
  <c r="V96" i="1"/>
  <c r="V100" i="1"/>
  <c r="U104" i="1"/>
  <c r="V115" i="1"/>
  <c r="V120" i="1"/>
  <c r="V124" i="1"/>
  <c r="V128" i="1"/>
  <c r="V132" i="1"/>
  <c r="V136" i="1"/>
  <c r="V140" i="1"/>
  <c r="V147" i="1"/>
  <c r="V150" i="1"/>
  <c r="S152" i="1"/>
  <c r="V162" i="1"/>
  <c r="V165" i="1"/>
  <c r="S44" i="1"/>
  <c r="V64" i="1"/>
  <c r="V111" i="1"/>
  <c r="S43" i="1"/>
  <c r="U44" i="1"/>
  <c r="V56" i="1"/>
  <c r="V61" i="1"/>
  <c r="T69" i="1"/>
  <c r="T72" i="1"/>
  <c r="U77" i="1"/>
  <c r="V81" i="1"/>
  <c r="V85" i="1"/>
  <c r="S89" i="1"/>
  <c r="T100" i="1"/>
  <c r="V108" i="1"/>
  <c r="T112" i="1"/>
  <c r="V144" i="1"/>
  <c r="V156" i="1"/>
  <c r="V159" i="1"/>
  <c r="V17" i="1"/>
  <c r="U43" i="1"/>
  <c r="T45" i="1"/>
  <c r="U61" i="1"/>
  <c r="V65" i="1"/>
  <c r="T74" i="1"/>
  <c r="V77" i="1"/>
  <c r="U81" i="1"/>
  <c r="U85" i="1"/>
  <c r="U89" i="1"/>
  <c r="S93" i="1"/>
  <c r="U108" i="1"/>
  <c r="V112" i="1"/>
  <c r="V116" i="1"/>
  <c r="U147" i="1"/>
  <c r="U153" i="1"/>
  <c r="T156" i="1"/>
  <c r="U162" i="1"/>
  <c r="V45" i="1"/>
  <c r="V74" i="1"/>
  <c r="T82" i="1"/>
  <c r="T86" i="1"/>
  <c r="T97" i="1"/>
  <c r="T101" i="1"/>
  <c r="V121" i="1"/>
  <c r="V125" i="1"/>
  <c r="V129" i="1"/>
  <c r="V133" i="1"/>
  <c r="V137" i="1"/>
  <c r="V141" i="1"/>
  <c r="V153" i="1"/>
  <c r="S156" i="1"/>
  <c r="V166" i="1"/>
  <c r="U148" i="1"/>
  <c r="U23" i="1"/>
  <c r="T53" i="1"/>
  <c r="V57" i="1"/>
  <c r="U62" i="1"/>
  <c r="S66" i="1"/>
  <c r="V82" i="1"/>
  <c r="U97" i="1"/>
  <c r="U101" i="1"/>
  <c r="T105" i="1"/>
  <c r="T109" i="1"/>
  <c r="V163" i="1"/>
  <c r="V13" i="1"/>
  <c r="V46" i="1"/>
  <c r="V53" i="1"/>
  <c r="U57" i="1"/>
  <c r="U66" i="1"/>
  <c r="V90" i="1"/>
  <c r="T98" i="1"/>
  <c r="T102" i="1"/>
  <c r="V105" i="1"/>
  <c r="U109" i="1"/>
  <c r="T113" i="1"/>
  <c r="U118" i="1"/>
  <c r="U122" i="1"/>
  <c r="U126" i="1"/>
  <c r="U130" i="1"/>
  <c r="U134" i="1"/>
  <c r="U138" i="1"/>
  <c r="U142" i="1"/>
  <c r="T145" i="1"/>
  <c r="U157" i="1"/>
  <c r="T160" i="1"/>
  <c r="U166" i="1"/>
  <c r="V3" i="1"/>
  <c r="U29" i="1"/>
  <c r="U34" i="1"/>
  <c r="S41" i="1"/>
  <c r="T54" i="1"/>
  <c r="S73" i="1"/>
  <c r="U75" i="1"/>
  <c r="U82" i="1"/>
  <c r="U90" i="1"/>
  <c r="V94" i="1"/>
  <c r="T106" i="1"/>
  <c r="V109" i="1"/>
  <c r="V113" i="1"/>
  <c r="V118" i="1"/>
  <c r="V122" i="1"/>
  <c r="V126" i="1"/>
  <c r="V130" i="1"/>
  <c r="V134" i="1"/>
  <c r="V138" i="1"/>
  <c r="V142" i="1"/>
  <c r="S145" i="1"/>
  <c r="V154" i="1"/>
  <c r="V157" i="1"/>
  <c r="S160" i="1"/>
  <c r="S118" i="1"/>
  <c r="S120" i="1"/>
  <c r="S122" i="1"/>
  <c r="S124" i="1"/>
  <c r="S126" i="1"/>
  <c r="S128" i="1"/>
  <c r="S130" i="1"/>
  <c r="S132" i="1"/>
  <c r="S134" i="1"/>
  <c r="S136" i="1"/>
  <c r="S138" i="1"/>
  <c r="S140" i="1"/>
  <c r="S142" i="1"/>
  <c r="S144" i="1"/>
  <c r="S146" i="1"/>
  <c r="S148" i="1"/>
  <c r="S150" i="1"/>
  <c r="S151" i="1"/>
  <c r="S153" i="1"/>
  <c r="S155" i="1"/>
  <c r="S157" i="1"/>
  <c r="S159" i="1"/>
  <c r="S161" i="1"/>
  <c r="S163" i="1"/>
  <c r="S165" i="1"/>
  <c r="T118" i="1"/>
  <c r="T120" i="1"/>
  <c r="T122" i="1"/>
  <c r="T124" i="1"/>
  <c r="T126" i="1"/>
  <c r="T128" i="1"/>
  <c r="T130" i="1"/>
  <c r="T132" i="1"/>
  <c r="T134" i="1"/>
  <c r="T136" i="1"/>
  <c r="T138" i="1"/>
  <c r="T140" i="1"/>
  <c r="T142" i="1"/>
  <c r="T144" i="1"/>
  <c r="T146" i="1"/>
  <c r="T148" i="1"/>
  <c r="T150" i="1"/>
  <c r="T151" i="1"/>
  <c r="T153" i="1"/>
  <c r="T155" i="1"/>
  <c r="T157" i="1"/>
  <c r="T159" i="1"/>
  <c r="T161" i="1"/>
  <c r="T163" i="1"/>
  <c r="T165" i="1"/>
  <c r="S119" i="1"/>
  <c r="S121" i="1"/>
  <c r="S123" i="1"/>
  <c r="S125" i="1"/>
  <c r="S127" i="1"/>
  <c r="S129" i="1"/>
  <c r="S131" i="1"/>
  <c r="S133" i="1"/>
  <c r="S135" i="1"/>
  <c r="S137" i="1"/>
  <c r="S139" i="1"/>
  <c r="S141" i="1"/>
  <c r="U119" i="1"/>
  <c r="U121" i="1"/>
  <c r="U123" i="1"/>
  <c r="U125" i="1"/>
  <c r="U127" i="1"/>
  <c r="U129" i="1"/>
  <c r="U131" i="1"/>
  <c r="U133" i="1"/>
  <c r="U135" i="1"/>
  <c r="U137" i="1"/>
  <c r="U139" i="1"/>
  <c r="U141" i="1"/>
  <c r="T42" i="1"/>
  <c r="S47" i="1"/>
  <c r="T52" i="1"/>
  <c r="S59" i="1"/>
  <c r="T65" i="1"/>
  <c r="S71" i="1"/>
  <c r="U73" i="1"/>
  <c r="T78" i="1"/>
  <c r="S85" i="1"/>
  <c r="U87" i="1"/>
  <c r="T94" i="1"/>
  <c r="S101" i="1"/>
  <c r="U103" i="1"/>
  <c r="T110" i="1"/>
  <c r="S94" i="1"/>
  <c r="U42" i="1"/>
  <c r="S50" i="1"/>
  <c r="U52" i="1"/>
  <c r="S63" i="1"/>
  <c r="U65" i="1"/>
  <c r="V73" i="1"/>
  <c r="S76" i="1"/>
  <c r="U78" i="1"/>
  <c r="S92" i="1"/>
  <c r="U94" i="1"/>
  <c r="V103" i="1"/>
  <c r="S108" i="1"/>
  <c r="U110" i="1"/>
  <c r="S65" i="1"/>
  <c r="S78" i="1"/>
  <c r="V42" i="1"/>
  <c r="S45" i="1"/>
  <c r="T50" i="1"/>
  <c r="V52" i="1"/>
  <c r="S57" i="1"/>
  <c r="T63" i="1"/>
  <c r="T76" i="1"/>
  <c r="S83" i="1"/>
  <c r="T92" i="1"/>
  <c r="S99" i="1"/>
  <c r="T108" i="1"/>
  <c r="S115" i="1"/>
  <c r="S48" i="1"/>
  <c r="S61" i="1"/>
  <c r="S74" i="1"/>
  <c r="S90" i="1"/>
  <c r="S106" i="1"/>
  <c r="S55" i="1"/>
  <c r="S68" i="1"/>
  <c r="S81" i="1"/>
  <c r="S97" i="1"/>
  <c r="S113" i="1"/>
  <c r="S88" i="1"/>
  <c r="S104" i="1"/>
  <c r="T88" i="1"/>
  <c r="T104" i="1"/>
  <c r="S46" i="1"/>
  <c r="S58" i="1"/>
  <c r="S70" i="1"/>
  <c r="S84" i="1"/>
  <c r="S100" i="1"/>
  <c r="S116" i="1"/>
  <c r="S5" i="1"/>
  <c r="T16" i="1"/>
  <c r="V35" i="1"/>
  <c r="V11" i="1"/>
  <c r="U20" i="1"/>
  <c r="U30" i="1"/>
  <c r="S21" i="1"/>
  <c r="S12" i="1"/>
  <c r="U36" i="1"/>
  <c r="U12" i="1"/>
  <c r="V22" i="1"/>
  <c r="V27" i="1"/>
  <c r="T32" i="1"/>
  <c r="T37" i="1"/>
  <c r="T13" i="1"/>
  <c r="U18" i="1"/>
  <c r="U27" i="1"/>
  <c r="S37" i="1"/>
  <c r="S27" i="1"/>
  <c r="U8" i="1"/>
  <c r="V33" i="1"/>
  <c r="T19" i="1"/>
  <c r="U4" i="1"/>
  <c r="T10" i="1"/>
  <c r="T20" i="1"/>
  <c r="U24" i="1"/>
  <c r="V29" i="1"/>
  <c r="U39" i="1"/>
  <c r="U5" i="1"/>
  <c r="V10" i="1"/>
  <c r="U17" i="1"/>
  <c r="S25" i="1"/>
  <c r="V32" i="1"/>
  <c r="V36" i="1"/>
  <c r="V5" i="1"/>
  <c r="S13" i="1"/>
  <c r="S17" i="1"/>
  <c r="V25" i="1"/>
  <c r="V28" i="1"/>
  <c r="V6" i="1"/>
  <c r="T18" i="1"/>
  <c r="T21" i="1"/>
  <c r="T33" i="1"/>
  <c r="S36" i="1"/>
  <c r="U13" i="1"/>
  <c r="V18" i="1"/>
  <c r="U21" i="1"/>
  <c r="V26" i="1"/>
  <c r="U33" i="1"/>
  <c r="V7" i="1"/>
  <c r="U11" i="1"/>
  <c r="S18" i="1"/>
  <c r="V21" i="1"/>
  <c r="S26" i="1"/>
  <c r="S29" i="1"/>
  <c r="S33" i="1"/>
  <c r="T3" i="1"/>
  <c r="S11" i="1"/>
  <c r="T29" i="1"/>
  <c r="U7" i="1"/>
  <c r="U14" i="1"/>
  <c r="V19" i="1"/>
  <c r="U37" i="1"/>
  <c r="T8" i="1"/>
  <c r="U15" i="1"/>
  <c r="V34" i="1"/>
  <c r="V37" i="1"/>
  <c r="V4" i="1"/>
  <c r="V8" i="1"/>
  <c r="V15" i="1"/>
  <c r="V23" i="1"/>
  <c r="S34" i="1"/>
  <c r="V38" i="1"/>
  <c r="T4" i="1"/>
  <c r="S9" i="1"/>
  <c r="V16" i="1"/>
  <c r="T24" i="1"/>
  <c r="U31" i="1"/>
  <c r="V39" i="1"/>
  <c r="V9" i="1"/>
  <c r="V12" i="1"/>
  <c r="V20" i="1"/>
  <c r="V24" i="1"/>
  <c r="V31" i="1"/>
  <c r="T5" i="1"/>
  <c r="T17" i="1"/>
  <c r="T35" i="1"/>
  <c r="S3" i="1"/>
  <c r="T12" i="1"/>
  <c r="V14" i="1"/>
  <c r="S19" i="1"/>
  <c r="T28" i="1"/>
  <c r="V30" i="1"/>
  <c r="S35" i="1"/>
  <c r="U35" i="1"/>
  <c r="S8" i="1"/>
  <c r="U10" i="1"/>
  <c r="S24" i="1"/>
  <c r="U26" i="1"/>
  <c r="S15" i="1"/>
  <c r="S31" i="1"/>
  <c r="S6" i="1"/>
  <c r="T15" i="1"/>
  <c r="S22" i="1"/>
  <c r="T31" i="1"/>
  <c r="S38" i="1"/>
  <c r="T6" i="1"/>
  <c r="T22" i="1"/>
  <c r="T38" i="1"/>
  <c r="U6" i="1"/>
  <c r="U22" i="1"/>
  <c r="U38" i="1"/>
  <c r="T9" i="1"/>
  <c r="S16" i="1"/>
  <c r="T25" i="1"/>
  <c r="S32" i="1"/>
  <c r="S7" i="1"/>
  <c r="U9" i="1"/>
  <c r="S23" i="1"/>
  <c r="U25" i="1"/>
  <c r="S39" i="1"/>
  <c r="T7" i="1"/>
  <c r="U16" i="1"/>
  <c r="T23" i="1"/>
  <c r="U32" i="1"/>
  <c r="T39" i="1"/>
  <c r="T14" i="1"/>
  <c r="T30" i="1"/>
  <c r="Q471" i="2"/>
  <c r="R471" i="2"/>
  <c r="S471" i="2"/>
  <c r="S470" i="2"/>
  <c r="R470" i="2"/>
  <c r="Q470" i="2"/>
  <c r="T21" i="2"/>
  <c r="N127" i="2"/>
  <c r="S472" i="2"/>
  <c r="R472" i="2"/>
  <c r="K129" i="2"/>
  <c r="Q472" i="2"/>
  <c r="L127" i="2"/>
  <c r="W25" i="2"/>
  <c r="B128" i="2"/>
  <c r="T460" i="2"/>
  <c r="T433" i="2"/>
  <c r="O129" i="2"/>
  <c r="V114" i="2"/>
  <c r="U152" i="2"/>
  <c r="U168" i="2"/>
  <c r="T147" i="2"/>
  <c r="T432" i="2"/>
  <c r="U44" i="2"/>
  <c r="T389" i="2"/>
  <c r="V64" i="2"/>
  <c r="U455" i="2"/>
  <c r="W395" i="2"/>
  <c r="T8" i="2"/>
  <c r="T24" i="2"/>
  <c r="T393" i="2"/>
  <c r="U447" i="2"/>
  <c r="T418" i="2"/>
  <c r="T242" i="2"/>
  <c r="T466" i="2"/>
  <c r="U422" i="2"/>
  <c r="T269" i="2"/>
  <c r="V63" i="2"/>
  <c r="J127" i="2"/>
  <c r="S127" i="2" s="1"/>
  <c r="G127" i="2"/>
  <c r="U182" i="2"/>
  <c r="V460" i="2"/>
  <c r="T430" i="2"/>
  <c r="T421" i="2"/>
  <c r="U429" i="2"/>
  <c r="T453" i="2"/>
  <c r="V317" i="2"/>
  <c r="V238" i="2"/>
  <c r="T281" i="2"/>
  <c r="T341" i="2"/>
  <c r="T15" i="2"/>
  <c r="V20" i="2"/>
  <c r="T469" i="2"/>
  <c r="T457" i="2"/>
  <c r="T416" i="2"/>
  <c r="W37" i="2"/>
  <c r="W345" i="2"/>
  <c r="U106" i="2"/>
  <c r="T365" i="2"/>
  <c r="T70" i="2"/>
  <c r="T172" i="2"/>
  <c r="T180" i="2"/>
  <c r="U337" i="2"/>
  <c r="T441" i="2"/>
  <c r="V139" i="2"/>
  <c r="T200" i="2"/>
  <c r="W378" i="2"/>
  <c r="V467" i="2"/>
  <c r="T44" i="2"/>
  <c r="V70" i="2"/>
  <c r="W152" i="2"/>
  <c r="T207" i="2"/>
  <c r="W390" i="2"/>
  <c r="U418" i="2"/>
  <c r="W420" i="2"/>
  <c r="U34" i="2"/>
  <c r="W176" i="2"/>
  <c r="T184" i="2"/>
  <c r="U345" i="2"/>
  <c r="U357" i="2"/>
  <c r="U465" i="2"/>
  <c r="W444" i="2"/>
  <c r="T40" i="2"/>
  <c r="U95" i="2"/>
  <c r="T224" i="2"/>
  <c r="W325" i="2"/>
  <c r="U300" i="2"/>
  <c r="U369" i="2"/>
  <c r="V416" i="2"/>
  <c r="U269" i="2"/>
  <c r="T61" i="2"/>
  <c r="T143" i="2"/>
  <c r="T424" i="2"/>
  <c r="V412" i="2"/>
  <c r="T409" i="2"/>
  <c r="V173" i="2"/>
  <c r="T261" i="2"/>
  <c r="T388" i="2"/>
  <c r="U441" i="2"/>
  <c r="U76" i="2"/>
  <c r="U84" i="2"/>
  <c r="U92" i="2"/>
  <c r="T149" i="2"/>
  <c r="W310" i="2"/>
  <c r="T72" i="2"/>
  <c r="T104" i="2"/>
  <c r="V116" i="2"/>
  <c r="V149" i="2"/>
  <c r="U286" i="2"/>
  <c r="W306" i="2"/>
  <c r="W124" i="2"/>
  <c r="U249" i="2"/>
  <c r="T400" i="2"/>
  <c r="V443" i="2"/>
  <c r="T425" i="2"/>
  <c r="T404" i="2"/>
  <c r="W342" i="2"/>
  <c r="U430" i="2"/>
  <c r="T202" i="2"/>
  <c r="T271" i="2"/>
  <c r="W387" i="2"/>
  <c r="U421" i="2"/>
  <c r="W399" i="2"/>
  <c r="T11" i="2"/>
  <c r="U32" i="2"/>
  <c r="T77" i="2"/>
  <c r="T93" i="2"/>
  <c r="W105" i="2"/>
  <c r="T109" i="2"/>
  <c r="T43" i="2"/>
  <c r="V109" i="2"/>
  <c r="W141" i="2"/>
  <c r="V330" i="2"/>
  <c r="U334" i="2"/>
  <c r="U408" i="2"/>
  <c r="T459" i="2"/>
  <c r="U12" i="2"/>
  <c r="W109" i="2"/>
  <c r="V113" i="2"/>
  <c r="V137" i="2"/>
  <c r="V287" i="2"/>
  <c r="V368" i="2"/>
  <c r="T353" i="2"/>
  <c r="U16" i="2"/>
  <c r="V83" i="2"/>
  <c r="U87" i="2"/>
  <c r="V171" i="2"/>
  <c r="U238" i="2"/>
  <c r="T110" i="2"/>
  <c r="T146" i="2"/>
  <c r="U194" i="2"/>
  <c r="W282" i="2"/>
  <c r="U389" i="2"/>
  <c r="T336" i="2"/>
  <c r="W352" i="2"/>
  <c r="W333" i="2"/>
  <c r="U436" i="2"/>
  <c r="T76" i="2"/>
  <c r="T84" i="2"/>
  <c r="W95" i="2"/>
  <c r="W99" i="2"/>
  <c r="T142" i="2"/>
  <c r="T218" i="2"/>
  <c r="T265" i="2"/>
  <c r="T249" i="2"/>
  <c r="W286" i="2"/>
  <c r="U381" i="2"/>
  <c r="W371" i="2"/>
  <c r="W442" i="2"/>
  <c r="T448" i="2"/>
  <c r="V80" i="2"/>
  <c r="V172" i="2"/>
  <c r="V162" i="2"/>
  <c r="W202" i="2"/>
  <c r="V210" i="2"/>
  <c r="W218" i="2"/>
  <c r="V226" i="2"/>
  <c r="V249" i="2"/>
  <c r="V448" i="2"/>
  <c r="U28" i="2"/>
  <c r="W33" i="2"/>
  <c r="W43" i="2"/>
  <c r="T63" i="2"/>
  <c r="W115" i="2"/>
  <c r="W157" i="2"/>
  <c r="T168" i="2"/>
  <c r="W290" i="2"/>
  <c r="T252" i="2"/>
  <c r="W302" i="2"/>
  <c r="T292" i="2"/>
  <c r="T465" i="2"/>
  <c r="V445" i="2"/>
  <c r="T28" i="2"/>
  <c r="W54" i="2"/>
  <c r="W84" i="2"/>
  <c r="V88" i="2"/>
  <c r="T195" i="2"/>
  <c r="V271" i="2"/>
  <c r="U341" i="2"/>
  <c r="V375" i="2"/>
  <c r="W346" i="2"/>
  <c r="V411" i="2"/>
  <c r="T92" i="2"/>
  <c r="V49" i="2"/>
  <c r="V73" i="2"/>
  <c r="V77" i="2"/>
  <c r="U100" i="2"/>
  <c r="T372" i="2"/>
  <c r="U313" i="2"/>
  <c r="W376" i="2"/>
  <c r="T447" i="2"/>
  <c r="W29" i="2"/>
  <c r="T55" i="2"/>
  <c r="W60" i="2"/>
  <c r="T64" i="2"/>
  <c r="U380" i="2"/>
  <c r="V398" i="2"/>
  <c r="T461" i="2"/>
  <c r="T19" i="2"/>
  <c r="V29" i="2"/>
  <c r="W288" i="2"/>
  <c r="T266" i="2"/>
  <c r="U420" i="2"/>
  <c r="U291" i="2"/>
  <c r="W321" i="2"/>
  <c r="U382" i="2"/>
  <c r="T35" i="2"/>
  <c r="T51" i="2"/>
  <c r="W64" i="2"/>
  <c r="V74" i="2"/>
  <c r="W125" i="2"/>
  <c r="V170" i="2"/>
  <c r="V212" i="2"/>
  <c r="T258" i="2"/>
  <c r="V266" i="2"/>
  <c r="V242" i="2"/>
  <c r="U460" i="2"/>
  <c r="W405" i="2"/>
  <c r="W41" i="2"/>
  <c r="U186" i="2"/>
  <c r="W303" i="2"/>
  <c r="W338" i="2"/>
  <c r="W357" i="2"/>
  <c r="W412" i="2"/>
  <c r="T31" i="2"/>
  <c r="U36" i="2"/>
  <c r="V52" i="2"/>
  <c r="T65" i="2"/>
  <c r="T102" i="2"/>
  <c r="W175" i="2"/>
  <c r="U179" i="2"/>
  <c r="V193" i="2"/>
  <c r="W201" i="2"/>
  <c r="V247" i="2"/>
  <c r="T337" i="2"/>
  <c r="T318" i="2"/>
  <c r="T357" i="2"/>
  <c r="V424" i="2"/>
  <c r="T417" i="2"/>
  <c r="W22" i="2"/>
  <c r="T27" i="2"/>
  <c r="T32" i="2"/>
  <c r="W55" i="2"/>
  <c r="W67" i="2"/>
  <c r="V97" i="2"/>
  <c r="V101" i="2"/>
  <c r="V112" i="2"/>
  <c r="U139" i="2"/>
  <c r="W179" i="2"/>
  <c r="T154" i="2"/>
  <c r="U200" i="2"/>
  <c r="U223" i="2"/>
  <c r="V237" i="2"/>
  <c r="V263" i="2"/>
  <c r="U384" i="2"/>
  <c r="T380" i="2"/>
  <c r="W374" i="2"/>
  <c r="V388" i="2"/>
  <c r="V469" i="2"/>
  <c r="T426" i="2"/>
  <c r="U400" i="2"/>
  <c r="T408" i="2"/>
  <c r="T422" i="2"/>
  <c r="W402" i="2"/>
  <c r="U18" i="2"/>
  <c r="U56" i="2"/>
  <c r="I127" i="2"/>
  <c r="U183" i="2"/>
  <c r="V154" i="2"/>
  <c r="V299" i="2"/>
  <c r="U379" i="2"/>
  <c r="V306" i="2"/>
  <c r="U330" i="2"/>
  <c r="W469" i="2"/>
  <c r="V408" i="2"/>
  <c r="U8" i="2"/>
  <c r="W13" i="2"/>
  <c r="V72" i="2"/>
  <c r="W79" i="2"/>
  <c r="W83" i="2"/>
  <c r="V86" i="2"/>
  <c r="V90" i="2"/>
  <c r="W94" i="2"/>
  <c r="U98" i="2"/>
  <c r="U102" i="2"/>
  <c r="G128" i="2"/>
  <c r="V135" i="2"/>
  <c r="W172" i="2"/>
  <c r="V189" i="2"/>
  <c r="V196" i="2"/>
  <c r="U204" i="2"/>
  <c r="U227" i="2"/>
  <c r="U306" i="2"/>
  <c r="T354" i="2"/>
  <c r="W344" i="2"/>
  <c r="W295" i="2"/>
  <c r="V430" i="2"/>
  <c r="W415" i="2"/>
  <c r="U412" i="2"/>
  <c r="T429" i="2"/>
  <c r="V453" i="2"/>
  <c r="T411" i="2"/>
  <c r="W187" i="2"/>
  <c r="W216" i="2"/>
  <c r="U308" i="2"/>
  <c r="W257" i="2"/>
  <c r="V325" i="2"/>
  <c r="W463" i="2"/>
  <c r="T9" i="2"/>
  <c r="W23" i="2"/>
  <c r="V28" i="2"/>
  <c r="V37" i="2"/>
  <c r="V42" i="2"/>
  <c r="T52" i="2"/>
  <c r="W68" i="2"/>
  <c r="W14" i="2"/>
  <c r="W47" i="2"/>
  <c r="M128" i="2"/>
  <c r="U117" i="2"/>
  <c r="T125" i="2"/>
  <c r="V187" i="2"/>
  <c r="T151" i="2"/>
  <c r="T197" i="2"/>
  <c r="U280" i="2"/>
  <c r="V308" i="2"/>
  <c r="V252" i="2"/>
  <c r="V282" i="2"/>
  <c r="T257" i="2"/>
  <c r="V268" i="2"/>
  <c r="V277" i="2"/>
  <c r="U332" i="2"/>
  <c r="V343" i="2"/>
  <c r="T382" i="2"/>
  <c r="V468" i="2"/>
  <c r="T463" i="2"/>
  <c r="W440" i="2"/>
  <c r="U439" i="2"/>
  <c r="T412" i="2"/>
  <c r="W401" i="2"/>
  <c r="W5" i="2"/>
  <c r="W9" i="2"/>
  <c r="V33" i="2"/>
  <c r="U48" i="2"/>
  <c r="U52" i="2"/>
  <c r="N129" i="2"/>
  <c r="W73" i="2"/>
  <c r="W76" i="2"/>
  <c r="V91" i="2"/>
  <c r="V117" i="2"/>
  <c r="V121" i="2"/>
  <c r="V125" i="2"/>
  <c r="W146" i="2"/>
  <c r="V220" i="2"/>
  <c r="W273" i="2"/>
  <c r="T333" i="2"/>
  <c r="U463" i="2"/>
  <c r="V449" i="2"/>
  <c r="W459" i="2"/>
  <c r="U10" i="2"/>
  <c r="U103" i="2"/>
  <c r="V184" i="2"/>
  <c r="T213" i="2"/>
  <c r="W248" i="2"/>
  <c r="V338" i="2"/>
  <c r="T360" i="2"/>
  <c r="V340" i="2"/>
  <c r="W362" i="2"/>
  <c r="T326" i="2"/>
  <c r="W300" i="2"/>
  <c r="W377" i="2"/>
  <c r="V355" i="2"/>
  <c r="V439" i="2"/>
  <c r="V457" i="2"/>
  <c r="V414" i="2"/>
  <c r="T464" i="2"/>
  <c r="V420" i="2"/>
  <c r="W410" i="2"/>
  <c r="V461" i="2"/>
  <c r="U20" i="2"/>
  <c r="W62" i="2"/>
  <c r="V65" i="2"/>
  <c r="T69" i="2"/>
  <c r="U118" i="2"/>
  <c r="W177" i="2"/>
  <c r="U181" i="2"/>
  <c r="T152" i="2"/>
  <c r="U283" i="2"/>
  <c r="U244" i="2"/>
  <c r="V360" i="2"/>
  <c r="T342" i="2"/>
  <c r="U331" i="2"/>
  <c r="W361" i="2"/>
  <c r="V326" i="2"/>
  <c r="U329" i="2"/>
  <c r="W356" i="2"/>
  <c r="T455" i="2"/>
  <c r="W457" i="2"/>
  <c r="W421" i="2"/>
  <c r="W15" i="2"/>
  <c r="T20" i="2"/>
  <c r="T29" i="2"/>
  <c r="V58" i="2"/>
  <c r="U62" i="2"/>
  <c r="W122" i="2"/>
  <c r="U126" i="2"/>
  <c r="W269" i="2"/>
  <c r="U259" i="2"/>
  <c r="T302" i="2"/>
  <c r="U285" i="2"/>
  <c r="V272" i="2"/>
  <c r="T335" i="2"/>
  <c r="V342" i="2"/>
  <c r="T300" i="2"/>
  <c r="W350" i="2"/>
  <c r="T329" i="2"/>
  <c r="W455" i="2"/>
  <c r="U432" i="2"/>
  <c r="V421" i="2"/>
  <c r="U425" i="2"/>
  <c r="U393" i="2"/>
  <c r="U96" i="2"/>
  <c r="W191" i="2"/>
  <c r="U218" i="2"/>
  <c r="V371" i="2"/>
  <c r="U385" i="2"/>
  <c r="W466" i="2"/>
  <c r="W16" i="2"/>
  <c r="W30" i="2"/>
  <c r="W39" i="2"/>
  <c r="W59" i="2"/>
  <c r="U66" i="2"/>
  <c r="V81" i="2"/>
  <c r="U104" i="2"/>
  <c r="U170" i="2"/>
  <c r="T174" i="2"/>
  <c r="T158" i="2"/>
  <c r="T163" i="2"/>
  <c r="W284" i="2"/>
  <c r="V260" i="2"/>
  <c r="V349" i="2"/>
  <c r="V358" i="2"/>
  <c r="W456" i="2"/>
  <c r="W437" i="2"/>
  <c r="W409" i="2"/>
  <c r="V12" i="2"/>
  <c r="V21" i="2"/>
  <c r="U45" i="2"/>
  <c r="W50" i="2"/>
  <c r="T85" i="2"/>
  <c r="W89" i="2"/>
  <c r="W108" i="2"/>
  <c r="W119" i="2"/>
  <c r="V174" i="2"/>
  <c r="U149" i="2"/>
  <c r="V158" i="2"/>
  <c r="V195" i="2"/>
  <c r="W199" i="2"/>
  <c r="V289" i="2"/>
  <c r="U258" i="2"/>
  <c r="U270" i="2"/>
  <c r="T286" i="2"/>
  <c r="W312" i="2"/>
  <c r="V336" i="2"/>
  <c r="V321" i="2"/>
  <c r="T351" i="2"/>
  <c r="W391" i="2"/>
  <c r="W418" i="2"/>
  <c r="V427" i="2"/>
  <c r="U466" i="2"/>
  <c r="V413" i="2"/>
  <c r="T444" i="2"/>
  <c r="U396" i="2"/>
  <c r="V407" i="2"/>
  <c r="V452" i="2"/>
  <c r="W7" i="2"/>
  <c r="T12" i="2"/>
  <c r="W21" i="2"/>
  <c r="V26" i="2"/>
  <c r="V36" i="2"/>
  <c r="V40" i="2"/>
  <c r="W78" i="2"/>
  <c r="W82" i="2"/>
  <c r="W85" i="2"/>
  <c r="V89" i="2"/>
  <c r="U97" i="2"/>
  <c r="U101" i="2"/>
  <c r="V123" i="2"/>
  <c r="V134" i="2"/>
  <c r="V138" i="2"/>
  <c r="T186" i="2"/>
  <c r="W149" i="2"/>
  <c r="W192" i="2"/>
  <c r="V218" i="2"/>
  <c r="T238" i="2"/>
  <c r="W266" i="2"/>
  <c r="V243" i="2"/>
  <c r="V301" i="2"/>
  <c r="T345" i="2"/>
  <c r="V351" i="2"/>
  <c r="V369" i="2"/>
  <c r="V418" i="2"/>
  <c r="V444" i="2"/>
  <c r="U431" i="2"/>
  <c r="W396" i="2"/>
  <c r="T5" i="2"/>
  <c r="T17" i="2"/>
  <c r="W24" i="2"/>
  <c r="U31" i="2"/>
  <c r="U40" i="2"/>
  <c r="U50" i="2"/>
  <c r="V57" i="2"/>
  <c r="U78" i="2"/>
  <c r="W80" i="2"/>
  <c r="V82" i="2"/>
  <c r="V177" i="2"/>
  <c r="W181" i="2"/>
  <c r="U160" i="2"/>
  <c r="W204" i="2"/>
  <c r="V255" i="2"/>
  <c r="U246" i="2"/>
  <c r="U304" i="2"/>
  <c r="U165" i="2"/>
  <c r="V165" i="2"/>
  <c r="V10" i="2"/>
  <c r="V17" i="2"/>
  <c r="V24" i="2"/>
  <c r="V45" i="2"/>
  <c r="V143" i="2"/>
  <c r="U143" i="2"/>
  <c r="W160" i="2"/>
  <c r="T160" i="2"/>
  <c r="V204" i="2"/>
  <c r="T246" i="2"/>
  <c r="W246" i="2"/>
  <c r="W304" i="2"/>
  <c r="T304" i="2"/>
  <c r="W320" i="2"/>
  <c r="U320" i="2"/>
  <c r="U458" i="2"/>
  <c r="T458" i="2"/>
  <c r="T57" i="2"/>
  <c r="W57" i="2"/>
  <c r="W255" i="2"/>
  <c r="T255" i="2"/>
  <c r="W406" i="2"/>
  <c r="U406" i="2"/>
  <c r="W8" i="2"/>
  <c r="U15" i="2"/>
  <c r="W17" i="2"/>
  <c r="U24" i="2"/>
  <c r="W31" i="2"/>
  <c r="T36" i="2"/>
  <c r="W38" i="2"/>
  <c r="T45" i="2"/>
  <c r="V50" i="2"/>
  <c r="W66" i="2"/>
  <c r="T66" i="2"/>
  <c r="V78" i="2"/>
  <c r="T80" i="2"/>
  <c r="U155" i="2"/>
  <c r="V253" i="2"/>
  <c r="V246" i="2"/>
  <c r="U268" i="2"/>
  <c r="T301" i="2"/>
  <c r="U301" i="2"/>
  <c r="U360" i="2"/>
  <c r="V353" i="2"/>
  <c r="T439" i="2"/>
  <c r="W439" i="2"/>
  <c r="V8" i="2"/>
  <c r="V22" i="2"/>
  <c r="W45" i="2"/>
  <c r="T78" i="2"/>
  <c r="W100" i="2"/>
  <c r="V124" i="2"/>
  <c r="U124" i="2"/>
  <c r="W155" i="2"/>
  <c r="V160" i="2"/>
  <c r="U198" i="2"/>
  <c r="V200" i="2"/>
  <c r="W268" i="2"/>
  <c r="T319" i="2"/>
  <c r="U319" i="2"/>
  <c r="U423" i="2"/>
  <c r="T423" i="2"/>
  <c r="W27" i="2"/>
  <c r="W34" i="2"/>
  <c r="U53" i="2"/>
  <c r="T53" i="2"/>
  <c r="B129" i="2"/>
  <c r="U70" i="2"/>
  <c r="W98" i="2"/>
  <c r="T100" i="2"/>
  <c r="W262" i="2"/>
  <c r="W259" i="2"/>
  <c r="T259" i="2"/>
  <c r="T384" i="2"/>
  <c r="W358" i="2"/>
  <c r="U376" i="2"/>
  <c r="W423" i="2"/>
  <c r="W6" i="2"/>
  <c r="V13" i="2"/>
  <c r="V34" i="2"/>
  <c r="V41" i="2"/>
  <c r="T124" i="2"/>
  <c r="T278" i="2"/>
  <c r="W278" i="2"/>
  <c r="U403" i="2"/>
  <c r="T403" i="2"/>
  <c r="W11" i="2"/>
  <c r="T13" i="2"/>
  <c r="W18" i="2"/>
  <c r="T25" i="2"/>
  <c r="W32" i="2"/>
  <c r="U39" i="2"/>
  <c r="W92" i="2"/>
  <c r="W96" i="2"/>
  <c r="T96" i="2"/>
  <c r="V148" i="2"/>
  <c r="V194" i="2"/>
  <c r="V214" i="2"/>
  <c r="T223" i="2"/>
  <c r="W223" i="2"/>
  <c r="V259" i="2"/>
  <c r="V278" i="2"/>
  <c r="W291" i="2"/>
  <c r="T291" i="2"/>
  <c r="V324" i="2"/>
  <c r="V376" i="2"/>
  <c r="T16" i="2"/>
  <c r="V18" i="2"/>
  <c r="V25" i="2"/>
  <c r="V32" i="2"/>
  <c r="W46" i="2"/>
  <c r="W53" i="2"/>
  <c r="V67" i="2"/>
  <c r="W69" i="2"/>
  <c r="F127" i="2"/>
  <c r="F128" i="2"/>
  <c r="T94" i="2"/>
  <c r="W120" i="2"/>
  <c r="T120" i="2"/>
  <c r="U146" i="2"/>
  <c r="U192" i="2"/>
  <c r="T194" i="2"/>
  <c r="W212" i="2"/>
  <c r="U221" i="2"/>
  <c r="T237" i="2"/>
  <c r="W237" i="2"/>
  <c r="V283" i="2"/>
  <c r="U278" i="2"/>
  <c r="V276" i="2"/>
  <c r="W276" i="2"/>
  <c r="T324" i="2"/>
  <c r="W324" i="2"/>
  <c r="T376" i="2"/>
  <c r="U323" i="2"/>
  <c r="U462" i="2"/>
  <c r="U434" i="2"/>
  <c r="T434" i="2"/>
  <c r="U23" i="2"/>
  <c r="U37" i="2"/>
  <c r="U90" i="2"/>
  <c r="W133" i="2"/>
  <c r="V133" i="2"/>
  <c r="W210" i="2"/>
  <c r="W221" i="2"/>
  <c r="T221" i="2"/>
  <c r="W323" i="2"/>
  <c r="T323" i="2"/>
  <c r="T462" i="2"/>
  <c r="W462" i="2"/>
  <c r="V9" i="2"/>
  <c r="V16" i="2"/>
  <c r="T23" i="2"/>
  <c r="V30" i="2"/>
  <c r="V44" i="2"/>
  <c r="W49" i="2"/>
  <c r="U63" i="2"/>
  <c r="W65" i="2"/>
  <c r="W90" i="2"/>
  <c r="U94" i="2"/>
  <c r="W116" i="2"/>
  <c r="T116" i="2"/>
  <c r="W118" i="2"/>
  <c r="T118" i="2"/>
  <c r="T210" i="2"/>
  <c r="U237" i="2"/>
  <c r="U333" i="2"/>
  <c r="V323" i="2"/>
  <c r="V462" i="2"/>
  <c r="U417" i="2"/>
  <c r="U7" i="2"/>
  <c r="U42" i="2"/>
  <c r="U88" i="2"/>
  <c r="W167" i="2"/>
  <c r="T275" i="2"/>
  <c r="W275" i="2"/>
  <c r="U275" i="2"/>
  <c r="T7" i="2"/>
  <c r="V14" i="2"/>
  <c r="W35" i="2"/>
  <c r="T37" i="2"/>
  <c r="W42" i="2"/>
  <c r="W88" i="2"/>
  <c r="T88" i="2"/>
  <c r="U116" i="2"/>
  <c r="T208" i="2"/>
  <c r="T260" i="2"/>
  <c r="T267" i="2"/>
  <c r="T359" i="2"/>
  <c r="W411" i="2"/>
  <c r="W417" i="2"/>
  <c r="U26" i="2"/>
  <c r="U86" i="2"/>
  <c r="V108" i="2"/>
  <c r="U108" i="2"/>
  <c r="U162" i="2"/>
  <c r="U335" i="2"/>
  <c r="W19" i="2"/>
  <c r="W26" i="2"/>
  <c r="T33" i="2"/>
  <c r="W40" i="2"/>
  <c r="W86" i="2"/>
  <c r="T86" i="2"/>
  <c r="T108" i="2"/>
  <c r="U177" i="2"/>
  <c r="T179" i="2"/>
  <c r="T162" i="2"/>
  <c r="W162" i="2"/>
  <c r="U206" i="2"/>
  <c r="W206" i="2"/>
  <c r="U240" i="2"/>
  <c r="W335" i="2"/>
  <c r="V362" i="2"/>
  <c r="T331" i="2"/>
  <c r="V387" i="2"/>
  <c r="T41" i="2"/>
  <c r="W48" i="2"/>
  <c r="U55" i="2"/>
  <c r="V62" i="2"/>
  <c r="D128" i="2"/>
  <c r="V96" i="2"/>
  <c r="V98" i="2"/>
  <c r="W102" i="2"/>
  <c r="W104" i="2"/>
  <c r="W106" i="2"/>
  <c r="W110" i="2"/>
  <c r="U112" i="2"/>
  <c r="U114" i="2"/>
  <c r="U135" i="2"/>
  <c r="U137" i="2"/>
  <c r="T139" i="2"/>
  <c r="U141" i="2"/>
  <c r="W143" i="2"/>
  <c r="U173" i="2"/>
  <c r="T175" i="2"/>
  <c r="V179" i="2"/>
  <c r="T183" i="2"/>
  <c r="U185" i="2"/>
  <c r="U144" i="2"/>
  <c r="V146" i="2"/>
  <c r="T169" i="2"/>
  <c r="U190" i="2"/>
  <c r="W194" i="2"/>
  <c r="W200" i="2"/>
  <c r="V208" i="2"/>
  <c r="W258" i="2"/>
  <c r="V267" i="2"/>
  <c r="U263" i="2"/>
  <c r="W301" i="2"/>
  <c r="U272" i="2"/>
  <c r="V372" i="2"/>
  <c r="W389" i="2"/>
  <c r="W384" i="2"/>
  <c r="V359" i="2"/>
  <c r="W331" i="2"/>
  <c r="T298" i="2"/>
  <c r="V377" i="2"/>
  <c r="T385" i="2"/>
  <c r="V356" i="2"/>
  <c r="T366" i="2"/>
  <c r="W427" i="2"/>
  <c r="W458" i="2"/>
  <c r="W434" i="2"/>
  <c r="T406" i="2"/>
  <c r="W398" i="2"/>
  <c r="W403" i="2"/>
  <c r="U461" i="2"/>
  <c r="V48" i="2"/>
  <c r="E128" i="2"/>
  <c r="V102" i="2"/>
  <c r="V104" i="2"/>
  <c r="V106" i="2"/>
  <c r="W112" i="2"/>
  <c r="W114" i="2"/>
  <c r="U120" i="2"/>
  <c r="U122" i="2"/>
  <c r="U133" i="2"/>
  <c r="T135" i="2"/>
  <c r="W137" i="2"/>
  <c r="T171" i="2"/>
  <c r="V183" i="2"/>
  <c r="T187" i="2"/>
  <c r="T167" i="2"/>
  <c r="T196" i="2"/>
  <c r="U255" i="2"/>
  <c r="W263" i="2"/>
  <c r="T285" i="2"/>
  <c r="W272" i="2"/>
  <c r="V344" i="2"/>
  <c r="V298" i="2"/>
  <c r="W330" i="2"/>
  <c r="V385" i="2"/>
  <c r="W392" i="2"/>
  <c r="V458" i="2"/>
  <c r="V442" i="2"/>
  <c r="W419" i="2"/>
  <c r="V434" i="2"/>
  <c r="V437" i="2"/>
  <c r="W397" i="2"/>
  <c r="V406" i="2"/>
  <c r="W408" i="2"/>
  <c r="V423" i="2"/>
  <c r="V403" i="2"/>
  <c r="U399" i="2"/>
  <c r="W393" i="2"/>
  <c r="T39" i="2"/>
  <c r="V46" i="2"/>
  <c r="T62" i="2"/>
  <c r="U64" i="2"/>
  <c r="U73" i="2"/>
  <c r="W75" i="2"/>
  <c r="U77" i="2"/>
  <c r="T112" i="2"/>
  <c r="V118" i="2"/>
  <c r="V120" i="2"/>
  <c r="V122" i="2"/>
  <c r="W126" i="2"/>
  <c r="I128" i="2"/>
  <c r="W139" i="2"/>
  <c r="W183" i="2"/>
  <c r="T185" i="2"/>
  <c r="U187" i="2"/>
  <c r="U158" i="2"/>
  <c r="W165" i="2"/>
  <c r="V223" i="2"/>
  <c r="V239" i="2"/>
  <c r="V275" i="2"/>
  <c r="W250" i="2"/>
  <c r="W283" i="2"/>
  <c r="W285" i="2"/>
  <c r="U257" i="2"/>
  <c r="T272" i="2"/>
  <c r="V365" i="2"/>
  <c r="W379" i="2"/>
  <c r="T343" i="2"/>
  <c r="V319" i="2"/>
  <c r="V318" i="2"/>
  <c r="W313" i="2"/>
  <c r="T330" i="2"/>
  <c r="T320" i="2"/>
  <c r="W385" i="2"/>
  <c r="T428" i="2"/>
  <c r="V392" i="2"/>
  <c r="V440" i="2"/>
  <c r="V432" i="2"/>
  <c r="V419" i="2"/>
  <c r="V400" i="2"/>
  <c r="V397" i="2"/>
  <c r="V396" i="2"/>
  <c r="V399" i="2"/>
  <c r="W461" i="2"/>
  <c r="W422" i="2"/>
  <c r="V53" i="2"/>
  <c r="U58" i="2"/>
  <c r="H127" i="2"/>
  <c r="U71" i="2"/>
  <c r="V75" i="2"/>
  <c r="U81" i="2"/>
  <c r="U85" i="2"/>
  <c r="U110" i="2"/>
  <c r="V126" i="2"/>
  <c r="N128" i="2"/>
  <c r="W135" i="2"/>
  <c r="V219" i="2"/>
  <c r="V279" i="2"/>
  <c r="V273" i="2"/>
  <c r="U277" i="2"/>
  <c r="W341" i="2"/>
  <c r="V350" i="2"/>
  <c r="V320" i="2"/>
  <c r="W383" i="2"/>
  <c r="W382" i="2"/>
  <c r="V346" i="2"/>
  <c r="W465" i="2"/>
  <c r="T396" i="2"/>
  <c r="W425" i="2"/>
  <c r="U405" i="2"/>
  <c r="U416" i="2"/>
  <c r="W51" i="2"/>
  <c r="W58" i="2"/>
  <c r="U68" i="2"/>
  <c r="W71" i="2"/>
  <c r="U79" i="2"/>
  <c r="W81" i="2"/>
  <c r="U89" i="2"/>
  <c r="W91" i="2"/>
  <c r="T126" i="2"/>
  <c r="U154" i="2"/>
  <c r="T165" i="2"/>
  <c r="U199" i="2"/>
  <c r="W235" i="2"/>
  <c r="T289" i="2"/>
  <c r="V265" i="2"/>
  <c r="W249" i="2"/>
  <c r="U303" i="2"/>
  <c r="T273" i="2"/>
  <c r="V285" i="2"/>
  <c r="W277" i="2"/>
  <c r="T379" i="2"/>
  <c r="W343" i="2"/>
  <c r="T313" i="2"/>
  <c r="V383" i="2"/>
  <c r="V370" i="2"/>
  <c r="W450" i="2"/>
  <c r="W432" i="2"/>
  <c r="V465" i="2"/>
  <c r="V456" i="2"/>
  <c r="W446" i="2"/>
  <c r="W400" i="2"/>
  <c r="W447" i="2"/>
  <c r="V415" i="2"/>
  <c r="V425" i="2"/>
  <c r="V405" i="2"/>
  <c r="V409" i="2"/>
  <c r="U410" i="2"/>
  <c r="T49" i="2"/>
  <c r="W56" i="2"/>
  <c r="V66" i="2"/>
  <c r="W77" i="2"/>
  <c r="V85" i="2"/>
  <c r="W87" i="2"/>
  <c r="U93" i="2"/>
  <c r="W97" i="2"/>
  <c r="V99" i="2"/>
  <c r="T101" i="2"/>
  <c r="U105" i="2"/>
  <c r="W107" i="2"/>
  <c r="I129" i="2"/>
  <c r="U172" i="2"/>
  <c r="T145" i="2"/>
  <c r="U161" i="2"/>
  <c r="V163" i="2"/>
  <c r="W189" i="2"/>
  <c r="T191" i="2"/>
  <c r="V207" i="2"/>
  <c r="V213" i="2"/>
  <c r="W228" i="2"/>
  <c r="U289" i="2"/>
  <c r="W280" i="2"/>
  <c r="W308" i="2"/>
  <c r="U241" i="2"/>
  <c r="V292" i="2"/>
  <c r="W336" i="2"/>
  <c r="W332" i="2"/>
  <c r="V314" i="2"/>
  <c r="T349" i="2"/>
  <c r="V354" i="2"/>
  <c r="U326" i="2"/>
  <c r="V310" i="2"/>
  <c r="V390" i="2"/>
  <c r="U388" i="2"/>
  <c r="W373" i="2"/>
  <c r="V378" i="2"/>
  <c r="V433" i="2"/>
  <c r="V450" i="2"/>
  <c r="W454" i="2"/>
  <c r="V426" i="2"/>
  <c r="V446" i="2"/>
  <c r="W438" i="2"/>
  <c r="V464" i="2"/>
  <c r="W431" i="2"/>
  <c r="W451" i="2"/>
  <c r="V410" i="2"/>
  <c r="U404" i="2"/>
  <c r="W416" i="2"/>
  <c r="V401" i="2"/>
  <c r="V56" i="2"/>
  <c r="L129" i="2"/>
  <c r="V93" i="2"/>
  <c r="V107" i="2"/>
  <c r="U113" i="2"/>
  <c r="M129" i="2"/>
  <c r="U140" i="2"/>
  <c r="U184" i="2"/>
  <c r="V147" i="2"/>
  <c r="V191" i="2"/>
  <c r="T199" i="2"/>
  <c r="U207" i="2"/>
  <c r="V209" i="2"/>
  <c r="W289" i="2"/>
  <c r="U296" i="2"/>
  <c r="U242" i="2"/>
  <c r="V315" i="2"/>
  <c r="W354" i="2"/>
  <c r="V316" i="2"/>
  <c r="W326" i="2"/>
  <c r="T390" i="2"/>
  <c r="W329" i="2"/>
  <c r="U433" i="2"/>
  <c r="U426" i="2"/>
  <c r="U464" i="2"/>
  <c r="V431" i="2"/>
  <c r="U448" i="2"/>
  <c r="U453" i="2"/>
  <c r="U452" i="2"/>
  <c r="T401" i="2"/>
  <c r="U47" i="2"/>
  <c r="O127" i="2"/>
  <c r="V76" i="2"/>
  <c r="W93" i="2"/>
  <c r="W103" i="2"/>
  <c r="U109" i="2"/>
  <c r="U111" i="2"/>
  <c r="W113" i="2"/>
  <c r="V115" i="2"/>
  <c r="T117" i="2"/>
  <c r="U121" i="2"/>
  <c r="W123" i="2"/>
  <c r="U125" i="2"/>
  <c r="U136" i="2"/>
  <c r="W138" i="2"/>
  <c r="W140" i="2"/>
  <c r="W142" i="2"/>
  <c r="V176" i="2"/>
  <c r="V180" i="2"/>
  <c r="V182" i="2"/>
  <c r="W186" i="2"/>
  <c r="U188" i="2"/>
  <c r="V152" i="2"/>
  <c r="T157" i="2"/>
  <c r="W161" i="2"/>
  <c r="V168" i="2"/>
  <c r="U189" i="2"/>
  <c r="U191" i="2"/>
  <c r="V197" i="2"/>
  <c r="V199" i="2"/>
  <c r="T201" i="2"/>
  <c r="W207" i="2"/>
  <c r="U220" i="2"/>
  <c r="U226" i="2"/>
  <c r="T280" i="2"/>
  <c r="W238" i="2"/>
  <c r="V302" i="2"/>
  <c r="U264" i="2"/>
  <c r="W236" i="2"/>
  <c r="W242" i="2"/>
  <c r="V312" i="2"/>
  <c r="T332" i="2"/>
  <c r="T306" i="2"/>
  <c r="W349" i="2"/>
  <c r="V361" i="2"/>
  <c r="U390" i="2"/>
  <c r="V380" i="2"/>
  <c r="V374" i="2"/>
  <c r="T367" i="2"/>
  <c r="V373" i="2"/>
  <c r="W433" i="2"/>
  <c r="V463" i="2"/>
  <c r="W449" i="2"/>
  <c r="W426" i="2"/>
  <c r="V466" i="2"/>
  <c r="V438" i="2"/>
  <c r="W413" i="2"/>
  <c r="W464" i="2"/>
  <c r="W441" i="2"/>
  <c r="T431" i="2"/>
  <c r="W445" i="2"/>
  <c r="V451" i="2"/>
  <c r="W453" i="2"/>
  <c r="T452" i="2"/>
  <c r="W404" i="2"/>
  <c r="V435" i="2"/>
  <c r="U401" i="2"/>
  <c r="T436" i="2"/>
  <c r="T47" i="2"/>
  <c r="V54" i="2"/>
  <c r="U59" i="2"/>
  <c r="W61" i="2"/>
  <c r="V84" i="2"/>
  <c r="W101" i="2"/>
  <c r="V105" i="2"/>
  <c r="W111" i="2"/>
  <c r="U119" i="2"/>
  <c r="W121" i="2"/>
  <c r="W134" i="2"/>
  <c r="W136" i="2"/>
  <c r="W188" i="2"/>
  <c r="U166" i="2"/>
  <c r="W220" i="2"/>
  <c r="W224" i="2"/>
  <c r="W226" i="2"/>
  <c r="W297" i="2"/>
  <c r="U266" i="2"/>
  <c r="V352" i="2"/>
  <c r="W381" i="2"/>
  <c r="W369" i="2"/>
  <c r="U391" i="2"/>
  <c r="V395" i="2"/>
  <c r="W448" i="2"/>
  <c r="W435" i="2"/>
  <c r="V436" i="2"/>
  <c r="U72" i="2"/>
  <c r="U74" i="2"/>
  <c r="V92" i="2"/>
  <c r="U150" i="2"/>
  <c r="U293" i="2"/>
  <c r="U251" i="2"/>
  <c r="W271" i="2"/>
  <c r="V394" i="2"/>
  <c r="W414" i="2"/>
  <c r="W429" i="2"/>
  <c r="W452" i="2"/>
  <c r="U459" i="2"/>
  <c r="W436" i="2"/>
  <c r="V38" i="2"/>
  <c r="V59" i="2"/>
  <c r="U65" i="2"/>
  <c r="U69" i="2"/>
  <c r="W70" i="2"/>
  <c r="W72" i="2"/>
  <c r="W74" i="2"/>
  <c r="U80" i="2"/>
  <c r="U82" i="2"/>
  <c r="V100" i="2"/>
  <c r="W117" i="2"/>
  <c r="K127" i="2"/>
  <c r="W150" i="2"/>
  <c r="V157" i="2"/>
  <c r="V166" i="2"/>
  <c r="V224" i="2"/>
  <c r="T226" i="2"/>
  <c r="V281" i="2"/>
  <c r="V286" i="2"/>
  <c r="W337" i="2"/>
  <c r="U342" i="2"/>
  <c r="V295" i="2"/>
  <c r="T381" i="2"/>
  <c r="T355" i="2"/>
  <c r="T369" i="2"/>
  <c r="T334" i="2"/>
  <c r="V391" i="2"/>
  <c r="U469" i="2"/>
  <c r="W460" i="2"/>
  <c r="W394" i="2"/>
  <c r="U457" i="2"/>
  <c r="W430" i="2"/>
  <c r="U444" i="2"/>
  <c r="U424" i="2"/>
  <c r="V429" i="2"/>
  <c r="W407" i="2"/>
  <c r="T420" i="2"/>
  <c r="U411" i="2"/>
  <c r="W468" i="2"/>
  <c r="W467" i="2"/>
  <c r="W443" i="2"/>
  <c r="W424" i="2"/>
  <c r="V402" i="2"/>
  <c r="U11" i="2"/>
  <c r="W12" i="2"/>
  <c r="U19" i="2"/>
  <c r="W20" i="2"/>
  <c r="U27" i="2"/>
  <c r="W28" i="2"/>
  <c r="U35" i="2"/>
  <c r="W36" i="2"/>
  <c r="U43" i="2"/>
  <c r="W44" i="2"/>
  <c r="U51" i="2"/>
  <c r="W52" i="2"/>
  <c r="T60" i="2"/>
  <c r="U61" i="2"/>
  <c r="W63" i="2"/>
  <c r="T75" i="2"/>
  <c r="T83" i="2"/>
  <c r="T91" i="2"/>
  <c r="T99" i="2"/>
  <c r="T107" i="2"/>
  <c r="T115" i="2"/>
  <c r="T123" i="2"/>
  <c r="M127" i="2"/>
  <c r="R127" i="2" s="1"/>
  <c r="H128" i="2"/>
  <c r="T134" i="2"/>
  <c r="T138" i="2"/>
  <c r="V142" i="2"/>
  <c r="U171" i="2"/>
  <c r="U174" i="2"/>
  <c r="U176" i="2"/>
  <c r="W184" i="2"/>
  <c r="U147" i="2"/>
  <c r="V151" i="2"/>
  <c r="U153" i="2"/>
  <c r="W169" i="2"/>
  <c r="U197" i="2"/>
  <c r="V201" i="2"/>
  <c r="U201" i="2"/>
  <c r="T216" i="2"/>
  <c r="T228" i="2"/>
  <c r="U235" i="2"/>
  <c r="T235" i="2"/>
  <c r="W240" i="2"/>
  <c r="T240" i="2"/>
  <c r="U299" i="2"/>
  <c r="T297" i="2"/>
  <c r="W252" i="2"/>
  <c r="V236" i="2"/>
  <c r="V311" i="2"/>
  <c r="W315" i="2"/>
  <c r="U315" i="2"/>
  <c r="T315" i="2"/>
  <c r="U365" i="2"/>
  <c r="W360" i="2"/>
  <c r="V327" i="2"/>
  <c r="U383" i="2"/>
  <c r="T383" i="2"/>
  <c r="W375" i="2"/>
  <c r="U375" i="2"/>
  <c r="T375" i="2"/>
  <c r="T10" i="2"/>
  <c r="V11" i="2"/>
  <c r="T18" i="2"/>
  <c r="V19" i="2"/>
  <c r="T26" i="2"/>
  <c r="V27" i="2"/>
  <c r="T34" i="2"/>
  <c r="V35" i="2"/>
  <c r="T42" i="2"/>
  <c r="V43" i="2"/>
  <c r="T50" i="2"/>
  <c r="V51" i="2"/>
  <c r="T58" i="2"/>
  <c r="T59" i="2"/>
  <c r="U60" i="2"/>
  <c r="V61" i="2"/>
  <c r="R129" i="2"/>
  <c r="U75" i="2"/>
  <c r="U83" i="2"/>
  <c r="U91" i="2"/>
  <c r="U99" i="2"/>
  <c r="U107" i="2"/>
  <c r="U115" i="2"/>
  <c r="U123" i="2"/>
  <c r="D129" i="2"/>
  <c r="U134" i="2"/>
  <c r="U138" i="2"/>
  <c r="W171" i="2"/>
  <c r="U151" i="2"/>
  <c r="W153" i="2"/>
  <c r="T153" i="2"/>
  <c r="W164" i="2"/>
  <c r="U164" i="2"/>
  <c r="T164" i="2"/>
  <c r="W197" i="2"/>
  <c r="W203" i="2"/>
  <c r="T203" i="2"/>
  <c r="V216" i="2"/>
  <c r="V240" i="2"/>
  <c r="W245" i="2"/>
  <c r="U245" i="2"/>
  <c r="T245" i="2"/>
  <c r="V297" i="2"/>
  <c r="U274" i="2"/>
  <c r="T274" i="2"/>
  <c r="W274" i="2"/>
  <c r="W365" i="2"/>
  <c r="V347" i="2"/>
  <c r="W348" i="2"/>
  <c r="U348" i="2"/>
  <c r="T348" i="2"/>
  <c r="V60" i="2"/>
  <c r="T74" i="2"/>
  <c r="T82" i="2"/>
  <c r="T90" i="2"/>
  <c r="T98" i="2"/>
  <c r="T106" i="2"/>
  <c r="T114" i="2"/>
  <c r="T122" i="2"/>
  <c r="J128" i="2"/>
  <c r="E129" i="2"/>
  <c r="T144" i="2"/>
  <c r="W151" i="2"/>
  <c r="V153" i="2"/>
  <c r="V190" i="2"/>
  <c r="W205" i="2"/>
  <c r="V205" i="2"/>
  <c r="W222" i="2"/>
  <c r="U222" i="2"/>
  <c r="V235" i="2"/>
  <c r="W256" i="2"/>
  <c r="U256" i="2"/>
  <c r="V245" i="2"/>
  <c r="T290" i="2"/>
  <c r="U281" i="2"/>
  <c r="U309" i="2"/>
  <c r="T309" i="2"/>
  <c r="U351" i="2"/>
  <c r="W366" i="2"/>
  <c r="V366" i="2"/>
  <c r="U366" i="2"/>
  <c r="U236" i="2"/>
  <c r="T236" i="2"/>
  <c r="K128" i="2"/>
  <c r="F129" i="2"/>
  <c r="V141" i="2"/>
  <c r="W170" i="2"/>
  <c r="T170" i="2"/>
  <c r="T176" i="2"/>
  <c r="V144" i="2"/>
  <c r="W166" i="2"/>
  <c r="T190" i="2"/>
  <c r="V203" i="2"/>
  <c r="V222" i="2"/>
  <c r="U228" i="2"/>
  <c r="T293" i="2"/>
  <c r="V256" i="2"/>
  <c r="V290" i="2"/>
  <c r="W281" i="2"/>
  <c r="W305" i="2"/>
  <c r="U305" i="2"/>
  <c r="T305" i="2"/>
  <c r="U359" i="2"/>
  <c r="W309" i="2"/>
  <c r="W351" i="2"/>
  <c r="V348" i="2"/>
  <c r="U9" i="2"/>
  <c r="W10" i="2"/>
  <c r="U17" i="2"/>
  <c r="U25" i="2"/>
  <c r="U33" i="2"/>
  <c r="U41" i="2"/>
  <c r="U49" i="2"/>
  <c r="U57" i="2"/>
  <c r="T73" i="2"/>
  <c r="T81" i="2"/>
  <c r="T89" i="2"/>
  <c r="T97" i="2"/>
  <c r="T105" i="2"/>
  <c r="T113" i="2"/>
  <c r="T121" i="2"/>
  <c r="L128" i="2"/>
  <c r="G129" i="2"/>
  <c r="J130" i="2"/>
  <c r="T133" i="2"/>
  <c r="T137" i="2"/>
  <c r="T141" i="2"/>
  <c r="T181" i="2"/>
  <c r="W144" i="2"/>
  <c r="T155" i="2"/>
  <c r="U159" i="2"/>
  <c r="T159" i="2"/>
  <c r="V164" i="2"/>
  <c r="W190" i="2"/>
  <c r="V192" i="2"/>
  <c r="U203" i="2"/>
  <c r="T205" i="2"/>
  <c r="U209" i="2"/>
  <c r="U215" i="2"/>
  <c r="T215" i="2"/>
  <c r="T222" i="2"/>
  <c r="U284" i="2"/>
  <c r="T284" i="2"/>
  <c r="V293" i="2"/>
  <c r="T256" i="2"/>
  <c r="U239" i="2"/>
  <c r="T239" i="2"/>
  <c r="W251" i="2"/>
  <c r="T251" i="2"/>
  <c r="U290" i="2"/>
  <c r="T303" i="2"/>
  <c r="W260" i="2"/>
  <c r="V274" i="2"/>
  <c r="W314" i="2"/>
  <c r="U314" i="2"/>
  <c r="T314" i="2"/>
  <c r="W359" i="2"/>
  <c r="V309" i="2"/>
  <c r="U370" i="2"/>
  <c r="T370" i="2"/>
  <c r="W347" i="2"/>
  <c r="U347" i="2"/>
  <c r="T347" i="2"/>
  <c r="T48" i="2"/>
  <c r="T56" i="2"/>
  <c r="H129" i="2"/>
  <c r="Q229" i="2"/>
  <c r="Q230" i="2"/>
  <c r="T173" i="2"/>
  <c r="W178" i="2"/>
  <c r="T178" i="2"/>
  <c r="V181" i="2"/>
  <c r="V186" i="2"/>
  <c r="W148" i="2"/>
  <c r="U148" i="2"/>
  <c r="T148" i="2"/>
  <c r="V155" i="2"/>
  <c r="U157" i="2"/>
  <c r="W159" i="2"/>
  <c r="T166" i="2"/>
  <c r="T192" i="2"/>
  <c r="U205" i="2"/>
  <c r="W209" i="2"/>
  <c r="U211" i="2"/>
  <c r="V284" i="2"/>
  <c r="W293" i="2"/>
  <c r="W239" i="2"/>
  <c r="V251" i="2"/>
  <c r="U250" i="2"/>
  <c r="W247" i="2"/>
  <c r="U247" i="2"/>
  <c r="T247" i="2"/>
  <c r="V303" i="2"/>
  <c r="W279" i="2"/>
  <c r="T279" i="2"/>
  <c r="U302" i="2"/>
  <c r="W328" i="2"/>
  <c r="U328" i="2"/>
  <c r="T328" i="2"/>
  <c r="U336" i="2"/>
  <c r="W319" i="2"/>
  <c r="V305" i="2"/>
  <c r="W370" i="2"/>
  <c r="W428" i="2"/>
  <c r="V428" i="2"/>
  <c r="U428" i="2"/>
  <c r="R229" i="2"/>
  <c r="R230" i="2"/>
  <c r="W211" i="2"/>
  <c r="T211" i="2"/>
  <c r="V217" i="2"/>
  <c r="U217" i="2"/>
  <c r="U294" i="2"/>
  <c r="T294" i="2"/>
  <c r="W322" i="2"/>
  <c r="U322" i="2"/>
  <c r="T322" i="2"/>
  <c r="W363" i="2"/>
  <c r="U363" i="2"/>
  <c r="T363" i="2"/>
  <c r="D127" i="2"/>
  <c r="Q127" i="2" s="1"/>
  <c r="O128" i="2"/>
  <c r="J129" i="2"/>
  <c r="S229" i="2"/>
  <c r="S230" i="2"/>
  <c r="W173" i="2"/>
  <c r="V178" i="2"/>
  <c r="V159" i="2"/>
  <c r="W168" i="2"/>
  <c r="U196" i="2"/>
  <c r="W198" i="2"/>
  <c r="T198" i="2"/>
  <c r="V211" i="2"/>
  <c r="U213" i="2"/>
  <c r="V215" i="2"/>
  <c r="T217" i="2"/>
  <c r="T296" i="2"/>
  <c r="V250" i="2"/>
  <c r="V328" i="2"/>
  <c r="U307" i="2"/>
  <c r="T307" i="2"/>
  <c r="U353" i="2"/>
  <c r="W380" i="2"/>
  <c r="W388" i="2"/>
  <c r="T68" i="2"/>
  <c r="T71" i="2"/>
  <c r="T79" i="2"/>
  <c r="T87" i="2"/>
  <c r="T95" i="2"/>
  <c r="T103" i="2"/>
  <c r="T111" i="2"/>
  <c r="T119" i="2"/>
  <c r="E127" i="2"/>
  <c r="T132" i="2"/>
  <c r="T136" i="2"/>
  <c r="T140" i="2"/>
  <c r="V175" i="2"/>
  <c r="U178" i="2"/>
  <c r="U180" i="2"/>
  <c r="V188" i="2"/>
  <c r="V150" i="2"/>
  <c r="V161" i="2"/>
  <c r="W163" i="2"/>
  <c r="W196" i="2"/>
  <c r="V198" i="2"/>
  <c r="W213" i="2"/>
  <c r="W215" i="2"/>
  <c r="W219" i="2"/>
  <c r="T219" i="2"/>
  <c r="U262" i="2"/>
  <c r="T262" i="2"/>
  <c r="V296" i="2"/>
  <c r="T250" i="2"/>
  <c r="U253" i="2"/>
  <c r="T253" i="2"/>
  <c r="W241" i="2"/>
  <c r="U279" i="2"/>
  <c r="W264" i="2"/>
  <c r="T264" i="2"/>
  <c r="V257" i="2"/>
  <c r="W287" i="2"/>
  <c r="T287" i="2"/>
  <c r="U292" i="2"/>
  <c r="W316" i="2"/>
  <c r="U316" i="2"/>
  <c r="T316" i="2"/>
  <c r="U318" i="2"/>
  <c r="W307" i="2"/>
  <c r="W353" i="2"/>
  <c r="V322" i="2"/>
  <c r="V363" i="2"/>
  <c r="T6" i="2"/>
  <c r="V7" i="2"/>
  <c r="T14" i="2"/>
  <c r="V15" i="2"/>
  <c r="T22" i="2"/>
  <c r="V23" i="2"/>
  <c r="T30" i="2"/>
  <c r="V31" i="2"/>
  <c r="T38" i="2"/>
  <c r="V39" i="2"/>
  <c r="T46" i="2"/>
  <c r="V47" i="2"/>
  <c r="T54" i="2"/>
  <c r="V55" i="2"/>
  <c r="T67" i="2"/>
  <c r="V69" i="2"/>
  <c r="U132" i="2"/>
  <c r="U175" i="2"/>
  <c r="W180" i="2"/>
  <c r="T188" i="2"/>
  <c r="T150" i="2"/>
  <c r="T161" i="2"/>
  <c r="T189" i="2"/>
  <c r="W217" i="2"/>
  <c r="V228" i="2"/>
  <c r="U248" i="2"/>
  <c r="V294" i="2"/>
  <c r="V262" i="2"/>
  <c r="W296" i="2"/>
  <c r="W253" i="2"/>
  <c r="V241" i="2"/>
  <c r="W267" i="2"/>
  <c r="U267" i="2"/>
  <c r="V264" i="2"/>
  <c r="W292" i="2"/>
  <c r="W340" i="2"/>
  <c r="U340" i="2"/>
  <c r="T340" i="2"/>
  <c r="U354" i="2"/>
  <c r="W318" i="2"/>
  <c r="V307" i="2"/>
  <c r="U6" i="2"/>
  <c r="U14" i="2"/>
  <c r="U22" i="2"/>
  <c r="U30" i="2"/>
  <c r="U38" i="2"/>
  <c r="U46" i="2"/>
  <c r="U54" i="2"/>
  <c r="U67" i="2"/>
  <c r="V68" i="2"/>
  <c r="V71" i="2"/>
  <c r="V79" i="2"/>
  <c r="V87" i="2"/>
  <c r="V95" i="2"/>
  <c r="V103" i="2"/>
  <c r="V111" i="2"/>
  <c r="V119" i="2"/>
  <c r="V132" i="2"/>
  <c r="V136" i="2"/>
  <c r="V140" i="2"/>
  <c r="V156" i="2"/>
  <c r="U156" i="2"/>
  <c r="W225" i="2"/>
  <c r="U225" i="2"/>
  <c r="T225" i="2"/>
  <c r="W294" i="2"/>
  <c r="U288" i="2"/>
  <c r="T288" i="2"/>
  <c r="W364" i="2"/>
  <c r="U364" i="2"/>
  <c r="T364" i="2"/>
  <c r="W367" i="2"/>
  <c r="V367" i="2"/>
  <c r="V6" i="2"/>
  <c r="W132" i="2"/>
  <c r="W145" i="2"/>
  <c r="T156" i="2"/>
  <c r="W193" i="2"/>
  <c r="U193" i="2"/>
  <c r="T193" i="2"/>
  <c r="U202" i="2"/>
  <c r="U219" i="2"/>
  <c r="W227" i="2"/>
  <c r="T227" i="2"/>
  <c r="W254" i="2"/>
  <c r="U254" i="2"/>
  <c r="T254" i="2"/>
  <c r="W270" i="2"/>
  <c r="U287" i="2"/>
  <c r="W244" i="2"/>
  <c r="T244" i="2"/>
  <c r="U372" i="2"/>
  <c r="U386" i="2"/>
  <c r="T386" i="2"/>
  <c r="U355" i="2"/>
  <c r="U339" i="2"/>
  <c r="T339" i="2"/>
  <c r="U367" i="2"/>
  <c r="U5" i="2"/>
  <c r="U13" i="2"/>
  <c r="U21" i="2"/>
  <c r="U29" i="2"/>
  <c r="V94" i="2"/>
  <c r="V110" i="2"/>
  <c r="U142" i="2"/>
  <c r="W182" i="2"/>
  <c r="T182" i="2"/>
  <c r="V185" i="2"/>
  <c r="V145" i="2"/>
  <c r="W147" i="2"/>
  <c r="W154" i="2"/>
  <c r="U163" i="2"/>
  <c r="V167" i="2"/>
  <c r="U195" i="2"/>
  <c r="V202" i="2"/>
  <c r="V206" i="2"/>
  <c r="W208" i="2"/>
  <c r="U208" i="2"/>
  <c r="V225" i="2"/>
  <c r="V227" i="2"/>
  <c r="T248" i="2"/>
  <c r="W265" i="2"/>
  <c r="U282" i="2"/>
  <c r="T282" i="2"/>
  <c r="V270" i="2"/>
  <c r="W261" i="2"/>
  <c r="U261" i="2"/>
  <c r="V244" i="2"/>
  <c r="W372" i="2"/>
  <c r="V364" i="2"/>
  <c r="U317" i="2"/>
  <c r="T317" i="2"/>
  <c r="U298" i="2"/>
  <c r="W386" i="2"/>
  <c r="W355" i="2"/>
  <c r="W339" i="2"/>
  <c r="V5" i="2"/>
  <c r="T177" i="2"/>
  <c r="W185" i="2"/>
  <c r="U145" i="2"/>
  <c r="W156" i="2"/>
  <c r="W158" i="2"/>
  <c r="U167" i="2"/>
  <c r="V169" i="2"/>
  <c r="U169" i="2"/>
  <c r="W195" i="2"/>
  <c r="T206" i="2"/>
  <c r="U212" i="2"/>
  <c r="T212" i="2"/>
  <c r="U214" i="2"/>
  <c r="U216" i="2"/>
  <c r="V248" i="2"/>
  <c r="W299" i="2"/>
  <c r="T299" i="2"/>
  <c r="U297" i="2"/>
  <c r="V288" i="2"/>
  <c r="V254" i="2"/>
  <c r="V261" i="2"/>
  <c r="U368" i="2"/>
  <c r="T368" i="2"/>
  <c r="W317" i="2"/>
  <c r="W298" i="2"/>
  <c r="V386" i="2"/>
  <c r="V339" i="2"/>
  <c r="W174" i="2"/>
  <c r="W214" i="2"/>
  <c r="T214" i="2"/>
  <c r="U243" i="2"/>
  <c r="T243" i="2"/>
  <c r="W243" i="2"/>
  <c r="W311" i="2"/>
  <c r="U311" i="2"/>
  <c r="T311" i="2"/>
  <c r="W327" i="2"/>
  <c r="U327" i="2"/>
  <c r="T327" i="2"/>
  <c r="W368" i="2"/>
  <c r="W334" i="2"/>
  <c r="V334" i="2"/>
  <c r="V221" i="2"/>
  <c r="U224" i="2"/>
  <c r="V280" i="2"/>
  <c r="U265" i="2"/>
  <c r="V269" i="2"/>
  <c r="U252" i="2"/>
  <c r="V258" i="2"/>
  <c r="U260" i="2"/>
  <c r="V291" i="2"/>
  <c r="U271" i="2"/>
  <c r="V335" i="2"/>
  <c r="V389" i="2"/>
  <c r="V379" i="2"/>
  <c r="V332" i="2"/>
  <c r="V337" i="2"/>
  <c r="V384" i="2"/>
  <c r="V341" i="2"/>
  <c r="V345" i="2"/>
  <c r="V333" i="2"/>
  <c r="V331" i="2"/>
  <c r="V313" i="2"/>
  <c r="V357" i="2"/>
  <c r="V300" i="2"/>
  <c r="V304" i="2"/>
  <c r="V381" i="2"/>
  <c r="V382" i="2"/>
  <c r="V329" i="2"/>
  <c r="V455" i="2"/>
  <c r="V447" i="2"/>
  <c r="V441" i="2"/>
  <c r="V417" i="2"/>
  <c r="V422" i="2"/>
  <c r="T241" i="2"/>
  <c r="T270" i="2"/>
  <c r="T277" i="2"/>
  <c r="T276" i="2"/>
  <c r="T338" i="2"/>
  <c r="T312" i="2"/>
  <c r="T352" i="2"/>
  <c r="T362" i="2"/>
  <c r="T321" i="2"/>
  <c r="T325" i="2"/>
  <c r="T361" i="2"/>
  <c r="T358" i="2"/>
  <c r="T344" i="2"/>
  <c r="T350" i="2"/>
  <c r="T310" i="2"/>
  <c r="T295" i="2"/>
  <c r="T377" i="2"/>
  <c r="T371" i="2"/>
  <c r="T374" i="2"/>
  <c r="T387" i="2"/>
  <c r="T356" i="2"/>
  <c r="T346" i="2"/>
  <c r="T378" i="2"/>
  <c r="T395" i="2"/>
  <c r="T427" i="2"/>
  <c r="T440" i="2"/>
  <c r="T454" i="2"/>
  <c r="T394" i="2"/>
  <c r="T442" i="2"/>
  <c r="T456" i="2"/>
  <c r="T438" i="2"/>
  <c r="T414" i="2"/>
  <c r="T437" i="2"/>
  <c r="T415" i="2"/>
  <c r="T445" i="2"/>
  <c r="T398" i="2"/>
  <c r="T451" i="2"/>
  <c r="T407" i="2"/>
  <c r="T399" i="2"/>
  <c r="T410" i="2"/>
  <c r="T435" i="2"/>
  <c r="T402" i="2"/>
  <c r="T204" i="2"/>
  <c r="T220" i="2"/>
  <c r="T308" i="2"/>
  <c r="T283" i="2"/>
  <c r="U273" i="2"/>
  <c r="T263" i="2"/>
  <c r="U276" i="2"/>
  <c r="T268" i="2"/>
  <c r="U338" i="2"/>
  <c r="U312" i="2"/>
  <c r="U324" i="2"/>
  <c r="U343" i="2"/>
  <c r="U349" i="2"/>
  <c r="U352" i="2"/>
  <c r="U362" i="2"/>
  <c r="U321" i="2"/>
  <c r="U325" i="2"/>
  <c r="U361" i="2"/>
  <c r="U358" i="2"/>
  <c r="U344" i="2"/>
  <c r="U350" i="2"/>
  <c r="U310" i="2"/>
  <c r="U295" i="2"/>
  <c r="U377" i="2"/>
  <c r="U371" i="2"/>
  <c r="U374" i="2"/>
  <c r="U387" i="2"/>
  <c r="U356" i="2"/>
  <c r="U346" i="2"/>
  <c r="U378" i="2"/>
  <c r="U395" i="2"/>
  <c r="U427" i="2"/>
  <c r="U440" i="2"/>
  <c r="U454" i="2"/>
  <c r="U394" i="2"/>
  <c r="U442" i="2"/>
  <c r="U456" i="2"/>
  <c r="U438" i="2"/>
  <c r="U414" i="2"/>
  <c r="U437" i="2"/>
  <c r="U415" i="2"/>
  <c r="U445" i="2"/>
  <c r="U398" i="2"/>
  <c r="U451" i="2"/>
  <c r="U407" i="2"/>
  <c r="U435" i="2"/>
  <c r="U402" i="2"/>
  <c r="V454" i="2"/>
  <c r="U210" i="2"/>
  <c r="T405" i="2"/>
  <c r="T209" i="2"/>
  <c r="T373" i="2"/>
  <c r="T391" i="2"/>
  <c r="T468" i="2"/>
  <c r="T392" i="2"/>
  <c r="T450" i="2"/>
  <c r="T449" i="2"/>
  <c r="T467" i="2"/>
  <c r="T419" i="2"/>
  <c r="T446" i="2"/>
  <c r="T413" i="2"/>
  <c r="T443" i="2"/>
  <c r="T397" i="2"/>
  <c r="U373" i="2"/>
  <c r="U468" i="2"/>
  <c r="U392" i="2"/>
  <c r="U450" i="2"/>
  <c r="U449" i="2"/>
  <c r="U467" i="2"/>
  <c r="U419" i="2"/>
  <c r="U446" i="2"/>
  <c r="U413" i="2"/>
  <c r="U443" i="2"/>
  <c r="U397" i="2"/>
  <c r="U409" i="2"/>
  <c r="V404" i="2"/>
  <c r="V459" i="2"/>
  <c r="V393" i="2"/>
  <c r="S128" i="2" l="1"/>
  <c r="V470" i="2"/>
  <c r="V471" i="2"/>
  <c r="V472" i="2"/>
  <c r="W470" i="2"/>
  <c r="W471" i="2"/>
  <c r="W472" i="2"/>
  <c r="T470" i="2"/>
  <c r="T471" i="2"/>
  <c r="T472" i="2"/>
  <c r="U470" i="2"/>
  <c r="U471" i="2"/>
  <c r="U472" i="2"/>
  <c r="Q128" i="2"/>
  <c r="W129" i="2"/>
  <c r="V127" i="2"/>
  <c r="Q129" i="2"/>
  <c r="S129" i="2"/>
  <c r="R128" i="2"/>
  <c r="U230" i="2"/>
  <c r="U229" i="2"/>
  <c r="W127" i="2"/>
  <c r="T127" i="2"/>
  <c r="V229" i="2"/>
  <c r="V230" i="2"/>
  <c r="T230" i="2"/>
  <c r="T229" i="2"/>
  <c r="W230" i="2"/>
  <c r="W229" i="2"/>
  <c r="U127" i="2"/>
  <c r="U128" i="2" l="1"/>
  <c r="V128" i="2"/>
  <c r="U129" i="2"/>
  <c r="T129" i="2"/>
  <c r="W128" i="2"/>
  <c r="T128" i="2"/>
  <c r="V129" i="2"/>
</calcChain>
</file>

<file path=xl/sharedStrings.xml><?xml version="1.0" encoding="utf-8"?>
<sst xmlns="http://schemas.openxmlformats.org/spreadsheetml/2006/main" count="1609" uniqueCount="696">
  <si>
    <t>Point</t>
  </si>
  <si>
    <t>TiO2</t>
  </si>
  <si>
    <t>NiO</t>
  </si>
  <si>
    <t>FeO</t>
  </si>
  <si>
    <t>Cr2O3</t>
  </si>
  <si>
    <t>Na2O</t>
  </si>
  <si>
    <t>P2O5</t>
  </si>
  <si>
    <t>Al2O3</t>
  </si>
  <si>
    <t>K2O</t>
  </si>
  <si>
    <t>CaO</t>
  </si>
  <si>
    <t>MnO</t>
  </si>
  <si>
    <t>SiO2</t>
  </si>
  <si>
    <t>MgO</t>
  </si>
  <si>
    <t>CoO</t>
  </si>
  <si>
    <t>Total</t>
  </si>
  <si>
    <t>Fe mol</t>
  </si>
  <si>
    <t>Mg mol</t>
  </si>
  <si>
    <t>Ca mol</t>
  </si>
  <si>
    <t>Mg#</t>
  </si>
  <si>
    <t>Fs</t>
  </si>
  <si>
    <t>Wo</t>
  </si>
  <si>
    <t>En</t>
  </si>
  <si>
    <t>Al/Ti</t>
    <phoneticPr fontId="3" type="noConversion"/>
  </si>
  <si>
    <t>aug core</t>
    <phoneticPr fontId="1" type="noConversion"/>
  </si>
  <si>
    <t>p110</t>
  </si>
  <si>
    <t>p194</t>
  </si>
  <si>
    <t>p16</t>
  </si>
  <si>
    <t>p191</t>
  </si>
  <si>
    <t>p27</t>
  </si>
  <si>
    <t>p160</t>
  </si>
  <si>
    <t>p221</t>
  </si>
  <si>
    <t>p99</t>
  </si>
  <si>
    <t>p179</t>
  </si>
  <si>
    <t>p130</t>
  </si>
  <si>
    <t>p206</t>
  </si>
  <si>
    <t>p228</t>
  </si>
  <si>
    <t>p196</t>
  </si>
  <si>
    <t>p54</t>
  </si>
  <si>
    <t>p87</t>
  </si>
  <si>
    <t>p105</t>
  </si>
  <si>
    <t>p218</t>
  </si>
  <si>
    <t>p225</t>
  </si>
  <si>
    <t>p81</t>
  </si>
  <si>
    <t>p182</t>
  </si>
  <si>
    <t>p145</t>
  </si>
  <si>
    <t>p167</t>
  </si>
  <si>
    <t>p200</t>
  </si>
  <si>
    <t>p232</t>
  </si>
  <si>
    <t>p53</t>
  </si>
  <si>
    <t>p49</t>
  </si>
  <si>
    <t>p159</t>
  </si>
  <si>
    <t>p144</t>
  </si>
  <si>
    <t>p109</t>
  </si>
  <si>
    <t>p133</t>
  </si>
  <si>
    <t>p73</t>
  </si>
  <si>
    <t>p22</t>
  </si>
  <si>
    <t>p197</t>
  </si>
  <si>
    <t>p207</t>
  </si>
  <si>
    <t>p227</t>
  </si>
  <si>
    <t>p77</t>
  </si>
  <si>
    <t>p195</t>
  </si>
  <si>
    <t>p42</t>
  </si>
  <si>
    <t>p94</t>
  </si>
  <si>
    <t>p44</t>
  </si>
  <si>
    <t>p213</t>
  </si>
  <si>
    <t>p65</t>
  </si>
  <si>
    <t>p222</t>
  </si>
  <si>
    <t>p172</t>
  </si>
  <si>
    <t>p173</t>
  </si>
  <si>
    <t>p187</t>
  </si>
  <si>
    <t>p211</t>
  </si>
  <si>
    <t>line2 05</t>
  </si>
  <si>
    <t>line2 10</t>
  </si>
  <si>
    <t>line2 08</t>
  </si>
  <si>
    <t>line2 06</t>
  </si>
  <si>
    <t>line2 07</t>
  </si>
  <si>
    <t>line4 12</t>
  </si>
  <si>
    <t>line1 06</t>
  </si>
  <si>
    <t>line1 07</t>
  </si>
  <si>
    <t>line4 03</t>
  </si>
  <si>
    <t>line3 05</t>
  </si>
  <si>
    <t>line4 05</t>
  </si>
  <si>
    <t>line1 37</t>
  </si>
  <si>
    <t>line4 02</t>
  </si>
  <si>
    <t>line1 05</t>
  </si>
  <si>
    <t>line3 35</t>
  </si>
  <si>
    <t>line3 04</t>
  </si>
  <si>
    <t>line4 09</t>
  </si>
  <si>
    <t>line2 09</t>
  </si>
  <si>
    <t>line1 04</t>
  </si>
  <si>
    <t>line3 07</t>
  </si>
  <si>
    <t>line3 31</t>
  </si>
  <si>
    <t>line3 08</t>
  </si>
  <si>
    <t>line3 28</t>
  </si>
  <si>
    <t>line3 37</t>
  </si>
  <si>
    <t>line4 38</t>
  </si>
  <si>
    <t>line3 06</t>
  </si>
  <si>
    <t>line4 04</t>
  </si>
  <si>
    <t>line3 32</t>
  </si>
  <si>
    <t>line3 03</t>
  </si>
  <si>
    <t>line3 27</t>
  </si>
  <si>
    <t>line4 10</t>
  </si>
  <si>
    <t>line1 18</t>
  </si>
  <si>
    <t>line2 03</t>
  </si>
  <si>
    <t>line3 26</t>
  </si>
  <si>
    <t>line4 08</t>
  </si>
  <si>
    <t>line2 11</t>
  </si>
  <si>
    <t>line3 30</t>
  </si>
  <si>
    <t>average</t>
    <phoneticPr fontId="1" type="noConversion"/>
  </si>
  <si>
    <t>max</t>
    <phoneticPr fontId="1" type="noConversion"/>
  </si>
  <si>
    <t>min</t>
    <phoneticPr fontId="1" type="noConversion"/>
  </si>
  <si>
    <t>aug rim</t>
    <phoneticPr fontId="1" type="noConversion"/>
  </si>
  <si>
    <t>p46</t>
  </si>
  <si>
    <t>p51</t>
  </si>
  <si>
    <t>p56</t>
  </si>
  <si>
    <t>p95</t>
  </si>
  <si>
    <t>p101</t>
  </si>
  <si>
    <t>p118</t>
  </si>
  <si>
    <t>p122</t>
  </si>
  <si>
    <t>p140</t>
  </si>
  <si>
    <t>p20</t>
  </si>
  <si>
    <t>p70</t>
  </si>
  <si>
    <t>p141</t>
  </si>
  <si>
    <t>p106</t>
  </si>
  <si>
    <t>p198</t>
  </si>
  <si>
    <t>p40</t>
  </si>
  <si>
    <t>p26</t>
  </si>
  <si>
    <t>p60</t>
  </si>
  <si>
    <t>p61</t>
  </si>
  <si>
    <t>p104</t>
  </si>
  <si>
    <t>p72</t>
  </si>
  <si>
    <t>p50</t>
  </si>
  <si>
    <t>p30</t>
  </si>
  <si>
    <t>p128</t>
  </si>
  <si>
    <t>p112</t>
  </si>
  <si>
    <t>p116</t>
  </si>
  <si>
    <t>line1 02</t>
  </si>
  <si>
    <t>line1 08</t>
  </si>
  <si>
    <t>line1 09</t>
  </si>
  <si>
    <t>line1 33</t>
  </si>
  <si>
    <t>line4 14</t>
  </si>
  <si>
    <t>line4 35</t>
  </si>
  <si>
    <t>line4 36</t>
  </si>
  <si>
    <t>line4 16</t>
  </si>
  <si>
    <t>line4 11</t>
  </si>
  <si>
    <t>line1 11</t>
  </si>
  <si>
    <t>line1 12</t>
  </si>
  <si>
    <t>line1 13</t>
  </si>
  <si>
    <t>line1 10</t>
  </si>
  <si>
    <t>line3 10</t>
  </si>
  <si>
    <t>line3 21</t>
  </si>
  <si>
    <t>line3 09</t>
  </si>
  <si>
    <t>line3 23</t>
  </si>
  <si>
    <t>line3 22</t>
  </si>
  <si>
    <t>line3 13</t>
  </si>
  <si>
    <t>average</t>
  </si>
  <si>
    <t>max</t>
  </si>
  <si>
    <t>min</t>
  </si>
  <si>
    <t>pgn</t>
    <phoneticPr fontId="1" type="noConversion"/>
  </si>
  <si>
    <t>p203</t>
  </si>
  <si>
    <t>p170</t>
  </si>
  <si>
    <t>p47</t>
  </si>
  <si>
    <t>p62</t>
  </si>
  <si>
    <t>p21</t>
  </si>
  <si>
    <t>p208</t>
  </si>
  <si>
    <t>p79</t>
  </si>
  <si>
    <t>p234</t>
  </si>
  <si>
    <t>p82</t>
  </si>
  <si>
    <t>p127</t>
  </si>
  <si>
    <t>p103</t>
  </si>
  <si>
    <t>p212</t>
  </si>
  <si>
    <t>p156</t>
  </si>
  <si>
    <t>p25</t>
  </si>
  <si>
    <t>p96</t>
  </si>
  <si>
    <t>p115</t>
  </si>
  <si>
    <t>p175</t>
  </si>
  <si>
    <t>p139</t>
  </si>
  <si>
    <t>p45</t>
  </si>
  <si>
    <t>p102</t>
  </si>
  <si>
    <t>p86</t>
  </si>
  <si>
    <t>p158</t>
  </si>
  <si>
    <t>p100</t>
  </si>
  <si>
    <t>p29</t>
  </si>
  <si>
    <t>p174</t>
  </si>
  <si>
    <t>p210</t>
  </si>
  <si>
    <t>p171</t>
  </si>
  <si>
    <t>p137</t>
  </si>
  <si>
    <t>p32</t>
  </si>
  <si>
    <t>p113</t>
  </si>
  <si>
    <t>p88</t>
  </si>
  <si>
    <t>p13</t>
  </si>
  <si>
    <t>p64</t>
  </si>
  <si>
    <t>p63</t>
  </si>
  <si>
    <t>p235</t>
  </si>
  <si>
    <t>p180</t>
  </si>
  <si>
    <t>p66</t>
  </si>
  <si>
    <t>p34</t>
  </si>
  <si>
    <t>p152</t>
  </si>
  <si>
    <t>p192</t>
  </si>
  <si>
    <t>p91</t>
  </si>
  <si>
    <t>p199</t>
  </si>
  <si>
    <t>p226</t>
  </si>
  <si>
    <t>p123</t>
  </si>
  <si>
    <t>p59</t>
  </si>
  <si>
    <t>p229</t>
  </si>
  <si>
    <t>p205</t>
  </si>
  <si>
    <t>p24</t>
  </si>
  <si>
    <t>p28</t>
  </si>
  <si>
    <t>p169</t>
  </si>
  <si>
    <t>p09</t>
  </si>
  <si>
    <t>p190</t>
  </si>
  <si>
    <t>p37</t>
  </si>
  <si>
    <t>p209</t>
  </si>
  <si>
    <t>p10</t>
  </si>
  <si>
    <t>p89</t>
  </si>
  <si>
    <t>p107</t>
  </si>
  <si>
    <t>p125</t>
  </si>
  <si>
    <t>p233</t>
  </si>
  <si>
    <t>p85</t>
  </si>
  <si>
    <t>p230</t>
  </si>
  <si>
    <t>p17</t>
  </si>
  <si>
    <t>p69</t>
  </si>
  <si>
    <t>p216</t>
  </si>
  <si>
    <t>p155</t>
  </si>
  <si>
    <t>p202</t>
  </si>
  <si>
    <t>p189</t>
  </si>
  <si>
    <t>p168</t>
  </si>
  <si>
    <t>p48</t>
  </si>
  <si>
    <t>p117</t>
  </si>
  <si>
    <t>p231</t>
  </si>
  <si>
    <t>p108</t>
  </si>
  <si>
    <t>p215</t>
  </si>
  <si>
    <t>p15</t>
  </si>
  <si>
    <t>p55</t>
  </si>
  <si>
    <t>p132</t>
  </si>
  <si>
    <t>p74</t>
  </si>
  <si>
    <t>p39</t>
  </si>
  <si>
    <t>p224</t>
  </si>
  <si>
    <t>p126</t>
  </si>
  <si>
    <t>p76</t>
  </si>
  <si>
    <t>p114</t>
  </si>
  <si>
    <t>p38</t>
  </si>
  <si>
    <t>p214</t>
  </si>
  <si>
    <t>p217</t>
  </si>
  <si>
    <t>p219</t>
  </si>
  <si>
    <t>p136</t>
  </si>
  <si>
    <t>p204</t>
  </si>
  <si>
    <t>p75</t>
  </si>
  <si>
    <t>p181</t>
  </si>
  <si>
    <t>p185</t>
  </si>
  <si>
    <t>p183</t>
  </si>
  <si>
    <t>p90</t>
  </si>
  <si>
    <t>p57</t>
  </si>
  <si>
    <t>p163</t>
  </si>
  <si>
    <t>p119</t>
  </si>
  <si>
    <t>p120</t>
  </si>
  <si>
    <t>p124</t>
  </si>
  <si>
    <t>p142</t>
  </si>
  <si>
    <t>p67</t>
  </si>
  <si>
    <t>p93</t>
  </si>
  <si>
    <t>p193</t>
  </si>
  <si>
    <t>p186</t>
  </si>
  <si>
    <t>p19</t>
  </si>
  <si>
    <t>p83</t>
  </si>
  <si>
    <t>p236</t>
  </si>
  <si>
    <t>p80</t>
  </si>
  <si>
    <t>p58</t>
  </si>
  <si>
    <t>p151</t>
  </si>
  <si>
    <t>p161</t>
  </si>
  <si>
    <t>p138</t>
  </si>
  <si>
    <t>line2 30</t>
  </si>
  <si>
    <t>line4 27</t>
  </si>
  <si>
    <t>line1 32</t>
  </si>
  <si>
    <t>line1 28</t>
  </si>
  <si>
    <t>line3 18</t>
  </si>
  <si>
    <t>line4 26</t>
  </si>
  <si>
    <t>line3 02</t>
  </si>
  <si>
    <t>line2 49</t>
  </si>
  <si>
    <t>line2 28</t>
  </si>
  <si>
    <t>line3 16</t>
  </si>
  <si>
    <t>line2 24</t>
  </si>
  <si>
    <t>line4 24</t>
  </si>
  <si>
    <t>line2 16</t>
  </si>
  <si>
    <t>line2 50</t>
  </si>
  <si>
    <t>line4 34</t>
  </si>
  <si>
    <t>line1 30</t>
  </si>
  <si>
    <t>line3 14</t>
  </si>
  <si>
    <t>line3 12</t>
  </si>
  <si>
    <t>line2 37</t>
  </si>
  <si>
    <t>line3 19</t>
  </si>
  <si>
    <t>line3 17</t>
  </si>
  <si>
    <t>line2 21</t>
  </si>
  <si>
    <t>line4 23</t>
  </si>
  <si>
    <t>line2 13</t>
  </si>
  <si>
    <t>line1 34</t>
  </si>
  <si>
    <t>line2 33</t>
  </si>
  <si>
    <t>line1 21</t>
  </si>
  <si>
    <t>line4 33</t>
  </si>
  <si>
    <t>line2 12</t>
  </si>
  <si>
    <t>line1 15</t>
  </si>
  <si>
    <t>line4 21</t>
  </si>
  <si>
    <t>line1 22</t>
  </si>
  <si>
    <t>line4 31</t>
  </si>
  <si>
    <t>line2 42</t>
  </si>
  <si>
    <t>line1 14</t>
  </si>
  <si>
    <t>line2 32</t>
  </si>
  <si>
    <t>line1 23</t>
  </si>
  <si>
    <t>line1 26</t>
  </si>
  <si>
    <t>line2 41</t>
  </si>
  <si>
    <t>line4 20</t>
  </si>
  <si>
    <t>line2 22</t>
  </si>
  <si>
    <t>line2 39</t>
  </si>
  <si>
    <t>line2 38</t>
  </si>
  <si>
    <t>line4 28</t>
  </si>
  <si>
    <t>line2 20</t>
  </si>
  <si>
    <t>line1 27</t>
  </si>
  <si>
    <t>line1 25</t>
  </si>
  <si>
    <t>line1 24</t>
  </si>
  <si>
    <t>line2 29</t>
  </si>
  <si>
    <t>line2 23</t>
  </si>
  <si>
    <t>-</t>
    <phoneticPr fontId="1" type="noConversion"/>
  </si>
  <si>
    <t>line1 01</t>
    <phoneticPr fontId="3" type="noConversion"/>
  </si>
  <si>
    <t>line1 03</t>
  </si>
  <si>
    <t>line1 16</t>
  </si>
  <si>
    <t>line1 17</t>
  </si>
  <si>
    <t>line1 19</t>
  </si>
  <si>
    <t>line1 20</t>
  </si>
  <si>
    <t>line1 29</t>
  </si>
  <si>
    <t>line1 31</t>
  </si>
  <si>
    <t>line1 35</t>
  </si>
  <si>
    <t>line1 36</t>
  </si>
  <si>
    <t>line3 01</t>
    <phoneticPr fontId="1" type="noConversion"/>
  </si>
  <si>
    <t>line3 11</t>
  </si>
  <si>
    <t>line3 15</t>
  </si>
  <si>
    <t>line3 20</t>
  </si>
  <si>
    <t>line3 24</t>
  </si>
  <si>
    <t>line3 25</t>
  </si>
  <si>
    <t>line3 29</t>
  </si>
  <si>
    <t>line3 33</t>
  </si>
  <si>
    <t>line3 34</t>
  </si>
  <si>
    <t>line3 36</t>
  </si>
  <si>
    <t>line3 38</t>
  </si>
  <si>
    <t>line3 39</t>
  </si>
  <si>
    <t>line3 40</t>
  </si>
  <si>
    <t>line3 41</t>
  </si>
  <si>
    <t>line3 42</t>
  </si>
  <si>
    <t>line3 43</t>
  </si>
  <si>
    <t>line3 44</t>
  </si>
  <si>
    <t>line3 45</t>
  </si>
  <si>
    <t>line3 46</t>
  </si>
  <si>
    <t>line3 47</t>
  </si>
  <si>
    <t>line3 48</t>
  </si>
  <si>
    <t>line3 49</t>
  </si>
  <si>
    <t>line2 01</t>
    <phoneticPr fontId="1" type="noConversion"/>
  </si>
  <si>
    <t>line2 02</t>
  </si>
  <si>
    <t>line2 04</t>
  </si>
  <si>
    <t>line2 14</t>
  </si>
  <si>
    <t>line2 15</t>
  </si>
  <si>
    <t>line2 17</t>
  </si>
  <si>
    <t>line2 18</t>
  </si>
  <si>
    <t>line2 19</t>
  </si>
  <si>
    <t>line2 25</t>
  </si>
  <si>
    <t>line2 26</t>
  </si>
  <si>
    <t>line2 27</t>
  </si>
  <si>
    <t>line2 31</t>
  </si>
  <si>
    <t>line2 34</t>
  </si>
  <si>
    <t>line2 35</t>
  </si>
  <si>
    <t>line2 36</t>
  </si>
  <si>
    <t>line2 40</t>
  </si>
  <si>
    <t>line2 43</t>
  </si>
  <si>
    <t>line2 44</t>
  </si>
  <si>
    <t>line2 45</t>
  </si>
  <si>
    <t>line2 46</t>
  </si>
  <si>
    <t>line2 47</t>
  </si>
  <si>
    <t>line2 48</t>
  </si>
  <si>
    <t>line2 51</t>
  </si>
  <si>
    <t>line2 52</t>
  </si>
  <si>
    <t>line2 53</t>
  </si>
  <si>
    <t>line2 54</t>
  </si>
  <si>
    <t>line2 55</t>
  </si>
  <si>
    <t>line2 56</t>
  </si>
  <si>
    <t>line2 57</t>
  </si>
  <si>
    <t>line2 58</t>
  </si>
  <si>
    <t>line2 59</t>
  </si>
  <si>
    <t>line2 60</t>
  </si>
  <si>
    <t>line2 61</t>
  </si>
  <si>
    <t>line2 62</t>
  </si>
  <si>
    <t>line2 63</t>
  </si>
  <si>
    <t>line2 64</t>
  </si>
  <si>
    <t>line2 65</t>
  </si>
  <si>
    <t>line2 66</t>
  </si>
  <si>
    <t>line2 67</t>
  </si>
  <si>
    <t>line2 68</t>
  </si>
  <si>
    <t>line2 69</t>
  </si>
  <si>
    <t>line2 70</t>
  </si>
  <si>
    <t>line2 71</t>
  </si>
  <si>
    <t>line2 72</t>
  </si>
  <si>
    <t>line2 73</t>
  </si>
  <si>
    <t>line2 74</t>
  </si>
  <si>
    <t>line2 75</t>
  </si>
  <si>
    <t>line2 76</t>
  </si>
  <si>
    <t>line4 01</t>
    <phoneticPr fontId="1" type="noConversion"/>
  </si>
  <si>
    <t>line4 06</t>
  </si>
  <si>
    <t>line4 07</t>
  </si>
  <si>
    <t>line4 13</t>
  </si>
  <si>
    <t>line4 15</t>
  </si>
  <si>
    <t>line4 17</t>
  </si>
  <si>
    <t>line4 18</t>
  </si>
  <si>
    <t>line4 19</t>
  </si>
  <si>
    <t>line4 22</t>
  </si>
  <si>
    <t>line4 25</t>
  </si>
  <si>
    <t>line4 29</t>
  </si>
  <si>
    <t>line4 30</t>
  </si>
  <si>
    <t>line4 32</t>
  </si>
  <si>
    <t>line4 37</t>
  </si>
  <si>
    <t>line4 39</t>
  </si>
  <si>
    <t>line4 40</t>
  </si>
  <si>
    <t>line4 41</t>
  </si>
  <si>
    <t>line4 42</t>
  </si>
  <si>
    <t>line4 43</t>
  </si>
  <si>
    <t>line4 44</t>
  </si>
  <si>
    <t>line4 45</t>
  </si>
  <si>
    <t>line4 46</t>
  </si>
  <si>
    <t>line4 47</t>
  </si>
  <si>
    <t>line4 48</t>
  </si>
  <si>
    <t>line4 49</t>
  </si>
  <si>
    <t>line4 50</t>
  </si>
  <si>
    <t>line4 51</t>
  </si>
  <si>
    <t>line4 52</t>
  </si>
  <si>
    <t>line4 53</t>
  </si>
  <si>
    <t>line4 54</t>
  </si>
  <si>
    <t>line4 55</t>
  </si>
  <si>
    <t>line4 56</t>
  </si>
  <si>
    <t>line4 57</t>
  </si>
  <si>
    <t>line4 58</t>
  </si>
  <si>
    <t>line4 59</t>
  </si>
  <si>
    <t>line4 60</t>
  </si>
  <si>
    <t>line4 61</t>
  </si>
  <si>
    <t>line4 62</t>
  </si>
  <si>
    <t>line4 63</t>
  </si>
  <si>
    <t>line4 64</t>
  </si>
  <si>
    <t>line4 65</t>
  </si>
  <si>
    <t>line4 66</t>
  </si>
  <si>
    <t>line4 67</t>
  </si>
  <si>
    <t>line4 68</t>
  </si>
  <si>
    <t>line4 69</t>
  </si>
  <si>
    <t>line4 70</t>
  </si>
  <si>
    <t>line4 71</t>
  </si>
  <si>
    <t>line4 72</t>
  </si>
  <si>
    <t>line4 73</t>
  </si>
  <si>
    <t>line4 74</t>
  </si>
  <si>
    <t>line4 75</t>
  </si>
  <si>
    <t>grain B</t>
    <phoneticPr fontId="1" type="noConversion"/>
  </si>
  <si>
    <t>grain C</t>
    <phoneticPr fontId="1" type="noConversion"/>
  </si>
  <si>
    <t>grain D</t>
    <phoneticPr fontId="1" type="noConversion"/>
  </si>
  <si>
    <t>grain A</t>
    <phoneticPr fontId="1" type="noConversion"/>
  </si>
  <si>
    <t>Ca</t>
    <phoneticPr fontId="3" type="noConversion"/>
  </si>
  <si>
    <t>Na</t>
    <phoneticPr fontId="3" type="noConversion"/>
  </si>
  <si>
    <t>K</t>
    <phoneticPr fontId="3" type="noConversion"/>
  </si>
  <si>
    <t>An</t>
    <phoneticPr fontId="3" type="noConversion"/>
  </si>
  <si>
    <t>Or</t>
    <phoneticPr fontId="3" type="noConversion"/>
  </si>
  <si>
    <t>Ab</t>
    <phoneticPr fontId="3" type="noConversion"/>
  </si>
  <si>
    <t>Si+Al</t>
    <phoneticPr fontId="3" type="noConversion"/>
  </si>
  <si>
    <t>p01</t>
  </si>
  <si>
    <t>p03</t>
  </si>
  <si>
    <t>p05</t>
  </si>
  <si>
    <t>p07</t>
  </si>
  <si>
    <t>p11</t>
  </si>
  <si>
    <t>p23</t>
  </si>
  <si>
    <t>p31</t>
  </si>
  <si>
    <t>p33</t>
  </si>
  <si>
    <t>p35</t>
  </si>
  <si>
    <t>p41</t>
  </si>
  <si>
    <t>p43</t>
  </si>
  <si>
    <t>max</t>
    <phoneticPr fontId="3" type="noConversion"/>
  </si>
  <si>
    <t>min</t>
    <phoneticPr fontId="3" type="noConversion"/>
  </si>
  <si>
    <t>mean</t>
    <phoneticPr fontId="3" type="noConversion"/>
  </si>
  <si>
    <t>rim</t>
    <phoneticPr fontId="3" type="noConversion"/>
  </si>
  <si>
    <t>p02</t>
  </si>
  <si>
    <t>p04</t>
  </si>
  <si>
    <t>p06</t>
  </si>
  <si>
    <t>p08</t>
  </si>
  <si>
    <t>p12</t>
  </si>
  <si>
    <t>p14</t>
  </si>
  <si>
    <t>p18</t>
  </si>
  <si>
    <t>p36</t>
  </si>
  <si>
    <t>mean</t>
  </si>
  <si>
    <t>nk_p01</t>
  </si>
  <si>
    <t>nk_p02</t>
  </si>
  <si>
    <t>nk_p03</t>
  </si>
  <si>
    <t>nk_p04</t>
  </si>
  <si>
    <t>nk_p05</t>
  </si>
  <si>
    <t>nk_p06</t>
  </si>
  <si>
    <t>nk_p07</t>
  </si>
  <si>
    <t>nk_p08</t>
  </si>
  <si>
    <t>nk_p09</t>
  </si>
  <si>
    <t>nk_p10</t>
  </si>
  <si>
    <t>nk_p11</t>
  </si>
  <si>
    <t>nk_p12</t>
  </si>
  <si>
    <t>nk_p13</t>
  </si>
  <si>
    <t>nk_p14</t>
  </si>
  <si>
    <t>nk_p15</t>
  </si>
  <si>
    <t>nk_p16</t>
  </si>
  <si>
    <t>nk_p17</t>
  </si>
  <si>
    <t>nk_p18</t>
  </si>
  <si>
    <t>nk_p19</t>
  </si>
  <si>
    <t>nk_p20</t>
  </si>
  <si>
    <t>in_p02</t>
  </si>
  <si>
    <t>in_p04</t>
  </si>
  <si>
    <t>in_p05</t>
  </si>
  <si>
    <t>in_p06</t>
  </si>
  <si>
    <t>in_p07</t>
  </si>
  <si>
    <t>in_p10</t>
  </si>
  <si>
    <t>in_p11</t>
  </si>
  <si>
    <t>in_p12</t>
  </si>
  <si>
    <t>in_p14</t>
  </si>
  <si>
    <t>in_p15</t>
  </si>
  <si>
    <t>Ca</t>
  </si>
  <si>
    <t>F</t>
  </si>
  <si>
    <t>Cl</t>
  </si>
  <si>
    <t>SO3</t>
  </si>
  <si>
    <t>OH</t>
  </si>
  <si>
    <t>Mer-01</t>
  </si>
  <si>
    <t>Mer-02</t>
  </si>
  <si>
    <t>Mer-03</t>
  </si>
  <si>
    <t>Mer-04</t>
  </si>
  <si>
    <t>Mer-05</t>
  </si>
  <si>
    <t>Mer-06</t>
  </si>
  <si>
    <t>Mer-07</t>
  </si>
  <si>
    <t>Mer-08</t>
  </si>
  <si>
    <t>Mer-09</t>
  </si>
  <si>
    <t>Mer-10</t>
  </si>
  <si>
    <t>Mer-11</t>
  </si>
  <si>
    <t>Mer-12</t>
  </si>
  <si>
    <t>Mer-13</t>
  </si>
  <si>
    <t>Mer-14</t>
  </si>
  <si>
    <t>Mer-15</t>
  </si>
  <si>
    <t>Mer-16</t>
  </si>
  <si>
    <t>Mer-17</t>
  </si>
  <si>
    <t>Mer-18</t>
  </si>
  <si>
    <t>Mer-19</t>
  </si>
  <si>
    <t>Mer-20</t>
  </si>
  <si>
    <t>F+Cl</t>
    <phoneticPr fontId="1" type="noConversion"/>
  </si>
  <si>
    <t>OH</t>
    <phoneticPr fontId="1" type="noConversion"/>
  </si>
  <si>
    <t>Ap-01</t>
  </si>
  <si>
    <t>Ap-03</t>
  </si>
  <si>
    <t>Ap-04</t>
  </si>
  <si>
    <t>Ap-05</t>
  </si>
  <si>
    <t>Ap-06</t>
  </si>
  <si>
    <t>Ap-07</t>
  </si>
  <si>
    <t>Ap-08</t>
  </si>
  <si>
    <t>Ap-09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</si>
  <si>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</si>
  <si>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</si>
  <si>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</si>
  <si>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</si>
  <si>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</si>
  <si>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</si>
  <si>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</si>
  <si>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</si>
  <si>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</si>
  <si>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</si>
  <si>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</si>
  <si>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</si>
  <si>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</si>
  <si>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</si>
  <si>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</si>
  <si>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Ap-02</t>
  </si>
  <si>
    <t>Fe</t>
  </si>
  <si>
    <t>Ni</t>
  </si>
  <si>
    <t>Co</t>
  </si>
  <si>
    <t>Mn</t>
  </si>
  <si>
    <t>O</t>
  </si>
  <si>
    <t>Al</t>
  </si>
  <si>
    <t>S</t>
  </si>
  <si>
    <t>P</t>
  </si>
  <si>
    <t>Cr</t>
  </si>
  <si>
    <t>Si</t>
  </si>
  <si>
    <t>Mg</t>
  </si>
  <si>
    <t>M/S</t>
    <phoneticPr fontId="1" type="noConversion"/>
  </si>
  <si>
    <t>p3</t>
  </si>
  <si>
    <t>p5</t>
  </si>
  <si>
    <t>p9</t>
  </si>
  <si>
    <t>Fe/Mg</t>
  </si>
  <si>
    <t>Mg#</t>
    <phoneticPr fontId="3" type="noConversion"/>
  </si>
  <si>
    <t>Fo</t>
    <phoneticPr fontId="3" type="noConversion"/>
  </si>
  <si>
    <t>Fa</t>
    <phoneticPr fontId="3" type="noConversion"/>
  </si>
  <si>
    <t>4Oxygen</t>
    <phoneticPr fontId="3" type="noConversion"/>
  </si>
  <si>
    <t>Fe</t>
    <phoneticPr fontId="3" type="noConversion"/>
  </si>
  <si>
    <t>Mn</t>
    <phoneticPr fontId="3" type="noConversion"/>
  </si>
  <si>
    <t>Sample ID</t>
  </si>
  <si>
    <t>Titanomagnetite</t>
  </si>
  <si>
    <t>wt%</t>
  </si>
  <si>
    <t>V2O3</t>
  </si>
  <si>
    <t>ZnO</t>
  </si>
  <si>
    <t>atoms p.f.u.</t>
  </si>
  <si>
    <t>Ti</t>
  </si>
  <si>
    <t>V</t>
  </si>
  <si>
    <t>Fe3+</t>
  </si>
  <si>
    <t>Fe2+</t>
  </si>
  <si>
    <t>Zn</t>
  </si>
  <si>
    <t>S cat</t>
  </si>
  <si>
    <t>Fe3+/Fe</t>
    <phoneticPr fontId="1" type="noConversion"/>
  </si>
  <si>
    <t>Fe2+/Fe</t>
    <phoneticPr fontId="1" type="noConversion"/>
  </si>
  <si>
    <t>Fe2O3</t>
    <phoneticPr fontId="1" type="noConversion"/>
  </si>
  <si>
    <t>FeO</t>
    <phoneticPr fontId="1" type="noConversion"/>
  </si>
  <si>
    <t>Ilmenitess</t>
  </si>
  <si>
    <t>S cations</t>
  </si>
  <si>
    <t>Oxygens</t>
  </si>
  <si>
    <t>accuracy</t>
  </si>
  <si>
    <t>P [bar]</t>
  </si>
  <si>
    <t>Calculated mole fractions (projections)</t>
  </si>
  <si>
    <t>X'usp</t>
  </si>
  <si>
    <t>X'ilm</t>
  </si>
  <si>
    <t>Thermo-Oxybarometric results</t>
  </si>
  <si>
    <t>T [°C]</t>
  </si>
  <si>
    <t>∆NNO*</t>
  </si>
  <si>
    <t>log fO2</t>
  </si>
  <si>
    <t>ΔQFM</t>
  </si>
  <si>
    <t>sigma</t>
    <phoneticPr fontId="1" type="noConversion"/>
  </si>
  <si>
    <t>ΔQFM</t>
    <phoneticPr fontId="1" type="noConversion"/>
  </si>
  <si>
    <t>profile shown in Fig. S3</t>
    <phoneticPr fontId="1" type="noConversion"/>
  </si>
  <si>
    <t>lineS1 01</t>
    <phoneticPr fontId="1" type="noConversion"/>
  </si>
  <si>
    <t>lineS1 02</t>
  </si>
  <si>
    <t>lineS1 03</t>
  </si>
  <si>
    <t>lineS1 04</t>
  </si>
  <si>
    <t>lineS1 05</t>
  </si>
  <si>
    <t>lineS1 06</t>
  </si>
  <si>
    <t>lineS1 07</t>
  </si>
  <si>
    <t>lineS1 08</t>
  </si>
  <si>
    <t>lineS1 09</t>
  </si>
  <si>
    <t>lineS1 10</t>
  </si>
  <si>
    <t>lineS1 11</t>
  </si>
  <si>
    <t>lineS1 12</t>
  </si>
  <si>
    <t>lineS1 13</t>
  </si>
  <si>
    <t>lineS1 14</t>
  </si>
  <si>
    <t>lineS1 15</t>
  </si>
  <si>
    <t>lineS1 16</t>
  </si>
  <si>
    <t>lineS1 17</t>
  </si>
  <si>
    <t>lineS1 18</t>
  </si>
  <si>
    <t>lineS1 19</t>
  </si>
  <si>
    <t>lineS1 20</t>
  </si>
  <si>
    <t>lineS1 21</t>
  </si>
  <si>
    <t>lineS1 22</t>
  </si>
  <si>
    <t>lineS1 23</t>
  </si>
  <si>
    <t>lineS1 24</t>
  </si>
  <si>
    <t>lineS1 25</t>
  </si>
  <si>
    <t>lineS1 26</t>
  </si>
  <si>
    <t>lineS1 27</t>
  </si>
  <si>
    <t>lineS1 28</t>
  </si>
  <si>
    <t>lineS1 29</t>
  </si>
  <si>
    <t>lineS1 30</t>
  </si>
  <si>
    <t xml:space="preserve">distance (μm) </t>
    <phoneticPr fontId="1" type="noConversion"/>
  </si>
  <si>
    <t>p1</t>
    <phoneticPr fontId="1" type="noConversion"/>
  </si>
  <si>
    <t>p2</t>
  </si>
  <si>
    <t>p4</t>
  </si>
  <si>
    <t>p6</t>
  </si>
  <si>
    <t>p7</t>
  </si>
  <si>
    <t>p8</t>
  </si>
  <si>
    <t>p1</t>
    <phoneticPr fontId="1" type="noConversion"/>
  </si>
  <si>
    <t>p52</t>
  </si>
  <si>
    <t>p68</t>
  </si>
  <si>
    <t>p71</t>
  </si>
  <si>
    <t>p78</t>
  </si>
  <si>
    <t>p84</t>
  </si>
  <si>
    <t>p92</t>
  </si>
  <si>
    <t>p97</t>
  </si>
  <si>
    <t>p98</t>
  </si>
  <si>
    <t>p111</t>
  </si>
  <si>
    <t>p121</t>
  </si>
  <si>
    <t>p129</t>
  </si>
  <si>
    <t>p131</t>
  </si>
  <si>
    <t>p134</t>
  </si>
  <si>
    <t>p135</t>
  </si>
  <si>
    <t>p143</t>
  </si>
  <si>
    <t>p146</t>
  </si>
  <si>
    <t>p147</t>
  </si>
  <si>
    <t>p148</t>
  </si>
  <si>
    <t>p149</t>
  </si>
  <si>
    <t>p150</t>
  </si>
  <si>
    <t>p153</t>
  </si>
  <si>
    <t>p154</t>
  </si>
  <si>
    <t>p162</t>
  </si>
  <si>
    <t>p164</t>
  </si>
  <si>
    <t>p165</t>
  </si>
  <si>
    <t>p166</t>
  </si>
  <si>
    <t>p176</t>
  </si>
  <si>
    <t>p177</t>
  </si>
  <si>
    <t>p178</t>
  </si>
  <si>
    <t>p184</t>
  </si>
  <si>
    <t>p188</t>
  </si>
  <si>
    <t>p201</t>
  </si>
  <si>
    <t>p220</t>
  </si>
  <si>
    <t>p223</t>
  </si>
  <si>
    <t>close to mesostasis</t>
    <phoneticPr fontId="1" type="noConversion"/>
  </si>
  <si>
    <t>within intergrowth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</si>
</sst>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"/>
    <numFmt numFmtId="177" formatCode="0.0000"/>
    <numFmt numFmtId="178" formatCode="0.0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Calibri"/>
      <family val="2"/>
    </font>
    <font>
      <sz val="9"/>
      <name val="等线"/>
      <family val="2"/>
      <charset val="134"/>
      <scheme val="minor"/>
    </font>
    <font>
      <sz val="12"/>
      <color rgb="FFFF0000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theme="1"/>
      <name val="等线"/>
      <family val="2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2">
    <xf numFmtId="0" fontId="0" fillId="0" borderId="0"/>
    <xf numFmtId="0" fontId="7" fillId="0" borderId="0">
      <alignment vertical="center"/>
    </xf>
  </cellStyleXfs>
  <cellXfs count="9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2" fontId="2" fillId="4" borderId="0" xfId="0" applyNumberFormat="1" applyFont="1" applyFill="1" applyAlignment="1">
      <alignment horizontal="center"/>
    </xf>
    <xf numFmtId="176" fontId="2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2" fontId="2" fillId="5" borderId="0" xfId="0" applyNumberFormat="1" applyFont="1" applyFill="1" applyAlignment="1">
      <alignment horizontal="center"/>
    </xf>
    <xf numFmtId="178" fontId="2" fillId="5" borderId="0" xfId="0" applyNumberFormat="1" applyFont="1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76" fontId="2" fillId="6" borderId="0" xfId="0" applyNumberFormat="1" applyFont="1" applyFill="1" applyAlignment="1">
      <alignment horizontal="center" vertical="center"/>
    </xf>
    <xf numFmtId="176" fontId="4" fillId="6" borderId="0" xfId="0" applyNumberFormat="1" applyFont="1" applyFill="1" applyAlignment="1">
      <alignment horizontal="center" vertical="center"/>
    </xf>
    <xf numFmtId="2" fontId="2" fillId="6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8" borderId="0" xfId="0" applyFont="1" applyFill="1" applyAlignment="1">
      <alignment horizontal="center" vertical="center"/>
    </xf>
    <xf numFmtId="2" fontId="2" fillId="8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" fillId="0" borderId="0" xfId="0" applyFont="1"/>
    <xf numFmtId="0" fontId="2" fillId="10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12" borderId="3" xfId="1" applyFont="1" applyFill="1" applyBorder="1" applyAlignment="1">
      <alignment horizontal="center" vertical="center"/>
    </xf>
    <xf numFmtId="2" fontId="2" fillId="12" borderId="4" xfId="1" applyNumberFormat="1" applyFont="1" applyFill="1" applyBorder="1" applyAlignment="1">
      <alignment horizontal="center" vertical="center"/>
    </xf>
    <xf numFmtId="0" fontId="2" fillId="12" borderId="4" xfId="1" applyFont="1" applyFill="1" applyBorder="1" applyAlignment="1">
      <alignment horizontal="center" vertical="center"/>
    </xf>
    <xf numFmtId="0" fontId="2" fillId="8" borderId="3" xfId="1" applyFont="1" applyFill="1" applyBorder="1" applyAlignment="1">
      <alignment horizontal="center" vertical="center"/>
    </xf>
    <xf numFmtId="2" fontId="2" fillId="8" borderId="4" xfId="1" applyNumberFormat="1" applyFont="1" applyFill="1" applyBorder="1" applyAlignment="1">
      <alignment horizontal="center" vertical="center"/>
    </xf>
    <xf numFmtId="0" fontId="2" fillId="8" borderId="4" xfId="1" applyFont="1" applyFill="1" applyBorder="1" applyAlignment="1">
      <alignment horizontal="center" vertical="center"/>
    </xf>
    <xf numFmtId="0" fontId="4" fillId="8" borderId="3" xfId="1" applyFont="1" applyFill="1" applyBorder="1" applyAlignment="1">
      <alignment horizontal="center" vertical="center"/>
    </xf>
    <xf numFmtId="2" fontId="4" fillId="8" borderId="4" xfId="1" applyNumberFormat="1" applyFont="1" applyFill="1" applyBorder="1" applyAlignment="1">
      <alignment horizontal="center" vertical="center"/>
    </xf>
    <xf numFmtId="0" fontId="4" fillId="8" borderId="4" xfId="1" applyFont="1" applyFill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2" fontId="2" fillId="0" borderId="4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7" borderId="3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2" fontId="2" fillId="0" borderId="3" xfId="1" applyNumberFormat="1" applyFont="1" applyBorder="1" applyAlignment="1">
      <alignment horizontal="center" vertical="center"/>
    </xf>
    <xf numFmtId="0" fontId="2" fillId="6" borderId="5" xfId="1" applyFont="1" applyFill="1" applyBorder="1">
      <alignment vertical="center"/>
    </xf>
    <xf numFmtId="0" fontId="2" fillId="6" borderId="3" xfId="1" applyFont="1" applyFill="1" applyBorder="1">
      <alignment vertical="center"/>
    </xf>
    <xf numFmtId="0" fontId="2" fillId="6" borderId="4" xfId="1" applyFont="1" applyFill="1" applyBorder="1" applyAlignment="1">
      <alignment horizontal="center" vertical="center"/>
    </xf>
    <xf numFmtId="2" fontId="2" fillId="6" borderId="4" xfId="1" applyNumberFormat="1" applyFont="1" applyFill="1" applyBorder="1" applyAlignment="1">
      <alignment horizontal="center" vertical="center"/>
    </xf>
    <xf numFmtId="0" fontId="2" fillId="6" borderId="4" xfId="1" applyFont="1" applyFill="1" applyBorder="1">
      <alignment vertical="center"/>
    </xf>
    <xf numFmtId="0" fontId="2" fillId="13" borderId="3" xfId="1" applyFont="1" applyFill="1" applyBorder="1">
      <alignment vertical="center"/>
    </xf>
    <xf numFmtId="2" fontId="2" fillId="13" borderId="4" xfId="1" applyNumberFormat="1" applyFont="1" applyFill="1" applyBorder="1" applyAlignment="1">
      <alignment horizontal="center" vertical="center"/>
    </xf>
    <xf numFmtId="0" fontId="2" fillId="13" borderId="4" xfId="1" applyFont="1" applyFill="1" applyBorder="1">
      <alignment vertical="center"/>
    </xf>
    <xf numFmtId="0" fontId="2" fillId="0" borderId="3" xfId="1" applyFont="1" applyBorder="1">
      <alignment vertical="center"/>
    </xf>
    <xf numFmtId="0" fontId="2" fillId="0" borderId="4" xfId="1" applyFont="1" applyBorder="1">
      <alignment vertical="center"/>
    </xf>
    <xf numFmtId="0" fontId="2" fillId="2" borderId="3" xfId="1" applyFont="1" applyFill="1" applyBorder="1">
      <alignment vertical="center"/>
    </xf>
    <xf numFmtId="0" fontId="2" fillId="2" borderId="4" xfId="1" applyFont="1" applyFill="1" applyBorder="1">
      <alignment vertical="center"/>
    </xf>
    <xf numFmtId="2" fontId="2" fillId="2" borderId="4" xfId="1" applyNumberFormat="1" applyFont="1" applyFill="1" applyBorder="1" applyAlignment="1">
      <alignment horizontal="center" vertical="center"/>
    </xf>
    <xf numFmtId="0" fontId="2" fillId="14" borderId="3" xfId="1" applyFont="1" applyFill="1" applyBorder="1" applyAlignment="1">
      <alignment horizontal="center" vertical="center"/>
    </xf>
    <xf numFmtId="2" fontId="2" fillId="14" borderId="4" xfId="1" applyNumberFormat="1" applyFont="1" applyFill="1" applyBorder="1" applyAlignment="1">
      <alignment horizontal="center" vertical="center"/>
    </xf>
    <xf numFmtId="0" fontId="2" fillId="14" borderId="4" xfId="1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177" fontId="6" fillId="10" borderId="0" xfId="0" applyNumberFormat="1" applyFont="1" applyFill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>
      <alignment vertical="center"/>
    </xf>
    <xf numFmtId="0" fontId="2" fillId="0" borderId="4" xfId="0" applyFont="1" applyBorder="1" applyAlignment="1">
      <alignment horizontal="center" vertical="center"/>
    </xf>
    <xf numFmtId="178" fontId="2" fillId="12" borderId="4" xfId="0" applyNumberFormat="1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176" fontId="2" fillId="0" borderId="4" xfId="0" applyNumberFormat="1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178" fontId="2" fillId="0" borderId="4" xfId="0" applyNumberFormat="1" applyFont="1" applyFill="1" applyBorder="1" applyAlignment="1">
      <alignment horizontal="center" vertical="center"/>
    </xf>
    <xf numFmtId="178" fontId="2" fillId="0" borderId="6" xfId="0" applyNumberFormat="1" applyFont="1" applyFill="1" applyBorder="1" applyAlignment="1">
      <alignment horizontal="center" vertical="center"/>
    </xf>
    <xf numFmtId="2" fontId="2" fillId="0" borderId="4" xfId="0" applyNumberFormat="1" applyFont="1" applyFill="1" applyBorder="1" applyAlignment="1">
      <alignment horizontal="center" vertical="center"/>
    </xf>
    <xf numFmtId="2" fontId="2" fillId="0" borderId="6" xfId="0" applyNumberFormat="1" applyFont="1" applyFill="1" applyBorder="1" applyAlignment="1">
      <alignment horizontal="center" vertical="center"/>
    </xf>
    <xf numFmtId="0" fontId="0" fillId="0" borderId="0" xfId="0" applyFill="1"/>
  </cellXfs>
  <cellStyles count="2">
    <cellStyle name="常规" xfId="0" builtinId="0"/>
    <cellStyle name="常规 2" xfId="1" xr:uid="{CC151D72-5706-4AD9-A31F-70B2944074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'pyx point'!$T$3:$T$126</c:f>
              <c:numCache>
                <c:formatCode>0.000</c:formatCode>
                <c:ptCount val="124"/>
                <c:pt idx="0">
                  <c:v>68.978653759256119</c:v>
                </c:pt>
                <c:pt idx="1">
                  <c:v>68.532231747031886</c:v>
                </c:pt>
                <c:pt idx="2" formatCode="0.00">
                  <c:v>67.699388483692985</c:v>
                </c:pt>
                <c:pt idx="3" formatCode="0.00">
                  <c:v>67.628553229967366</c:v>
                </c:pt>
                <c:pt idx="4" formatCode="0.00">
                  <c:v>67.026745865776221</c:v>
                </c:pt>
                <c:pt idx="5" formatCode="0.00">
                  <c:v>66.002269129441856</c:v>
                </c:pt>
                <c:pt idx="6" formatCode="0.00">
                  <c:v>67.918100691567957</c:v>
                </c:pt>
                <c:pt idx="7" formatCode="0.00">
                  <c:v>66.856871039850645</c:v>
                </c:pt>
                <c:pt idx="8" formatCode="0.00">
                  <c:v>65.089700575085047</c:v>
                </c:pt>
                <c:pt idx="9" formatCode="0.00">
                  <c:v>66.215572178655052</c:v>
                </c:pt>
                <c:pt idx="10" formatCode="0.00">
                  <c:v>66.282191537975592</c:v>
                </c:pt>
                <c:pt idx="11" formatCode="0.00">
                  <c:v>67.976271742307347</c:v>
                </c:pt>
                <c:pt idx="12" formatCode="0.00">
                  <c:v>65.366896673439228</c:v>
                </c:pt>
                <c:pt idx="13" formatCode="0.00">
                  <c:v>67.696184075652695</c:v>
                </c:pt>
                <c:pt idx="14" formatCode="0.00">
                  <c:v>66.873596857350009</c:v>
                </c:pt>
                <c:pt idx="15" formatCode="0.00">
                  <c:v>64.114847510411963</c:v>
                </c:pt>
                <c:pt idx="16" formatCode="0.00">
                  <c:v>64.324437733229189</c:v>
                </c:pt>
                <c:pt idx="17" formatCode="0.00">
                  <c:v>65.254897927530848</c:v>
                </c:pt>
                <c:pt idx="18" formatCode="0.00">
                  <c:v>64.367185326810528</c:v>
                </c:pt>
                <c:pt idx="19" formatCode="0.00">
                  <c:v>65.832704803077419</c:v>
                </c:pt>
                <c:pt idx="20" formatCode="0.00">
                  <c:v>65.786484480155963</c:v>
                </c:pt>
                <c:pt idx="21" formatCode="0.00">
                  <c:v>65.111985777536916</c:v>
                </c:pt>
                <c:pt idx="22" formatCode="0.00">
                  <c:v>64.6396811964362</c:v>
                </c:pt>
                <c:pt idx="23" formatCode="0.00">
                  <c:v>64.037546708765987</c:v>
                </c:pt>
                <c:pt idx="24" formatCode="0.00">
                  <c:v>65.051017144728917</c:v>
                </c:pt>
                <c:pt idx="25" formatCode="0.00">
                  <c:v>66.117485435527186</c:v>
                </c:pt>
                <c:pt idx="26" formatCode="0.00">
                  <c:v>65.357876665624687</c:v>
                </c:pt>
                <c:pt idx="27" formatCode="0.00">
                  <c:v>64.370313762574654</c:v>
                </c:pt>
                <c:pt idx="28" formatCode="0.00">
                  <c:v>65.173384082433003</c:v>
                </c:pt>
                <c:pt idx="29" formatCode="0.00">
                  <c:v>65.968291279594567</c:v>
                </c:pt>
                <c:pt idx="30" formatCode="0.00">
                  <c:v>65.365031959889393</c:v>
                </c:pt>
                <c:pt idx="31" formatCode="0.00">
                  <c:v>63.700545736917455</c:v>
                </c:pt>
                <c:pt idx="32" formatCode="0.00">
                  <c:v>64.64057416415848</c:v>
                </c:pt>
                <c:pt idx="33" formatCode="0.00">
                  <c:v>64.567341003071988</c:v>
                </c:pt>
                <c:pt idx="34" formatCode="0.00">
                  <c:v>65.185180119181524</c:v>
                </c:pt>
                <c:pt idx="35" formatCode="0.00">
                  <c:v>65.99740550147088</c:v>
                </c:pt>
                <c:pt idx="36" formatCode="0.00">
                  <c:v>65.502956931471843</c:v>
                </c:pt>
                <c:pt idx="37" formatCode="0.00">
                  <c:v>64.812594780345975</c:v>
                </c:pt>
                <c:pt idx="38" formatCode="0.00">
                  <c:v>63.496975421276538</c:v>
                </c:pt>
                <c:pt idx="39" formatCode="0.00">
                  <c:v>66.175843363774703</c:v>
                </c:pt>
                <c:pt idx="40" formatCode="0.00">
                  <c:v>64.586550539118932</c:v>
                </c:pt>
                <c:pt idx="41" formatCode="0.00">
                  <c:v>66.241025520163547</c:v>
                </c:pt>
                <c:pt idx="42" formatCode="0.00">
                  <c:v>66.031499516113357</c:v>
                </c:pt>
                <c:pt idx="43" formatCode="0.00">
                  <c:v>65.624810525415867</c:v>
                </c:pt>
                <c:pt idx="44" formatCode="0.00">
                  <c:v>65.836178895588446</c:v>
                </c:pt>
                <c:pt idx="45" formatCode="0.00">
                  <c:v>65.522502225130481</c:v>
                </c:pt>
                <c:pt idx="46" formatCode="0.00">
                  <c:v>66.520651849773202</c:v>
                </c:pt>
                <c:pt idx="47" formatCode="0.00">
                  <c:v>63.728242733841647</c:v>
                </c:pt>
                <c:pt idx="48" formatCode="0.00">
                  <c:v>63.665653262325328</c:v>
                </c:pt>
                <c:pt idx="49" formatCode="0">
                  <c:v>62.989705325687972</c:v>
                </c:pt>
                <c:pt idx="50" formatCode="0.00">
                  <c:v>63.441193955055631</c:v>
                </c:pt>
                <c:pt idx="51" formatCode="0.00">
                  <c:v>64.950755648312935</c:v>
                </c:pt>
                <c:pt idx="52" formatCode="0.00">
                  <c:v>66.148241752507914</c:v>
                </c:pt>
                <c:pt idx="53" formatCode="0.00">
                  <c:v>65.732329302199688</c:v>
                </c:pt>
                <c:pt idx="54" formatCode="0">
                  <c:v>62.28061451883422</c:v>
                </c:pt>
                <c:pt idx="55" formatCode="0.00">
                  <c:v>64.042892916639261</c:v>
                </c:pt>
                <c:pt idx="56" formatCode="0.00">
                  <c:v>67.836016584574395</c:v>
                </c:pt>
                <c:pt idx="57" formatCode="0.00">
                  <c:v>64.048318783120237</c:v>
                </c:pt>
                <c:pt idx="58" formatCode="0.00">
                  <c:v>66.498747452964906</c:v>
                </c:pt>
                <c:pt idx="59" formatCode="0.00">
                  <c:v>66.093525743229847</c:v>
                </c:pt>
                <c:pt idx="60" formatCode="0.00">
                  <c:v>63.909147691972358</c:v>
                </c:pt>
                <c:pt idx="61" formatCode="0.00">
                  <c:v>64.101923968682556</c:v>
                </c:pt>
                <c:pt idx="62" formatCode="0.00">
                  <c:v>64.445547161850797</c:v>
                </c:pt>
                <c:pt idx="63" formatCode="0.00">
                  <c:v>64.674153360292181</c:v>
                </c:pt>
                <c:pt idx="64" formatCode="0.00">
                  <c:v>64.461135945420509</c:v>
                </c:pt>
                <c:pt idx="65" formatCode="0.00">
                  <c:v>63.661227833114452</c:v>
                </c:pt>
                <c:pt idx="66" formatCode="0.00">
                  <c:v>64.447996991711207</c:v>
                </c:pt>
                <c:pt idx="67" formatCode="0.00">
                  <c:v>68.338995101149905</c:v>
                </c:pt>
                <c:pt idx="68" formatCode="0.00">
                  <c:v>68.252394512663514</c:v>
                </c:pt>
                <c:pt idx="69" formatCode="0.00">
                  <c:v>68.124408743776783</c:v>
                </c:pt>
                <c:pt idx="70" formatCode="0.00">
                  <c:v>67.908534273761461</c:v>
                </c:pt>
                <c:pt idx="71" formatCode="0.00">
                  <c:v>67.565235812086328</c:v>
                </c:pt>
                <c:pt idx="72" formatCode="0.00">
                  <c:v>67.446878160820617</c:v>
                </c:pt>
                <c:pt idx="73" formatCode="0.00">
                  <c:v>67.244052654529099</c:v>
                </c:pt>
                <c:pt idx="74" formatCode="0.00">
                  <c:v>67.199529882233463</c:v>
                </c:pt>
                <c:pt idx="75" formatCode="0.00">
                  <c:v>67.097206812255962</c:v>
                </c:pt>
                <c:pt idx="76" formatCode="0.00">
                  <c:v>67.045434214404082</c:v>
                </c:pt>
                <c:pt idx="77" formatCode="0.00">
                  <c:v>67.044333391109205</c:v>
                </c:pt>
                <c:pt idx="78" formatCode="0.00">
                  <c:v>67.002760659170534</c:v>
                </c:pt>
                <c:pt idx="79" formatCode="0.00">
                  <c:v>66.907023582992451</c:v>
                </c:pt>
                <c:pt idx="80" formatCode="0.00">
                  <c:v>66.880880572958915</c:v>
                </c:pt>
                <c:pt idx="81" formatCode="0.00">
                  <c:v>66.763550993369932</c:v>
                </c:pt>
                <c:pt idx="82" formatCode="0.00">
                  <c:v>66.591566353911304</c:v>
                </c:pt>
                <c:pt idx="83" formatCode="0.00">
                  <c:v>66.419433395722479</c:v>
                </c:pt>
                <c:pt idx="84" formatCode="0.00">
                  <c:v>66.359269565792772</c:v>
                </c:pt>
                <c:pt idx="85" formatCode="0.00">
                  <c:v>66.248836757300822</c:v>
                </c:pt>
                <c:pt idx="86" formatCode="0.00">
                  <c:v>65.991319145224125</c:v>
                </c:pt>
                <c:pt idx="87" formatCode="0.00">
                  <c:v>65.976051120415988</c:v>
                </c:pt>
                <c:pt idx="88" formatCode="0.00">
                  <c:v>65.848074045505953</c:v>
                </c:pt>
                <c:pt idx="89" formatCode="0.00">
                  <c:v>65.738905512940761</c:v>
                </c:pt>
                <c:pt idx="90" formatCode="0.00">
                  <c:v>65.604377377280912</c:v>
                </c:pt>
                <c:pt idx="91" formatCode="0.00">
                  <c:v>65.595401879742255</c:v>
                </c:pt>
                <c:pt idx="92" formatCode="0.00">
                  <c:v>65.49666451400185</c:v>
                </c:pt>
                <c:pt idx="93" formatCode="0.00">
                  <c:v>65.483047712455615</c:v>
                </c:pt>
                <c:pt idx="94" formatCode="0.00">
                  <c:v>65.465412461945618</c:v>
                </c:pt>
                <c:pt idx="95" formatCode="0.00">
                  <c:v>65.275258286725872</c:v>
                </c:pt>
                <c:pt idx="96" formatCode="0.00">
                  <c:v>65.248632471284523</c:v>
                </c:pt>
                <c:pt idx="97" formatCode="0.00">
                  <c:v>65.134796416521752</c:v>
                </c:pt>
                <c:pt idx="98" formatCode="0.00">
                  <c:v>65.087855037431424</c:v>
                </c:pt>
                <c:pt idx="99" formatCode="0.00">
                  <c:v>65.020926375291396</c:v>
                </c:pt>
                <c:pt idx="100" formatCode="0.00">
                  <c:v>64.974404343910379</c:v>
                </c:pt>
                <c:pt idx="101" formatCode="0.00">
                  <c:v>64.965708063480108</c:v>
                </c:pt>
                <c:pt idx="102" formatCode="0.00">
                  <c:v>64.923138898257008</c:v>
                </c:pt>
                <c:pt idx="103" formatCode="0.00">
                  <c:v>64.895490874248026</c:v>
                </c:pt>
                <c:pt idx="104" formatCode="0.00">
                  <c:v>64.819811921248657</c:v>
                </c:pt>
                <c:pt idx="105" formatCode="0.00">
                  <c:v>64.640906628086668</c:v>
                </c:pt>
                <c:pt idx="106" formatCode="0.00">
                  <c:v>64.483013896403378</c:v>
                </c:pt>
                <c:pt idx="107" formatCode="0.00">
                  <c:v>64.439794407274121</c:v>
                </c:pt>
                <c:pt idx="108" formatCode="0.00">
                  <c:v>64.380701905505376</c:v>
                </c:pt>
                <c:pt idx="109" formatCode="0.00">
                  <c:v>64.337821852216763</c:v>
                </c:pt>
                <c:pt idx="110" formatCode="0.00">
                  <c:v>64.324638859576922</c:v>
                </c:pt>
                <c:pt idx="111" formatCode="0.00">
                  <c:v>64.233809642375704</c:v>
                </c:pt>
                <c:pt idx="112" formatCode="0.00">
                  <c:v>64.179968186278543</c:v>
                </c:pt>
                <c:pt idx="113" formatCode="0.00">
                  <c:v>64.157047763810169</c:v>
                </c:pt>
                <c:pt idx="114" formatCode="0.00">
                  <c:v>64.142269105294986</c:v>
                </c:pt>
                <c:pt idx="115" formatCode="0.00">
                  <c:v>64.023159282947333</c:v>
                </c:pt>
                <c:pt idx="116" formatCode="0.00">
                  <c:v>63.961091576765369</c:v>
                </c:pt>
                <c:pt idx="117" formatCode="0.00">
                  <c:v>63.844922575883636</c:v>
                </c:pt>
                <c:pt idx="118" formatCode="0.00">
                  <c:v>63.700012862355052</c:v>
                </c:pt>
                <c:pt idx="119" formatCode="0.00">
                  <c:v>63.433585288056271</c:v>
                </c:pt>
                <c:pt idx="120" formatCode="0.00">
                  <c:v>63.124989990006483</c:v>
                </c:pt>
                <c:pt idx="121" formatCode="0.00">
                  <c:v>63.07244810953113</c:v>
                </c:pt>
                <c:pt idx="122" formatCode="0.00">
                  <c:v>63.039782550823332</c:v>
                </c:pt>
                <c:pt idx="123" formatCode="0.00">
                  <c:v>62.830432338049057</c:v>
                </c:pt>
              </c:numCache>
            </c:numRef>
          </c:xVal>
          <c:yVal>
            <c:numRef>
              <c:f>'pyx point'!$V$3:$V$126</c:f>
              <c:numCache>
                <c:formatCode>0.000</c:formatCode>
                <c:ptCount val="124"/>
                <c:pt idx="0">
                  <c:v>38.562996240646946</c:v>
                </c:pt>
                <c:pt idx="1">
                  <c:v>37.87715143017931</c:v>
                </c:pt>
                <c:pt idx="2" formatCode="0.00">
                  <c:v>37.802698474144549</c:v>
                </c:pt>
                <c:pt idx="3" formatCode="0.00">
                  <c:v>37.202487610028868</c:v>
                </c:pt>
                <c:pt idx="4" formatCode="0.00">
                  <c:v>36.820630981098027</c:v>
                </c:pt>
                <c:pt idx="5" formatCode="0.00">
                  <c:v>36.704983255668132</c:v>
                </c:pt>
                <c:pt idx="6" formatCode="0.00">
                  <c:v>36.660420353516322</c:v>
                </c:pt>
                <c:pt idx="7" formatCode="0.00">
                  <c:v>36.379070461476751</c:v>
                </c:pt>
                <c:pt idx="8" formatCode="0.00">
                  <c:v>35.321821811904442</c:v>
                </c:pt>
                <c:pt idx="9" formatCode="0.00">
                  <c:v>34.745211958093243</c:v>
                </c:pt>
                <c:pt idx="10" formatCode="0.00">
                  <c:v>34.718300912177625</c:v>
                </c:pt>
                <c:pt idx="11" formatCode="0.00">
                  <c:v>34.609655408513731</c:v>
                </c:pt>
                <c:pt idx="12" formatCode="0.00">
                  <c:v>34.566498222423007</c:v>
                </c:pt>
                <c:pt idx="13" formatCode="0.00">
                  <c:v>34.446878041861709</c:v>
                </c:pt>
                <c:pt idx="14" formatCode="0.00">
                  <c:v>34.159326357144238</c:v>
                </c:pt>
                <c:pt idx="15" formatCode="0.00">
                  <c:v>34.128533247534826</c:v>
                </c:pt>
                <c:pt idx="16" formatCode="0.00">
                  <c:v>34.084692462233015</c:v>
                </c:pt>
                <c:pt idx="17" formatCode="0.00">
                  <c:v>33.845347142869493</c:v>
                </c:pt>
                <c:pt idx="18" formatCode="0.00">
                  <c:v>33.802624021795516</c:v>
                </c:pt>
                <c:pt idx="19" formatCode="0.00">
                  <c:v>33.769913885736223</c:v>
                </c:pt>
                <c:pt idx="20" formatCode="0.00">
                  <c:v>33.769701340786895</c:v>
                </c:pt>
                <c:pt idx="21" formatCode="0.00">
                  <c:v>33.764881771270886</c:v>
                </c:pt>
                <c:pt idx="22" formatCode="0.00">
                  <c:v>33.743571798447221</c:v>
                </c:pt>
                <c:pt idx="23" formatCode="0.00">
                  <c:v>33.71455573522065</c:v>
                </c:pt>
                <c:pt idx="24" formatCode="0.00">
                  <c:v>33.547581134198055</c:v>
                </c:pt>
                <c:pt idx="25" formatCode="0.00">
                  <c:v>33.442989145315657</c:v>
                </c:pt>
                <c:pt idx="26" formatCode="0.00">
                  <c:v>33.406736973094866</c:v>
                </c:pt>
                <c:pt idx="27" formatCode="0.00">
                  <c:v>33.313014827761535</c:v>
                </c:pt>
                <c:pt idx="28" formatCode="0.00">
                  <c:v>33.252147257488687</c:v>
                </c:pt>
                <c:pt idx="29" formatCode="0.00">
                  <c:v>33.237539589378557</c:v>
                </c:pt>
                <c:pt idx="30" formatCode="0.00">
                  <c:v>33.206248138004327</c:v>
                </c:pt>
                <c:pt idx="31" formatCode="0.00">
                  <c:v>33.193636112374371</c:v>
                </c:pt>
                <c:pt idx="32" formatCode="0.00">
                  <c:v>33.17673708327689</c:v>
                </c:pt>
                <c:pt idx="33" formatCode="0.00">
                  <c:v>33.081266314197862</c:v>
                </c:pt>
                <c:pt idx="34" formatCode="0.00">
                  <c:v>33.064349733258233</c:v>
                </c:pt>
                <c:pt idx="35" formatCode="0.00">
                  <c:v>33.032532580090887</c:v>
                </c:pt>
                <c:pt idx="36" formatCode="0.00">
                  <c:v>33.026149151933247</c:v>
                </c:pt>
                <c:pt idx="37" formatCode="0.00">
                  <c:v>32.916673448972375</c:v>
                </c:pt>
                <c:pt idx="38" formatCode="0.00">
                  <c:v>32.812516951436663</c:v>
                </c:pt>
                <c:pt idx="39" formatCode="0.00">
                  <c:v>32.083452476574251</c:v>
                </c:pt>
                <c:pt idx="40" formatCode="0.00">
                  <c:v>32.022220963276425</c:v>
                </c:pt>
                <c:pt idx="41" formatCode="0.00">
                  <c:v>31.80247776223656</c:v>
                </c:pt>
                <c:pt idx="42" formatCode="0.00">
                  <c:v>31.642448542381139</c:v>
                </c:pt>
                <c:pt idx="43" formatCode="0.00">
                  <c:v>31.444034363243812</c:v>
                </c:pt>
                <c:pt idx="44" formatCode="0.00">
                  <c:v>31.431929332048199</c:v>
                </c:pt>
                <c:pt idx="45" formatCode="0.00">
                  <c:v>31.353234943774122</c:v>
                </c:pt>
                <c:pt idx="46" formatCode="0.00">
                  <c:v>30.417423882833532</c:v>
                </c:pt>
                <c:pt idx="47" formatCode="0.00">
                  <c:v>30.234054356406414</c:v>
                </c:pt>
                <c:pt idx="48" formatCode="0.00">
                  <c:v>29.863735613270443</c:v>
                </c:pt>
                <c:pt idx="49" formatCode="0.00">
                  <c:v>29.74044685831468</c:v>
                </c:pt>
                <c:pt idx="50" formatCode="0.00">
                  <c:v>29.702554887624654</c:v>
                </c:pt>
                <c:pt idx="51" formatCode="0.00">
                  <c:v>29.645379995171929</c:v>
                </c:pt>
                <c:pt idx="52" formatCode="0.00">
                  <c:v>29.025512345780974</c:v>
                </c:pt>
                <c:pt idx="53" formatCode="0.00">
                  <c:v>29.005733922035521</c:v>
                </c:pt>
                <c:pt idx="54" formatCode="0.00">
                  <c:v>28.281378797910516</c:v>
                </c:pt>
                <c:pt idx="55" formatCode="0.00">
                  <c:v>26.671762763505765</c:v>
                </c:pt>
                <c:pt idx="56" formatCode="0.00">
                  <c:v>36.965407771680042</c:v>
                </c:pt>
                <c:pt idx="57" formatCode="0.00">
                  <c:v>35.630518623996835</c:v>
                </c:pt>
                <c:pt idx="58" formatCode="0.00">
                  <c:v>34.727414123324671</c:v>
                </c:pt>
                <c:pt idx="59" formatCode="0.00">
                  <c:v>34.663085712158917</c:v>
                </c:pt>
                <c:pt idx="60" formatCode="0.00">
                  <c:v>34.586501871907686</c:v>
                </c:pt>
                <c:pt idx="61" formatCode="0.00">
                  <c:v>34.570443838765925</c:v>
                </c:pt>
                <c:pt idx="62" formatCode="0.00">
                  <c:v>34.356150552561147</c:v>
                </c:pt>
                <c:pt idx="63" formatCode="0.00">
                  <c:v>34.212571032175376</c:v>
                </c:pt>
                <c:pt idx="64" formatCode="0.00">
                  <c:v>33.417560301232022</c:v>
                </c:pt>
                <c:pt idx="65" formatCode="0.00">
                  <c:v>32.802269562069611</c:v>
                </c:pt>
                <c:pt idx="66" formatCode="0.00">
                  <c:v>31.96088845298296</c:v>
                </c:pt>
                <c:pt idx="67" formatCode="0.00">
                  <c:v>34.775150317227229</c:v>
                </c:pt>
                <c:pt idx="68" formatCode="0.00">
                  <c:v>31.894469602785108</c:v>
                </c:pt>
                <c:pt idx="69" formatCode="0.00">
                  <c:v>33.497202811172066</c:v>
                </c:pt>
                <c:pt idx="70" formatCode="0.00">
                  <c:v>33.924699926764198</c:v>
                </c:pt>
                <c:pt idx="71" formatCode="0.00">
                  <c:v>32.16400040229226</c:v>
                </c:pt>
                <c:pt idx="72" formatCode="0.00">
                  <c:v>34.230031390262425</c:v>
                </c:pt>
                <c:pt idx="73" formatCode="0.00">
                  <c:v>34.504559714897667</c:v>
                </c:pt>
                <c:pt idx="74" formatCode="0.00">
                  <c:v>33.819894527405417</c:v>
                </c:pt>
                <c:pt idx="75" formatCode="0.00">
                  <c:v>34.254652922546121</c:v>
                </c:pt>
                <c:pt idx="76" formatCode="0.00">
                  <c:v>31.434813280007667</c:v>
                </c:pt>
                <c:pt idx="77" formatCode="0.00">
                  <c:v>34.393468842044619</c:v>
                </c:pt>
                <c:pt idx="78" formatCode="0.00">
                  <c:v>36.022794500439389</c:v>
                </c:pt>
                <c:pt idx="79" formatCode="0.00">
                  <c:v>36.717486708187955</c:v>
                </c:pt>
                <c:pt idx="80" formatCode="0.00">
                  <c:v>32.879162975356977</c:v>
                </c:pt>
                <c:pt idx="81" formatCode="0.00">
                  <c:v>35.886993759065405</c:v>
                </c:pt>
                <c:pt idx="82" formatCode="0.00">
                  <c:v>30.388867090764922</c:v>
                </c:pt>
                <c:pt idx="83" formatCode="0.00">
                  <c:v>30.859203348853175</c:v>
                </c:pt>
                <c:pt idx="84" formatCode="0.00">
                  <c:v>36.012174301352744</c:v>
                </c:pt>
                <c:pt idx="85" formatCode="0.00">
                  <c:v>33.410703061278255</c:v>
                </c:pt>
                <c:pt idx="86" formatCode="0.00">
                  <c:v>30.695139358793831</c:v>
                </c:pt>
                <c:pt idx="87" formatCode="0.00">
                  <c:v>30.480750037008892</c:v>
                </c:pt>
                <c:pt idx="88" formatCode="0.00">
                  <c:v>31.040547666753181</c:v>
                </c:pt>
                <c:pt idx="89" formatCode="0.00">
                  <c:v>34.056559211045958</c:v>
                </c:pt>
                <c:pt idx="90" formatCode="0.00">
                  <c:v>29.787120865576753</c:v>
                </c:pt>
                <c:pt idx="91" formatCode="0.00">
                  <c:v>25.678522819653821</c:v>
                </c:pt>
                <c:pt idx="92" formatCode="0.00">
                  <c:v>35.035118725983459</c:v>
                </c:pt>
                <c:pt idx="93" formatCode="0.00">
                  <c:v>31.346057863005822</c:v>
                </c:pt>
                <c:pt idx="94" formatCode="0.00">
                  <c:v>29.211172014908133</c:v>
                </c:pt>
                <c:pt idx="95" formatCode="0.00">
                  <c:v>32.738897276417084</c:v>
                </c:pt>
                <c:pt idx="96" formatCode="0.00">
                  <c:v>29.504172675809805</c:v>
                </c:pt>
                <c:pt idx="97" formatCode="0.00">
                  <c:v>35.681570191293794</c:v>
                </c:pt>
                <c:pt idx="98" formatCode="0.00">
                  <c:v>34.329769723471877</c:v>
                </c:pt>
                <c:pt idx="99" formatCode="0.00">
                  <c:v>32.276981686846391</c:v>
                </c:pt>
                <c:pt idx="100" formatCode="0.00">
                  <c:v>31.097884719243041</c:v>
                </c:pt>
                <c:pt idx="101" formatCode="0.00">
                  <c:v>32.74303609766033</c:v>
                </c:pt>
                <c:pt idx="102" formatCode="0.00">
                  <c:v>33.862421626218726</c:v>
                </c:pt>
                <c:pt idx="103" formatCode="0.00">
                  <c:v>31.888004150111477</c:v>
                </c:pt>
                <c:pt idx="104" formatCode="0.00">
                  <c:v>33.048637810188005</c:v>
                </c:pt>
                <c:pt idx="105" formatCode="0.00">
                  <c:v>32.194051635392704</c:v>
                </c:pt>
                <c:pt idx="106" formatCode="0.00">
                  <c:v>33.607341194757502</c:v>
                </c:pt>
                <c:pt idx="107" formatCode="0.00">
                  <c:v>32.760543508289871</c:v>
                </c:pt>
                <c:pt idx="108" formatCode="0.00">
                  <c:v>30.042749679922142</c:v>
                </c:pt>
                <c:pt idx="109" formatCode="0.00">
                  <c:v>33.545524355278204</c:v>
                </c:pt>
                <c:pt idx="110" formatCode="0.00">
                  <c:v>30.674872470553225</c:v>
                </c:pt>
                <c:pt idx="111" formatCode="0.00">
                  <c:v>32.685928725185029</c:v>
                </c:pt>
                <c:pt idx="112" formatCode="0.00">
                  <c:v>34.366693874671469</c:v>
                </c:pt>
                <c:pt idx="113" formatCode="0.00">
                  <c:v>33.461706403463594</c:v>
                </c:pt>
                <c:pt idx="114" formatCode="0.00">
                  <c:v>32.7628833664985</c:v>
                </c:pt>
                <c:pt idx="115" formatCode="0.00">
                  <c:v>30.253908856568419</c:v>
                </c:pt>
                <c:pt idx="116" formatCode="0.00">
                  <c:v>33.644532735235586</c:v>
                </c:pt>
                <c:pt idx="117" formatCode="0.00">
                  <c:v>31.306247340695325</c:v>
                </c:pt>
                <c:pt idx="118" formatCode="0.00">
                  <c:v>30.566519316391027</c:v>
                </c:pt>
                <c:pt idx="119" formatCode="0.00">
                  <c:v>32.319924595495742</c:v>
                </c:pt>
                <c:pt idx="120" formatCode="0.00">
                  <c:v>34.343006162208653</c:v>
                </c:pt>
                <c:pt idx="121" formatCode="0.00">
                  <c:v>27.335840911241831</c:v>
                </c:pt>
                <c:pt idx="122" formatCode="0.00">
                  <c:v>35.646385907788591</c:v>
                </c:pt>
                <c:pt idx="123" formatCode="0.00">
                  <c:v>33.045461988793292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65-4FD9-89A7-FC7CE846EE6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'pyx point'!$T$132:$T$227</c:f>
              <c:numCache>
                <c:formatCode>0.00</c:formatCode>
                <c:ptCount val="96"/>
                <c:pt idx="0">
                  <c:v>38.391400600951357</c:v>
                </c:pt>
                <c:pt idx="1">
                  <c:v>47.549874901521392</c:v>
                </c:pt>
                <c:pt idx="2">
                  <c:v>54.640786547600086</c:v>
                </c:pt>
                <c:pt idx="3">
                  <c:v>54.584410135893215</c:v>
                </c:pt>
                <c:pt idx="4">
                  <c:v>51.359608632031915</c:v>
                </c:pt>
                <c:pt idx="5">
                  <c:v>50.703682841227881</c:v>
                </c:pt>
                <c:pt idx="6">
                  <c:v>42.425492856720631</c:v>
                </c:pt>
                <c:pt idx="7">
                  <c:v>52.94837443733352</c:v>
                </c:pt>
                <c:pt idx="8">
                  <c:v>40.166733260971696</c:v>
                </c:pt>
                <c:pt idx="9">
                  <c:v>48.857563953743366</c:v>
                </c:pt>
                <c:pt idx="10">
                  <c:v>53.041853883918186</c:v>
                </c:pt>
                <c:pt idx="11">
                  <c:v>40.721574149095389</c:v>
                </c:pt>
                <c:pt idx="12">
                  <c:v>38.608174857508956</c:v>
                </c:pt>
                <c:pt idx="13">
                  <c:v>44.55884089650538</c:v>
                </c:pt>
                <c:pt idx="14">
                  <c:v>39.579171731258356</c:v>
                </c:pt>
                <c:pt idx="15">
                  <c:v>35.991225454256217</c:v>
                </c:pt>
                <c:pt idx="16">
                  <c:v>47.008554009044914</c:v>
                </c:pt>
                <c:pt idx="17">
                  <c:v>44.573236085394605</c:v>
                </c:pt>
                <c:pt idx="18">
                  <c:v>39.44392476493541</c:v>
                </c:pt>
                <c:pt idx="19">
                  <c:v>44.936497267304041</c:v>
                </c:pt>
                <c:pt idx="20">
                  <c:v>44.354617111596859</c:v>
                </c:pt>
                <c:pt idx="21">
                  <c:v>44.556774513327618</c:v>
                </c:pt>
                <c:pt idx="22">
                  <c:v>44.989622394485473</c:v>
                </c:pt>
                <c:pt idx="23">
                  <c:v>43.38258852736594</c:v>
                </c:pt>
                <c:pt idx="24">
                  <c:v>33.279088981116438</c:v>
                </c:pt>
                <c:pt idx="25">
                  <c:v>29.765640486256515</c:v>
                </c:pt>
                <c:pt idx="26">
                  <c:v>18.924912332290063</c:v>
                </c:pt>
                <c:pt idx="27">
                  <c:v>32.706790157742219</c:v>
                </c:pt>
                <c:pt idx="28">
                  <c:v>22.193263462873507</c:v>
                </c:pt>
                <c:pt idx="29">
                  <c:v>32.26279420836191</c:v>
                </c:pt>
                <c:pt idx="30">
                  <c:v>36.53406654517449</c:v>
                </c:pt>
                <c:pt idx="31">
                  <c:v>33.490301028952018</c:v>
                </c:pt>
                <c:pt idx="32">
                  <c:v>26.450399181677881</c:v>
                </c:pt>
                <c:pt idx="33">
                  <c:v>32.187370048812895</c:v>
                </c:pt>
                <c:pt idx="34">
                  <c:v>32.037887748203801</c:v>
                </c:pt>
                <c:pt idx="35">
                  <c:v>31.610168132366617</c:v>
                </c:pt>
                <c:pt idx="36">
                  <c:v>25.790383077592942</c:v>
                </c:pt>
                <c:pt idx="37">
                  <c:v>29.364597494310267</c:v>
                </c:pt>
                <c:pt idx="38">
                  <c:v>34.115766356511401</c:v>
                </c:pt>
                <c:pt idx="39">
                  <c:v>41.921562609422409</c:v>
                </c:pt>
                <c:pt idx="40">
                  <c:v>34.53180152140046</c:v>
                </c:pt>
                <c:pt idx="41">
                  <c:v>34.665553370159152</c:v>
                </c:pt>
                <c:pt idx="42">
                  <c:v>44.939385620463987</c:v>
                </c:pt>
                <c:pt idx="43">
                  <c:v>42.019367655705928</c:v>
                </c:pt>
                <c:pt idx="44">
                  <c:v>48.844705972079808</c:v>
                </c:pt>
                <c:pt idx="45">
                  <c:v>42.71943163181858</c:v>
                </c:pt>
                <c:pt idx="46">
                  <c:v>43.271192139375472</c:v>
                </c:pt>
                <c:pt idx="47">
                  <c:v>43.161429738052711</c:v>
                </c:pt>
                <c:pt idx="48">
                  <c:v>46.926051089852535</c:v>
                </c:pt>
                <c:pt idx="49">
                  <c:v>42.831701844389158</c:v>
                </c:pt>
                <c:pt idx="50">
                  <c:v>48.659280042651275</c:v>
                </c:pt>
                <c:pt idx="51">
                  <c:v>41.653257160349987</c:v>
                </c:pt>
                <c:pt idx="52">
                  <c:v>42.441536446751165</c:v>
                </c:pt>
                <c:pt idx="53">
                  <c:v>45.083612912243552</c:v>
                </c:pt>
                <c:pt idx="54">
                  <c:v>40.976215080810888</c:v>
                </c:pt>
                <c:pt idx="55">
                  <c:v>51.763898440037451</c:v>
                </c:pt>
                <c:pt idx="56">
                  <c:v>46.430817314030975</c:v>
                </c:pt>
                <c:pt idx="57">
                  <c:v>57.997837318564329</c:v>
                </c:pt>
                <c:pt idx="58">
                  <c:v>57.397541775443642</c:v>
                </c:pt>
                <c:pt idx="59">
                  <c:v>56.496478968110672</c:v>
                </c:pt>
                <c:pt idx="60">
                  <c:v>55.817791108885181</c:v>
                </c:pt>
                <c:pt idx="61">
                  <c:v>55.672293401828121</c:v>
                </c:pt>
                <c:pt idx="62">
                  <c:v>55.250081231302929</c:v>
                </c:pt>
                <c:pt idx="63">
                  <c:v>55.243466402217557</c:v>
                </c:pt>
                <c:pt idx="64">
                  <c:v>55.221399595506071</c:v>
                </c:pt>
                <c:pt idx="65">
                  <c:v>55.119172171769826</c:v>
                </c:pt>
                <c:pt idx="66">
                  <c:v>55.104246630335453</c:v>
                </c:pt>
                <c:pt idx="67">
                  <c:v>55.060719904748069</c:v>
                </c:pt>
                <c:pt idx="68">
                  <c:v>54.429469177916403</c:v>
                </c:pt>
                <c:pt idx="69">
                  <c:v>54.425207869544202</c:v>
                </c:pt>
                <c:pt idx="70">
                  <c:v>53.494631426470917</c:v>
                </c:pt>
                <c:pt idx="71">
                  <c:v>53.481284194498436</c:v>
                </c:pt>
                <c:pt idx="72">
                  <c:v>53.273122798686792</c:v>
                </c:pt>
                <c:pt idx="73">
                  <c:v>52.822945191248984</c:v>
                </c:pt>
                <c:pt idx="74">
                  <c:v>52.498304550185495</c:v>
                </c:pt>
                <c:pt idx="75">
                  <c:v>51.504814304283862</c:v>
                </c:pt>
                <c:pt idx="76">
                  <c:v>51.403655242282461</c:v>
                </c:pt>
                <c:pt idx="77">
                  <c:v>51.326012239864426</c:v>
                </c:pt>
                <c:pt idx="78">
                  <c:v>51.140602772065058</c:v>
                </c:pt>
                <c:pt idx="79">
                  <c:v>50.978247388055742</c:v>
                </c:pt>
                <c:pt idx="80">
                  <c:v>50.930292405317623</c:v>
                </c:pt>
                <c:pt idx="81">
                  <c:v>50.733208625105974</c:v>
                </c:pt>
                <c:pt idx="82">
                  <c:v>50.681042271895485</c:v>
                </c:pt>
                <c:pt idx="83">
                  <c:v>50.436373748171917</c:v>
                </c:pt>
                <c:pt idx="84">
                  <c:v>50.286921689806377</c:v>
                </c:pt>
                <c:pt idx="85">
                  <c:v>48.309308065965197</c:v>
                </c:pt>
                <c:pt idx="86">
                  <c:v>47.390610111216169</c:v>
                </c:pt>
                <c:pt idx="87">
                  <c:v>47.390382738469505</c:v>
                </c:pt>
                <c:pt idx="88">
                  <c:v>47.295112779715268</c:v>
                </c:pt>
                <c:pt idx="89">
                  <c:v>46.908413187571099</c:v>
                </c:pt>
                <c:pt idx="90">
                  <c:v>46.405255654167355</c:v>
                </c:pt>
                <c:pt idx="91">
                  <c:v>46.222390332809624</c:v>
                </c:pt>
                <c:pt idx="92">
                  <c:v>45.430066164401808</c:v>
                </c:pt>
                <c:pt idx="93">
                  <c:v>44.049527158325056</c:v>
                </c:pt>
                <c:pt idx="94">
                  <c:v>42.581220581355204</c:v>
                </c:pt>
                <c:pt idx="95">
                  <c:v>42.28431498700062</c:v>
                </c:pt>
              </c:numCache>
            </c:numRef>
          </c:xVal>
          <c:yVal>
            <c:numRef>
              <c:f>'pyx point'!$V$132:$V$227</c:f>
              <c:numCache>
                <c:formatCode>0.00</c:formatCode>
                <c:ptCount val="96"/>
                <c:pt idx="0">
                  <c:v>29.441649474539155</c:v>
                </c:pt>
                <c:pt idx="1">
                  <c:v>32.013480035109914</c:v>
                </c:pt>
                <c:pt idx="2">
                  <c:v>28.7092229246791</c:v>
                </c:pt>
                <c:pt idx="3">
                  <c:v>30.308753683478606</c:v>
                </c:pt>
                <c:pt idx="4">
                  <c:v>31.188372042298816</c:v>
                </c:pt>
                <c:pt idx="5">
                  <c:v>32.488219247257618</c:v>
                </c:pt>
                <c:pt idx="6">
                  <c:v>29.478474451567362</c:v>
                </c:pt>
                <c:pt idx="7">
                  <c:v>33.420056254707163</c:v>
                </c:pt>
                <c:pt idx="8">
                  <c:v>28.24667517800976</c:v>
                </c:pt>
                <c:pt idx="9">
                  <c:v>33.047233068278842</c:v>
                </c:pt>
                <c:pt idx="10">
                  <c:v>31.714060846541521</c:v>
                </c:pt>
                <c:pt idx="11">
                  <c:v>29.498902580449656</c:v>
                </c:pt>
                <c:pt idx="12">
                  <c:v>31.271412820829887</c:v>
                </c:pt>
                <c:pt idx="13">
                  <c:v>32.639163222381036</c:v>
                </c:pt>
                <c:pt idx="14">
                  <c:v>31.510149651888831</c:v>
                </c:pt>
                <c:pt idx="15">
                  <c:v>34.294341334634623</c:v>
                </c:pt>
                <c:pt idx="16">
                  <c:v>32.894370312120031</c:v>
                </c:pt>
                <c:pt idx="17">
                  <c:v>32.118093197139316</c:v>
                </c:pt>
                <c:pt idx="18">
                  <c:v>32.082452822800036</c:v>
                </c:pt>
                <c:pt idx="19">
                  <c:v>31.578362652481079</c:v>
                </c:pt>
                <c:pt idx="20">
                  <c:v>30.855981744225229</c:v>
                </c:pt>
                <c:pt idx="21">
                  <c:v>30.021652444776333</c:v>
                </c:pt>
                <c:pt idx="22">
                  <c:v>29.721002208613157</c:v>
                </c:pt>
                <c:pt idx="23">
                  <c:v>28.994304626396534</c:v>
                </c:pt>
                <c:pt idx="24">
                  <c:v>26.746082809830263</c:v>
                </c:pt>
                <c:pt idx="25">
                  <c:v>26.07543033936216</c:v>
                </c:pt>
                <c:pt idx="26">
                  <c:v>26.02670463717266</c:v>
                </c:pt>
                <c:pt idx="27">
                  <c:v>25.502650639165601</c:v>
                </c:pt>
                <c:pt idx="28">
                  <c:v>25.322292879837416</c:v>
                </c:pt>
                <c:pt idx="29">
                  <c:v>25.170063307066087</c:v>
                </c:pt>
                <c:pt idx="30">
                  <c:v>24.94001134314875</c:v>
                </c:pt>
                <c:pt idx="31">
                  <c:v>23.178620440601012</c:v>
                </c:pt>
                <c:pt idx="32">
                  <c:v>22.96575798065485</c:v>
                </c:pt>
                <c:pt idx="33">
                  <c:v>22.244186289324869</c:v>
                </c:pt>
                <c:pt idx="34">
                  <c:v>21.146164015396579</c:v>
                </c:pt>
                <c:pt idx="35">
                  <c:v>20.886031091922298</c:v>
                </c:pt>
                <c:pt idx="36">
                  <c:v>20.136415025916722</c:v>
                </c:pt>
                <c:pt idx="37">
                  <c:v>20.090650119917377</c:v>
                </c:pt>
                <c:pt idx="38">
                  <c:v>31.666789331807799</c:v>
                </c:pt>
                <c:pt idx="39">
                  <c:v>30.89058303426178</c:v>
                </c:pt>
                <c:pt idx="40">
                  <c:v>27.910226969912088</c:v>
                </c:pt>
                <c:pt idx="41">
                  <c:v>25.980568505464184</c:v>
                </c:pt>
                <c:pt idx="42">
                  <c:v>31.725225306209044</c:v>
                </c:pt>
                <c:pt idx="43">
                  <c:v>27.941237242133127</c:v>
                </c:pt>
                <c:pt idx="44">
                  <c:v>26.368337208414239</c:v>
                </c:pt>
                <c:pt idx="45">
                  <c:v>29.656611811009565</c:v>
                </c:pt>
                <c:pt idx="46">
                  <c:v>33.185088892947746</c:v>
                </c:pt>
                <c:pt idx="47">
                  <c:v>29.990104146782187</c:v>
                </c:pt>
                <c:pt idx="48">
                  <c:v>31.584539574312721</c:v>
                </c:pt>
                <c:pt idx="49">
                  <c:v>30.641204249236598</c:v>
                </c:pt>
                <c:pt idx="50">
                  <c:v>31.893776141837769</c:v>
                </c:pt>
                <c:pt idx="51">
                  <c:v>29.306482945997786</c:v>
                </c:pt>
                <c:pt idx="52">
                  <c:v>30.613959098952421</c:v>
                </c:pt>
                <c:pt idx="53">
                  <c:v>30.695774281343922</c:v>
                </c:pt>
                <c:pt idx="54">
                  <c:v>28.37322575314521</c:v>
                </c:pt>
                <c:pt idx="55">
                  <c:v>30.613850468584314</c:v>
                </c:pt>
                <c:pt idx="56">
                  <c:v>33.680818091717178</c:v>
                </c:pt>
                <c:pt idx="57">
                  <c:v>33.301449345379758</c:v>
                </c:pt>
                <c:pt idx="58">
                  <c:v>32.448616868237636</c:v>
                </c:pt>
                <c:pt idx="59">
                  <c:v>29.861668260207875</c:v>
                </c:pt>
                <c:pt idx="60">
                  <c:v>33.019839158110322</c:v>
                </c:pt>
                <c:pt idx="61">
                  <c:v>21.673702946028161</c:v>
                </c:pt>
                <c:pt idx="62">
                  <c:v>30.856952479578908</c:v>
                </c:pt>
                <c:pt idx="63">
                  <c:v>24.362504792024637</c:v>
                </c:pt>
                <c:pt idx="64">
                  <c:v>30.794056825765065</c:v>
                </c:pt>
                <c:pt idx="65">
                  <c:v>30.364005769620601</c:v>
                </c:pt>
                <c:pt idx="66">
                  <c:v>29.626170401217379</c:v>
                </c:pt>
                <c:pt idx="67">
                  <c:v>30.840841678752533</c:v>
                </c:pt>
                <c:pt idx="68">
                  <c:v>32.19801629221439</c:v>
                </c:pt>
                <c:pt idx="69">
                  <c:v>30.395600389326749</c:v>
                </c:pt>
                <c:pt idx="70">
                  <c:v>31.354777071308153</c:v>
                </c:pt>
                <c:pt idx="71">
                  <c:v>32.162304987387778</c:v>
                </c:pt>
                <c:pt idx="72">
                  <c:v>32.973003786861192</c:v>
                </c:pt>
                <c:pt idx="73">
                  <c:v>29.69984644914004</c:v>
                </c:pt>
                <c:pt idx="74">
                  <c:v>30.011211855767339</c:v>
                </c:pt>
                <c:pt idx="75">
                  <c:v>32.164363676503292</c:v>
                </c:pt>
                <c:pt idx="76">
                  <c:v>33.360953159941801</c:v>
                </c:pt>
                <c:pt idx="77">
                  <c:v>30.649745352691198</c:v>
                </c:pt>
                <c:pt idx="78">
                  <c:v>28.908798681663168</c:v>
                </c:pt>
                <c:pt idx="79">
                  <c:v>30.992903799916487</c:v>
                </c:pt>
                <c:pt idx="80">
                  <c:v>33.347881580509728</c:v>
                </c:pt>
                <c:pt idx="81">
                  <c:v>31.49692233053316</c:v>
                </c:pt>
                <c:pt idx="82">
                  <c:v>29.411780344729888</c:v>
                </c:pt>
                <c:pt idx="83">
                  <c:v>30.16928740754209</c:v>
                </c:pt>
                <c:pt idx="84">
                  <c:v>31.676367184564779</c:v>
                </c:pt>
                <c:pt idx="85">
                  <c:v>32.316698511756577</c:v>
                </c:pt>
                <c:pt idx="86">
                  <c:v>29.453468527476002</c:v>
                </c:pt>
                <c:pt idx="87">
                  <c:v>29.557060478055085</c:v>
                </c:pt>
                <c:pt idx="88">
                  <c:v>29.632949931494807</c:v>
                </c:pt>
                <c:pt idx="89">
                  <c:v>30.414996623012481</c:v>
                </c:pt>
                <c:pt idx="90">
                  <c:v>31.683132538851623</c:v>
                </c:pt>
                <c:pt idx="91">
                  <c:v>30.806317346050339</c:v>
                </c:pt>
                <c:pt idx="92">
                  <c:v>29.108711730445975</c:v>
                </c:pt>
                <c:pt idx="93">
                  <c:v>31.202455346225697</c:v>
                </c:pt>
                <c:pt idx="94">
                  <c:v>30.645031833174276</c:v>
                </c:pt>
                <c:pt idx="95">
                  <c:v>28.103963146777861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65-4FD9-89A7-FC7CE846E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595008"/>
        <c:axId val="1199607968"/>
      </c:scatterChart>
      <c:valAx>
        <c:axId val="1199595008"/>
        <c:scaling>
          <c:orientation val="minMax"/>
          <c:max val="7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607968"/>
        <c:crosses val="autoZero"/>
        <c:crossBetween val="midCat"/>
        <c:majorUnit val="10"/>
      </c:valAx>
      <c:valAx>
        <c:axId val="119960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9595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'pyx point'!#REF!</c:f>
            </c:numRef>
          </c:xVal>
          <c:yVal>
            <c:numRef>
              <c:f>'pyx point'!#REF!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E2-468E-9F4F-FCBB13D9470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'pyx point'!#REF!</c:f>
            </c:numRef>
          </c:xVal>
          <c:yVal>
            <c:numRef>
              <c:f>'pyx point'!#REF!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E2-468E-9F4F-FCBB13D9470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'pyx point'!#REF!</c:f>
            </c:numRef>
          </c:xVal>
          <c:yVal>
            <c:numRef>
              <c:f>'pyx point'!#REF!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DE2-468E-9F4F-FCBB13D947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609696"/>
        <c:axId val="387622656"/>
      </c:scatterChart>
      <c:valAx>
        <c:axId val="38760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7622656"/>
        <c:crosses val="autoZero"/>
        <c:crossBetween val="midCat"/>
      </c:valAx>
      <c:valAx>
        <c:axId val="38762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760969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'pyx point'!#REF!</c:f>
            </c:numRef>
          </c:xVal>
          <c:yVal>
            <c:numRef>
              <c:f>'pyx point'!#REF!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C1-40C7-A757-FC051640DDA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'pyx point'!#REF!</c:f>
            </c:numRef>
          </c:xVal>
          <c:yVal>
            <c:numRef>
              <c:f>'pyx point'!#REF!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C1-40C7-A757-FC051640DDA8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'pyx point'!#REF!</c:f>
            </c:numRef>
          </c:xVal>
          <c:yVal>
            <c:numRef>
              <c:f>'pyx point'!#REF!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C1-40C7-A757-FC051640D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98640"/>
        <c:axId val="161693360"/>
      </c:scatterChart>
      <c:valAx>
        <c:axId val="161698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93360"/>
        <c:crosses val="autoZero"/>
        <c:crossBetween val="midCat"/>
      </c:valAx>
      <c:valAx>
        <c:axId val="161693360"/>
        <c:scaling>
          <c:orientation val="minMax"/>
          <c:max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698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334610</xdr:colOff>
      <xdr:row>505</xdr:row>
      <xdr:rowOff>89647</xdr:rowOff>
    </xdr:from>
    <xdr:to>
      <xdr:col>21</xdr:col>
      <xdr:colOff>555364</xdr:colOff>
      <xdr:row>506</xdr:row>
      <xdr:rowOff>89646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111C6C5-25FD-45DA-BF30-21A324497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0</xdr:colOff>
      <xdr:row>110</xdr:row>
      <xdr:rowOff>22087</xdr:rowOff>
    </xdr:from>
    <xdr:to>
      <xdr:col>46</xdr:col>
      <xdr:colOff>154608</xdr:colOff>
      <xdr:row>121</xdr:row>
      <xdr:rowOff>164963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992B788-2106-4552-99F9-8803EBED7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154608</xdr:colOff>
      <xdr:row>108</xdr:row>
      <xdr:rowOff>88348</xdr:rowOff>
    </xdr:from>
    <xdr:to>
      <xdr:col>41</xdr:col>
      <xdr:colOff>0</xdr:colOff>
      <xdr:row>128</xdr:row>
      <xdr:rowOff>162339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65CB712A-8794-4F87-9B75-B83C21CF17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35A8-0103-4F31-9FE3-BF9A73D94B4D}">
  <dimension ref="A1:AY497"/>
  <sheetViews>
    <sheetView zoomScaleNormal="100" workbookViewId="0">
      <pane ySplit="1" topLeftCell="A449" activePane="bottomLeft" state="frozen"/>
      <selection pane="bottomLeft" activeCell="B391" sqref="B391"/>
    </sheetView>
  </sheetViews>
  <sheetFormatPr defaultColWidth="9" defaultRowHeight="15.75" x14ac:dyDescent="0.25"/>
  <cols>
    <col min="1" max="1" width="9" style="2"/>
    <col min="2" max="2" width="13" style="2" bestFit="1" customWidth="1"/>
    <col min="3" max="3" width="11.125" style="2" bestFit="1" customWidth="1"/>
    <col min="4" max="4" width="12.375" style="2" bestFit="1" customWidth="1"/>
    <col min="5" max="9" width="11.25" style="2" bestFit="1" customWidth="1"/>
    <col min="10" max="10" width="12.375" style="2" bestFit="1" customWidth="1"/>
    <col min="11" max="11" width="11.25" style="2" bestFit="1" customWidth="1"/>
    <col min="12" max="13" width="12.375" style="2" bestFit="1" customWidth="1"/>
    <col min="14" max="14" width="11.125" style="2" bestFit="1" customWidth="1"/>
    <col min="15" max="15" width="9.125" style="2" bestFit="1" customWidth="1"/>
    <col min="16" max="16" width="9.125" style="2" customWidth="1"/>
    <col min="17" max="23" width="9.125" style="2" bestFit="1" customWidth="1"/>
    <col min="24" max="24" width="9.125" style="2" customWidth="1"/>
    <col min="25" max="25" width="9.125" style="2" bestFit="1" customWidth="1"/>
    <col min="26" max="26" width="9" style="2"/>
    <col min="27" max="28" width="9.125" style="2" bestFit="1" customWidth="1"/>
    <col min="29" max="34" width="9.25" style="2" bestFit="1" customWidth="1"/>
    <col min="35" max="35" width="9.375" style="2" bestFit="1" customWidth="1"/>
    <col min="36" max="36" width="9.5" style="2" bestFit="1" customWidth="1"/>
    <col min="37" max="37" width="9.375" style="2" bestFit="1" customWidth="1"/>
    <col min="38" max="38" width="9.5" style="2" bestFit="1" customWidth="1"/>
    <col min="39" max="39" width="9.5" style="2" customWidth="1"/>
    <col min="40" max="40" width="9.375" style="2" bestFit="1" customWidth="1"/>
    <col min="41" max="16384" width="9" style="2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/>
      <c r="Y1" s="1" t="s">
        <v>1</v>
      </c>
      <c r="Z1" s="1" t="s">
        <v>2</v>
      </c>
      <c r="AA1" s="1" t="s">
        <v>3</v>
      </c>
      <c r="AB1" s="1" t="s">
        <v>4</v>
      </c>
      <c r="AC1" s="1" t="s">
        <v>5</v>
      </c>
      <c r="AD1" s="1" t="s">
        <v>6</v>
      </c>
      <c r="AE1" s="1" t="s">
        <v>7</v>
      </c>
      <c r="AF1" s="1" t="s">
        <v>8</v>
      </c>
      <c r="AG1" s="1" t="s">
        <v>9</v>
      </c>
      <c r="AH1" s="1" t="s">
        <v>10</v>
      </c>
      <c r="AI1" s="1" t="s">
        <v>11</v>
      </c>
      <c r="AJ1" s="1" t="s">
        <v>12</v>
      </c>
      <c r="AK1" s="1" t="s">
        <v>13</v>
      </c>
      <c r="AL1" s="1" t="s">
        <v>14</v>
      </c>
      <c r="AM1" s="1"/>
      <c r="AN1" s="1" t="s">
        <v>22</v>
      </c>
    </row>
    <row r="2" spans="1:51" s="5" customFormat="1" x14ac:dyDescent="0.25">
      <c r="A2" s="3" t="s">
        <v>23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</row>
    <row r="3" spans="1:51" x14ac:dyDescent="0.25">
      <c r="A3" s="6" t="s">
        <v>659</v>
      </c>
      <c r="B3" s="6">
        <v>0.23799999999999999</v>
      </c>
      <c r="C3" s="6">
        <v>1.0999999999999999E-2</v>
      </c>
      <c r="D3" s="6">
        <v>11.481999999999999</v>
      </c>
      <c r="E3" s="6">
        <v>0.57099999999999995</v>
      </c>
      <c r="F3" s="6">
        <v>0.218</v>
      </c>
      <c r="G3" s="6">
        <v>0.36799999999999999</v>
      </c>
      <c r="H3" s="6">
        <v>1.45</v>
      </c>
      <c r="I3" s="6">
        <v>3.0000000000000001E-3</v>
      </c>
      <c r="J3" s="6">
        <v>18.134</v>
      </c>
      <c r="K3" s="6">
        <v>0.38200000000000001</v>
      </c>
      <c r="L3" s="6">
        <v>51.567</v>
      </c>
      <c r="M3" s="6">
        <v>14.323</v>
      </c>
      <c r="N3" s="6">
        <v>0.35</v>
      </c>
      <c r="O3" s="6">
        <v>99.096999999999994</v>
      </c>
      <c r="P3" s="6"/>
      <c r="Q3" s="7">
        <v>0.15981627113925811</v>
      </c>
      <c r="R3" s="7">
        <v>0.35536533928792957</v>
      </c>
      <c r="S3" s="7">
        <v>0.32337101893790793</v>
      </c>
      <c r="T3" s="7">
        <v>68.978653759256119</v>
      </c>
      <c r="U3" s="7">
        <v>19.05858565612774</v>
      </c>
      <c r="V3" s="7">
        <v>38.562996240646946</v>
      </c>
      <c r="W3" s="7">
        <v>42.378418103225322</v>
      </c>
      <c r="X3" s="7"/>
      <c r="Y3" s="6">
        <v>2.7E-2</v>
      </c>
      <c r="Z3" s="6">
        <v>1.2999999999999999E-3</v>
      </c>
      <c r="AA3" s="6">
        <v>1.452</v>
      </c>
      <c r="AB3" s="6">
        <v>6.83E-2</v>
      </c>
      <c r="AC3" s="6">
        <v>6.4000000000000001E-2</v>
      </c>
      <c r="AD3" s="6">
        <v>4.7100000000000003E-2</v>
      </c>
      <c r="AE3" s="6">
        <v>0.25850000000000001</v>
      </c>
      <c r="AF3" s="6">
        <v>5.9999999999999995E-4</v>
      </c>
      <c r="AG3" s="6">
        <v>2.9380000000000002</v>
      </c>
      <c r="AH3" s="6">
        <v>4.9000000000000002E-2</v>
      </c>
      <c r="AI3" s="6">
        <v>7.7973999999999997</v>
      </c>
      <c r="AJ3" s="6">
        <v>3.2284000000000002</v>
      </c>
      <c r="AK3" s="6">
        <v>4.2500000000000003E-2</v>
      </c>
      <c r="AL3" s="6">
        <v>15.9741</v>
      </c>
      <c r="AM3" s="6"/>
      <c r="AN3" s="8">
        <v>9.5740740740740709</v>
      </c>
      <c r="AT3" s="9"/>
      <c r="AU3" s="9"/>
      <c r="AV3" s="9"/>
      <c r="AW3" s="9"/>
      <c r="AX3" s="10"/>
      <c r="AY3" s="10"/>
    </row>
    <row r="4" spans="1:51" x14ac:dyDescent="0.25">
      <c r="A4" s="6" t="s">
        <v>654</v>
      </c>
      <c r="B4" s="6">
        <v>0.29499999999999998</v>
      </c>
      <c r="C4" s="6">
        <v>2.4E-2</v>
      </c>
      <c r="D4" s="6">
        <v>11.930999999999999</v>
      </c>
      <c r="E4" s="6">
        <v>0.65</v>
      </c>
      <c r="F4" s="6">
        <v>0.20300000000000001</v>
      </c>
      <c r="G4" s="6">
        <v>0.36299999999999999</v>
      </c>
      <c r="H4" s="6">
        <v>1.429</v>
      </c>
      <c r="I4" s="6">
        <v>0</v>
      </c>
      <c r="J4" s="6">
        <v>18.044</v>
      </c>
      <c r="K4" s="6">
        <v>0.36299999999999999</v>
      </c>
      <c r="L4" s="6">
        <v>51.639000000000003</v>
      </c>
      <c r="M4" s="6">
        <v>14.577</v>
      </c>
      <c r="N4" s="6">
        <v>0.108</v>
      </c>
      <c r="O4" s="6">
        <v>99.626000000000005</v>
      </c>
      <c r="P4" s="6"/>
      <c r="Q4" s="7">
        <v>0.16606583617509915</v>
      </c>
      <c r="R4" s="7">
        <v>0.36166728693710459</v>
      </c>
      <c r="S4" s="7">
        <v>0.32176611148757089</v>
      </c>
      <c r="T4" s="7">
        <v>68.532231747031886</v>
      </c>
      <c r="U4" s="7">
        <v>19.548674020093486</v>
      </c>
      <c r="V4" s="7">
        <v>37.87715143017931</v>
      </c>
      <c r="W4" s="7">
        <v>42.574174549727203</v>
      </c>
      <c r="X4" s="7"/>
      <c r="Y4" s="6">
        <v>3.3399999999999999E-2</v>
      </c>
      <c r="Z4" s="6">
        <v>2.8999999999999998E-3</v>
      </c>
      <c r="AA4" s="6">
        <v>1.502</v>
      </c>
      <c r="AB4" s="6">
        <v>7.7399999999999997E-2</v>
      </c>
      <c r="AC4" s="6">
        <v>5.9400000000000001E-2</v>
      </c>
      <c r="AD4" s="6">
        <v>4.6199999999999998E-2</v>
      </c>
      <c r="AE4" s="6">
        <v>0.25359999999999999</v>
      </c>
      <c r="AF4" s="6">
        <v>0</v>
      </c>
      <c r="AG4" s="6">
        <v>2.9102999999999999</v>
      </c>
      <c r="AH4" s="6">
        <v>4.6300000000000001E-2</v>
      </c>
      <c r="AI4" s="6">
        <v>7.7729999999999997</v>
      </c>
      <c r="AJ4" s="6">
        <v>3.2709000000000001</v>
      </c>
      <c r="AK4" s="6">
        <v>1.3100000000000001E-2</v>
      </c>
      <c r="AL4" s="6">
        <v>15.9885</v>
      </c>
      <c r="AM4" s="6"/>
      <c r="AN4" s="8">
        <v>7.5928143712574849</v>
      </c>
      <c r="AT4" s="9"/>
      <c r="AU4" s="9"/>
      <c r="AV4" s="9"/>
      <c r="AW4" s="9"/>
      <c r="AX4" s="10"/>
      <c r="AY4" s="10"/>
    </row>
    <row r="5" spans="1:51" x14ac:dyDescent="0.25">
      <c r="A5" s="6" t="s">
        <v>580</v>
      </c>
      <c r="B5" s="6">
        <v>0.32</v>
      </c>
      <c r="C5" s="6">
        <v>0</v>
      </c>
      <c r="D5" s="6">
        <v>12.161</v>
      </c>
      <c r="E5" s="6">
        <v>0.62</v>
      </c>
      <c r="F5" s="6">
        <v>0.20499999999999999</v>
      </c>
      <c r="G5" s="6">
        <v>0.36899999999999999</v>
      </c>
      <c r="H5" s="6">
        <v>1.6040000000000001</v>
      </c>
      <c r="I5" s="6">
        <v>0</v>
      </c>
      <c r="J5" s="6">
        <v>17.861000000000001</v>
      </c>
      <c r="K5" s="6">
        <v>0.41</v>
      </c>
      <c r="L5" s="6">
        <v>51.432000000000002</v>
      </c>
      <c r="M5" s="6">
        <v>14.298999999999999</v>
      </c>
      <c r="N5" s="6">
        <v>0</v>
      </c>
      <c r="O5" s="6">
        <v>99.281000000000006</v>
      </c>
      <c r="P5" s="6"/>
      <c r="Q5" s="9">
        <f t="shared" ref="Q5:Q36" si="0">D5/(55.845+16)</f>
        <v>0.16926717238499547</v>
      </c>
      <c r="R5" s="9">
        <f t="shared" ref="R5:R36" si="1">M5/(24.305+16)</f>
        <v>0.35476987966753504</v>
      </c>
      <c r="S5" s="9">
        <f t="shared" ref="S5:S36" si="2">J5/(40.078+16)</f>
        <v>0.31850279967188561</v>
      </c>
      <c r="T5" s="9">
        <f t="shared" ref="T5:T58" si="3">R5/(Q5+R5)*100</f>
        <v>67.699388483692985</v>
      </c>
      <c r="U5" s="9">
        <f t="shared" ref="U5:U58" si="4">Q5/(Q5+S5+R5)*100</f>
        <v>20.090108739492667</v>
      </c>
      <c r="V5" s="9">
        <f t="shared" ref="V5:V58" si="5">S5/(Q5+S5+R5)*100</f>
        <v>37.802698474144549</v>
      </c>
      <c r="W5" s="9">
        <f t="shared" ref="W5:W58" si="6">R5/(Q5+S5+R5)*100</f>
        <v>42.107192786362788</v>
      </c>
      <c r="X5" s="9"/>
      <c r="Y5" s="6">
        <v>3.6400000000000002E-2</v>
      </c>
      <c r="Z5" s="6">
        <v>0</v>
      </c>
      <c r="AA5" s="6">
        <v>1.5365</v>
      </c>
      <c r="AB5" s="6">
        <v>7.3999999999999996E-2</v>
      </c>
      <c r="AC5" s="6">
        <v>6.0199999999999997E-2</v>
      </c>
      <c r="AD5" s="6">
        <v>4.7199999999999999E-2</v>
      </c>
      <c r="AE5" s="6">
        <v>0.28560000000000002</v>
      </c>
      <c r="AF5" s="6">
        <v>0</v>
      </c>
      <c r="AG5" s="6">
        <v>2.8912</v>
      </c>
      <c r="AH5" s="6">
        <v>5.2499999999999998E-2</v>
      </c>
      <c r="AI5" s="6">
        <v>7.7697000000000003</v>
      </c>
      <c r="AJ5" s="6">
        <v>3.2202000000000002</v>
      </c>
      <c r="AK5" s="6">
        <v>0</v>
      </c>
      <c r="AL5" s="6">
        <v>15.9735</v>
      </c>
      <c r="AM5" s="6"/>
      <c r="AN5" s="8">
        <v>7.8461538461538467</v>
      </c>
    </row>
    <row r="6" spans="1:51" x14ac:dyDescent="0.25">
      <c r="A6" s="6" t="s">
        <v>655</v>
      </c>
      <c r="B6" s="6">
        <v>0.23599999999999999</v>
      </c>
      <c r="C6" s="6">
        <v>0</v>
      </c>
      <c r="D6" s="6">
        <v>12.388999999999999</v>
      </c>
      <c r="E6" s="6">
        <v>0.76200000000000001</v>
      </c>
      <c r="F6" s="6">
        <v>0.17799999999999999</v>
      </c>
      <c r="G6" s="6">
        <v>0.36299999999999999</v>
      </c>
      <c r="H6" s="6">
        <v>1.381</v>
      </c>
      <c r="I6" s="6">
        <v>0</v>
      </c>
      <c r="J6" s="6">
        <v>17.696999999999999</v>
      </c>
      <c r="K6" s="6">
        <v>0.34300000000000003</v>
      </c>
      <c r="L6" s="6">
        <v>51.289000000000001</v>
      </c>
      <c r="M6" s="6">
        <v>14.52</v>
      </c>
      <c r="N6" s="6">
        <v>0.16300000000000001</v>
      </c>
      <c r="O6" s="6">
        <v>99.320999999999998</v>
      </c>
      <c r="P6" s="6"/>
      <c r="Q6" s="9">
        <f t="shared" si="0"/>
        <v>0.17244067088871876</v>
      </c>
      <c r="R6" s="9">
        <f t="shared" si="1"/>
        <v>0.36025307033866766</v>
      </c>
      <c r="S6" s="9">
        <f t="shared" si="2"/>
        <v>0.31557830165127143</v>
      </c>
      <c r="T6" s="9">
        <f t="shared" si="3"/>
        <v>67.628553229967366</v>
      </c>
      <c r="U6" s="9">
        <f t="shared" si="4"/>
        <v>20.32846329622415</v>
      </c>
      <c r="V6" s="9">
        <f t="shared" si="5"/>
        <v>37.202487610028868</v>
      </c>
      <c r="W6" s="9">
        <f t="shared" si="6"/>
        <v>42.469049093746982</v>
      </c>
      <c r="X6" s="9"/>
      <c r="Y6" s="6">
        <v>2.6800000000000001E-2</v>
      </c>
      <c r="Z6" s="6">
        <v>0</v>
      </c>
      <c r="AA6" s="6">
        <v>1.5678000000000001</v>
      </c>
      <c r="AB6" s="6">
        <v>9.1200000000000003E-2</v>
      </c>
      <c r="AC6" s="6">
        <v>5.21E-2</v>
      </c>
      <c r="AD6" s="6">
        <v>4.65E-2</v>
      </c>
      <c r="AE6" s="6">
        <v>0.24629999999999999</v>
      </c>
      <c r="AF6" s="6">
        <v>0</v>
      </c>
      <c r="AG6" s="6">
        <v>2.8693</v>
      </c>
      <c r="AH6" s="6">
        <v>4.3999999999999997E-2</v>
      </c>
      <c r="AI6" s="6">
        <v>7.7607999999999997</v>
      </c>
      <c r="AJ6" s="6">
        <v>3.2753000000000001</v>
      </c>
      <c r="AK6" s="6">
        <v>1.9800000000000002E-2</v>
      </c>
      <c r="AL6" s="6">
        <v>15.9999</v>
      </c>
      <c r="AM6" s="6"/>
      <c r="AN6" s="8">
        <v>9.1902985074626855</v>
      </c>
    </row>
    <row r="7" spans="1:51" x14ac:dyDescent="0.25">
      <c r="A7" s="6" t="s">
        <v>581</v>
      </c>
      <c r="B7" s="6">
        <v>0.29099999999999998</v>
      </c>
      <c r="C7" s="6">
        <v>0</v>
      </c>
      <c r="D7" s="6">
        <v>12.445</v>
      </c>
      <c r="E7" s="6">
        <v>0.78600000000000003</v>
      </c>
      <c r="F7" s="6">
        <v>0.19400000000000001</v>
      </c>
      <c r="G7" s="6">
        <v>0.376</v>
      </c>
      <c r="H7" s="6">
        <v>1.593</v>
      </c>
      <c r="I7" s="6">
        <v>0.03</v>
      </c>
      <c r="J7" s="6">
        <v>17.169</v>
      </c>
      <c r="K7" s="6">
        <v>0.41399999999999998</v>
      </c>
      <c r="L7" s="6">
        <v>51.290999999999997</v>
      </c>
      <c r="M7" s="6">
        <v>14.192</v>
      </c>
      <c r="N7" s="6">
        <v>0</v>
      </c>
      <c r="O7" s="6">
        <v>98.781000000000006</v>
      </c>
      <c r="P7" s="6"/>
      <c r="Q7" s="9">
        <f t="shared" si="0"/>
        <v>0.17322012666156308</v>
      </c>
      <c r="R7" s="9">
        <f t="shared" si="1"/>
        <v>0.35211512219327629</v>
      </c>
      <c r="S7" s="9">
        <f t="shared" si="2"/>
        <v>0.30616284460929422</v>
      </c>
      <c r="T7" s="9">
        <f t="shared" si="3"/>
        <v>67.026745865776221</v>
      </c>
      <c r="U7" s="9">
        <f t="shared" si="4"/>
        <v>20.832293907001588</v>
      </c>
      <c r="V7" s="9">
        <f t="shared" si="5"/>
        <v>36.820630981098027</v>
      </c>
      <c r="W7" s="9">
        <f t="shared" si="6"/>
        <v>42.347075111900381</v>
      </c>
      <c r="X7" s="9"/>
      <c r="Y7" s="6">
        <v>3.32E-2</v>
      </c>
      <c r="Z7" s="6">
        <v>0</v>
      </c>
      <c r="AA7" s="6">
        <v>1.5801000000000001</v>
      </c>
      <c r="AB7" s="6">
        <v>9.4299999999999995E-2</v>
      </c>
      <c r="AC7" s="6">
        <v>5.7099999999999998E-2</v>
      </c>
      <c r="AD7" s="6">
        <v>4.8399999999999999E-2</v>
      </c>
      <c r="AE7" s="6">
        <v>0.28510000000000002</v>
      </c>
      <c r="AF7" s="6">
        <v>5.8999999999999999E-3</v>
      </c>
      <c r="AG7" s="6">
        <v>2.7930000000000001</v>
      </c>
      <c r="AH7" s="6">
        <v>5.3199999999999997E-2</v>
      </c>
      <c r="AI7" s="6">
        <v>7.7869999999999999</v>
      </c>
      <c r="AJ7" s="6">
        <v>3.2118000000000002</v>
      </c>
      <c r="AK7" s="6">
        <v>0</v>
      </c>
      <c r="AL7" s="6">
        <v>15.9491</v>
      </c>
      <c r="AM7" s="6"/>
      <c r="AN7" s="8">
        <v>8.5873493975903621</v>
      </c>
    </row>
    <row r="8" spans="1:51" x14ac:dyDescent="0.25">
      <c r="A8" s="6" t="s">
        <v>656</v>
      </c>
      <c r="B8" s="6">
        <v>0.22600000000000001</v>
      </c>
      <c r="C8" s="6">
        <v>0</v>
      </c>
      <c r="D8" s="6">
        <v>13.13</v>
      </c>
      <c r="E8" s="6">
        <v>0.44500000000000001</v>
      </c>
      <c r="F8" s="6">
        <v>0.14399999999999999</v>
      </c>
      <c r="G8" s="6">
        <v>0.32700000000000001</v>
      </c>
      <c r="H8" s="6">
        <v>1.323</v>
      </c>
      <c r="I8" s="6">
        <v>7.0000000000000001E-3</v>
      </c>
      <c r="J8" s="6">
        <v>17.481000000000002</v>
      </c>
      <c r="K8" s="6">
        <v>0.41599999999999998</v>
      </c>
      <c r="L8" s="6">
        <v>51.317</v>
      </c>
      <c r="M8" s="6">
        <v>14.3</v>
      </c>
      <c r="N8" s="6">
        <v>0</v>
      </c>
      <c r="O8" s="6">
        <v>99.116</v>
      </c>
      <c r="P8" s="6"/>
      <c r="Q8" s="9">
        <f t="shared" si="0"/>
        <v>0.18275454102581948</v>
      </c>
      <c r="R8" s="9">
        <f t="shared" si="1"/>
        <v>0.35479469048505152</v>
      </c>
      <c r="S8" s="9">
        <f t="shared" si="2"/>
        <v>0.31172652377046256</v>
      </c>
      <c r="T8" s="9">
        <f t="shared" si="3"/>
        <v>66.002269129441856</v>
      </c>
      <c r="U8" s="9">
        <f t="shared" si="4"/>
        <v>21.518869447212662</v>
      </c>
      <c r="V8" s="9">
        <f t="shared" si="5"/>
        <v>36.704983255668132</v>
      </c>
      <c r="W8" s="9">
        <f t="shared" si="6"/>
        <v>41.776147297119202</v>
      </c>
      <c r="X8" s="9"/>
      <c r="Y8" s="6">
        <v>2.58E-2</v>
      </c>
      <c r="Z8" s="6">
        <v>0</v>
      </c>
      <c r="AA8" s="6">
        <v>1.6674</v>
      </c>
      <c r="AB8" s="6">
        <v>5.3400000000000003E-2</v>
      </c>
      <c r="AC8" s="6">
        <v>4.24E-2</v>
      </c>
      <c r="AD8" s="6">
        <v>4.2099999999999999E-2</v>
      </c>
      <c r="AE8" s="6">
        <v>0.23680000000000001</v>
      </c>
      <c r="AF8" s="6">
        <v>1.2999999999999999E-3</v>
      </c>
      <c r="AG8" s="6">
        <v>2.8441000000000001</v>
      </c>
      <c r="AH8" s="6">
        <v>5.3499999999999999E-2</v>
      </c>
      <c r="AI8" s="6">
        <v>7.7919999999999998</v>
      </c>
      <c r="AJ8" s="6">
        <v>3.2368999999999999</v>
      </c>
      <c r="AK8" s="6">
        <v>0</v>
      </c>
      <c r="AL8" s="6">
        <v>15.995699999999999</v>
      </c>
      <c r="AM8" s="6"/>
      <c r="AN8" s="8">
        <v>9.1782945736434112</v>
      </c>
    </row>
    <row r="9" spans="1:51" x14ac:dyDescent="0.25">
      <c r="A9" s="6" t="s">
        <v>657</v>
      </c>
      <c r="B9" s="6">
        <v>0.27100000000000002</v>
      </c>
      <c r="C9" s="6">
        <v>0</v>
      </c>
      <c r="D9" s="6">
        <v>12.225</v>
      </c>
      <c r="E9" s="6">
        <v>0.64200000000000002</v>
      </c>
      <c r="F9" s="6">
        <v>0.192</v>
      </c>
      <c r="G9" s="6">
        <v>0.29799999999999999</v>
      </c>
      <c r="H9" s="6">
        <v>1.391</v>
      </c>
      <c r="I9" s="6">
        <v>0</v>
      </c>
      <c r="J9" s="6">
        <v>17.215</v>
      </c>
      <c r="K9" s="6">
        <v>0.42499999999999999</v>
      </c>
      <c r="L9" s="6">
        <v>51.715000000000003</v>
      </c>
      <c r="M9" s="6">
        <v>14.519</v>
      </c>
      <c r="N9" s="6">
        <v>2.7E-2</v>
      </c>
      <c r="O9" s="6">
        <v>98.92</v>
      </c>
      <c r="P9" s="6"/>
      <c r="Q9" s="9">
        <f t="shared" si="0"/>
        <v>0.17015797898253185</v>
      </c>
      <c r="R9" s="9">
        <f t="shared" si="1"/>
        <v>0.36022825952115123</v>
      </c>
      <c r="S9" s="9">
        <f t="shared" si="2"/>
        <v>0.30698313063946642</v>
      </c>
      <c r="T9" s="9">
        <f t="shared" si="3"/>
        <v>67.918100691567957</v>
      </c>
      <c r="U9" s="9">
        <f t="shared" si="4"/>
        <v>20.32054016456901</v>
      </c>
      <c r="V9" s="9">
        <f t="shared" si="5"/>
        <v>36.660420353516322</v>
      </c>
      <c r="W9" s="9">
        <f t="shared" si="6"/>
        <v>43.01903948191466</v>
      </c>
      <c r="X9" s="9"/>
      <c r="Y9" s="6">
        <v>3.0800000000000001E-2</v>
      </c>
      <c r="Z9" s="6">
        <v>0</v>
      </c>
      <c r="AA9" s="6">
        <v>1.5474000000000001</v>
      </c>
      <c r="AB9" s="6">
        <v>7.6799999999999993E-2</v>
      </c>
      <c r="AC9" s="6">
        <v>5.6300000000000003E-2</v>
      </c>
      <c r="AD9" s="6">
        <v>3.8199999999999998E-2</v>
      </c>
      <c r="AE9" s="6">
        <v>0.24809999999999999</v>
      </c>
      <c r="AF9" s="6">
        <v>0</v>
      </c>
      <c r="AG9" s="6">
        <v>2.7919</v>
      </c>
      <c r="AH9" s="6">
        <v>5.4399999999999997E-2</v>
      </c>
      <c r="AI9" s="6">
        <v>7.8273000000000001</v>
      </c>
      <c r="AJ9" s="6">
        <v>3.2757000000000001</v>
      </c>
      <c r="AK9" s="6">
        <v>3.3E-3</v>
      </c>
      <c r="AL9" s="6">
        <v>15.950200000000001</v>
      </c>
      <c r="AM9" s="6"/>
      <c r="AN9" s="8">
        <v>8.0551948051948052</v>
      </c>
    </row>
    <row r="10" spans="1:51" x14ac:dyDescent="0.25">
      <c r="A10" s="6" t="s">
        <v>658</v>
      </c>
      <c r="B10" s="6">
        <v>0.24199999999999999</v>
      </c>
      <c r="C10" s="6">
        <v>4.2000000000000003E-2</v>
      </c>
      <c r="D10" s="6">
        <v>12.768000000000001</v>
      </c>
      <c r="E10" s="6">
        <v>0.70299999999999996</v>
      </c>
      <c r="F10" s="6">
        <v>0.20100000000000001</v>
      </c>
      <c r="G10" s="6">
        <v>0.318</v>
      </c>
      <c r="H10" s="6">
        <v>1.4410000000000001</v>
      </c>
      <c r="I10" s="6">
        <v>5.0000000000000001E-3</v>
      </c>
      <c r="J10" s="6">
        <v>17.193999999999999</v>
      </c>
      <c r="K10" s="6">
        <v>0.39500000000000002</v>
      </c>
      <c r="L10" s="6">
        <v>51.826000000000001</v>
      </c>
      <c r="M10" s="6">
        <v>14.449</v>
      </c>
      <c r="N10" s="6">
        <v>0.246</v>
      </c>
      <c r="O10" s="6">
        <v>99.83</v>
      </c>
      <c r="P10" s="6"/>
      <c r="Q10" s="9">
        <f t="shared" si="0"/>
        <v>0.17771591620850444</v>
      </c>
      <c r="R10" s="9">
        <f t="shared" si="1"/>
        <v>0.3584915022950006</v>
      </c>
      <c r="S10" s="9">
        <f t="shared" si="2"/>
        <v>0.30660865223438777</v>
      </c>
      <c r="T10" s="9">
        <f t="shared" si="3"/>
        <v>66.856871039850645</v>
      </c>
      <c r="U10" s="9">
        <f t="shared" si="4"/>
        <v>21.085966722598513</v>
      </c>
      <c r="V10" s="9">
        <f t="shared" si="5"/>
        <v>36.379070461476751</v>
      </c>
      <c r="W10" s="9">
        <f t="shared" si="6"/>
        <v>42.534962815924729</v>
      </c>
      <c r="X10" s="9"/>
      <c r="Y10" s="6">
        <v>2.7300000000000001E-2</v>
      </c>
      <c r="Z10" s="6">
        <v>5.1000000000000004E-3</v>
      </c>
      <c r="AA10" s="6">
        <v>1.607</v>
      </c>
      <c r="AB10" s="6">
        <v>8.3599999999999994E-2</v>
      </c>
      <c r="AC10" s="6">
        <v>5.8799999999999998E-2</v>
      </c>
      <c r="AD10" s="6">
        <v>4.0599999999999997E-2</v>
      </c>
      <c r="AE10" s="6">
        <v>0.25559999999999999</v>
      </c>
      <c r="AF10" s="6">
        <v>1E-3</v>
      </c>
      <c r="AG10" s="6">
        <v>2.7725</v>
      </c>
      <c r="AH10" s="6">
        <v>5.0299999999999997E-2</v>
      </c>
      <c r="AI10" s="6">
        <v>7.7995000000000001</v>
      </c>
      <c r="AJ10" s="6">
        <v>3.2414999999999998</v>
      </c>
      <c r="AK10" s="6">
        <v>2.9700000000000001E-2</v>
      </c>
      <c r="AL10" s="6">
        <v>15.9725</v>
      </c>
      <c r="AM10" s="6"/>
      <c r="AN10" s="8">
        <v>9.3626373626373613</v>
      </c>
    </row>
    <row r="11" spans="1:51" x14ac:dyDescent="0.25">
      <c r="A11" s="6" t="s">
        <v>582</v>
      </c>
      <c r="B11" s="6">
        <v>0.317</v>
      </c>
      <c r="C11" s="6">
        <v>2.8000000000000001E-2</v>
      </c>
      <c r="D11" s="6">
        <v>13.464</v>
      </c>
      <c r="E11" s="6">
        <v>0.73799999999999999</v>
      </c>
      <c r="F11" s="6">
        <v>0.191</v>
      </c>
      <c r="G11" s="6">
        <v>0.30199999999999999</v>
      </c>
      <c r="H11" s="6">
        <v>2.052</v>
      </c>
      <c r="I11" s="6">
        <v>4.0000000000000001E-3</v>
      </c>
      <c r="J11" s="6">
        <v>16.440000000000001</v>
      </c>
      <c r="K11" s="6">
        <v>0.46300000000000002</v>
      </c>
      <c r="L11" s="6">
        <v>50.761000000000003</v>
      </c>
      <c r="M11" s="6">
        <v>14.083</v>
      </c>
      <c r="N11" s="6">
        <v>0.41</v>
      </c>
      <c r="O11" s="6">
        <v>99.253</v>
      </c>
      <c r="P11" s="6"/>
      <c r="Q11" s="9">
        <f t="shared" si="0"/>
        <v>0.18740343795671238</v>
      </c>
      <c r="R11" s="9">
        <f t="shared" si="1"/>
        <v>0.34941074308398462</v>
      </c>
      <c r="S11" s="9">
        <f t="shared" si="2"/>
        <v>0.29316309426156428</v>
      </c>
      <c r="T11" s="9">
        <f t="shared" si="3"/>
        <v>65.089700575085047</v>
      </c>
      <c r="U11" s="9">
        <f t="shared" si="4"/>
        <v>22.579345668044194</v>
      </c>
      <c r="V11" s="9">
        <f t="shared" si="5"/>
        <v>35.321821811904442</v>
      </c>
      <c r="W11" s="9">
        <f t="shared" si="6"/>
        <v>42.098832520051367</v>
      </c>
      <c r="X11" s="9"/>
      <c r="Y11" s="6">
        <v>3.6299999999999999E-2</v>
      </c>
      <c r="Z11" s="6">
        <v>3.3999999999999998E-3</v>
      </c>
      <c r="AA11" s="6">
        <v>1.7110000000000001</v>
      </c>
      <c r="AB11" s="6">
        <v>8.8700000000000001E-2</v>
      </c>
      <c r="AC11" s="6">
        <v>5.6300000000000003E-2</v>
      </c>
      <c r="AD11" s="6">
        <v>3.8800000000000001E-2</v>
      </c>
      <c r="AE11" s="6">
        <v>0.36759999999999998</v>
      </c>
      <c r="AF11" s="6">
        <v>8.9999999999999998E-4</v>
      </c>
      <c r="AG11" s="6">
        <v>2.6768000000000001</v>
      </c>
      <c r="AH11" s="6">
        <v>5.9499999999999997E-2</v>
      </c>
      <c r="AI11" s="6">
        <v>7.7134</v>
      </c>
      <c r="AJ11" s="6">
        <v>3.19</v>
      </c>
      <c r="AK11" s="6">
        <v>4.99E-2</v>
      </c>
      <c r="AL11" s="6">
        <v>15.992599999999999</v>
      </c>
      <c r="AM11" s="6"/>
      <c r="AN11" s="8">
        <v>10.126721763085399</v>
      </c>
    </row>
    <row r="12" spans="1:51" x14ac:dyDescent="0.25">
      <c r="A12" s="6" t="s">
        <v>213</v>
      </c>
      <c r="B12" s="6">
        <v>0.23599999999999999</v>
      </c>
      <c r="C12" s="6">
        <v>0</v>
      </c>
      <c r="D12" s="6">
        <v>13.534000000000001</v>
      </c>
      <c r="E12" s="6">
        <v>0.51900000000000002</v>
      </c>
      <c r="F12" s="6">
        <v>0.18</v>
      </c>
      <c r="G12" s="6">
        <v>0.38</v>
      </c>
      <c r="H12" s="6">
        <v>1.41</v>
      </c>
      <c r="I12" s="6">
        <v>1.0999999999999999E-2</v>
      </c>
      <c r="J12" s="6">
        <v>16.649000000000001</v>
      </c>
      <c r="K12" s="6">
        <v>0.432</v>
      </c>
      <c r="L12" s="6">
        <v>52.012999999999998</v>
      </c>
      <c r="M12" s="6">
        <v>14.881</v>
      </c>
      <c r="N12" s="6">
        <v>8.2000000000000003E-2</v>
      </c>
      <c r="O12" s="6">
        <v>100.327</v>
      </c>
      <c r="P12" s="6"/>
      <c r="Q12" s="9">
        <f t="shared" si="0"/>
        <v>0.18837775767276776</v>
      </c>
      <c r="R12" s="9">
        <f t="shared" si="1"/>
        <v>0.36920977546210149</v>
      </c>
      <c r="S12" s="9">
        <f t="shared" si="2"/>
        <v>0.29689004600734692</v>
      </c>
      <c r="T12" s="9">
        <f t="shared" si="3"/>
        <v>66.215572178655052</v>
      </c>
      <c r="U12" s="9">
        <f t="shared" si="4"/>
        <v>22.045956765989626</v>
      </c>
      <c r="V12" s="9">
        <f t="shared" si="5"/>
        <v>34.745211958093243</v>
      </c>
      <c r="W12" s="9">
        <f t="shared" si="6"/>
        <v>43.208831275917134</v>
      </c>
      <c r="X12" s="9"/>
      <c r="Y12" s="6">
        <v>2.6599999999999999E-2</v>
      </c>
      <c r="Z12" s="6">
        <v>0</v>
      </c>
      <c r="AA12" s="6">
        <v>1.6952</v>
      </c>
      <c r="AB12" s="6">
        <v>6.1400000000000003E-2</v>
      </c>
      <c r="AC12" s="6">
        <v>5.2299999999999999E-2</v>
      </c>
      <c r="AD12" s="6">
        <v>4.8099999999999997E-2</v>
      </c>
      <c r="AE12" s="6">
        <v>0.24890000000000001</v>
      </c>
      <c r="AF12" s="6">
        <v>2.2000000000000001E-3</v>
      </c>
      <c r="AG12" s="6">
        <v>2.6718000000000002</v>
      </c>
      <c r="AH12" s="6">
        <v>5.4800000000000001E-2</v>
      </c>
      <c r="AI12" s="6">
        <v>7.7899000000000003</v>
      </c>
      <c r="AJ12" s="6">
        <v>3.3222999999999998</v>
      </c>
      <c r="AK12" s="6">
        <v>9.9000000000000008E-3</v>
      </c>
      <c r="AL12" s="6">
        <v>15.9834</v>
      </c>
      <c r="AM12" s="6"/>
      <c r="AN12" s="8">
        <v>9.3571428571428577</v>
      </c>
    </row>
    <row r="13" spans="1:51" x14ac:dyDescent="0.25">
      <c r="A13" s="6" t="s">
        <v>467</v>
      </c>
      <c r="B13" s="6">
        <v>0.25700000000000001</v>
      </c>
      <c r="C13" s="6">
        <v>0</v>
      </c>
      <c r="D13" s="6">
        <v>13.247999999999999</v>
      </c>
      <c r="E13" s="6">
        <v>0.70399999999999996</v>
      </c>
      <c r="F13" s="6">
        <v>0.16700000000000001</v>
      </c>
      <c r="G13" s="6">
        <v>0.32900000000000001</v>
      </c>
      <c r="H13" s="6">
        <v>1.583</v>
      </c>
      <c r="I13" s="6">
        <v>3.6999999999999998E-2</v>
      </c>
      <c r="J13" s="6">
        <v>16.309999999999999</v>
      </c>
      <c r="K13" s="6">
        <v>0.45800000000000002</v>
      </c>
      <c r="L13" s="6">
        <v>51.381999999999998</v>
      </c>
      <c r="M13" s="6">
        <v>14.61</v>
      </c>
      <c r="N13" s="6">
        <v>0</v>
      </c>
      <c r="O13" s="6">
        <v>99.084999999999994</v>
      </c>
      <c r="P13" s="6"/>
      <c r="Q13" s="9">
        <f t="shared" si="0"/>
        <v>0.18439696569002714</v>
      </c>
      <c r="R13" s="9">
        <f t="shared" si="1"/>
        <v>0.36248604391514699</v>
      </c>
      <c r="S13" s="9">
        <f t="shared" si="2"/>
        <v>0.29084489461107738</v>
      </c>
      <c r="T13" s="9">
        <f t="shared" si="3"/>
        <v>66.282191537975592</v>
      </c>
      <c r="U13" s="9">
        <f t="shared" si="4"/>
        <v>22.01155825918708</v>
      </c>
      <c r="V13" s="9">
        <f t="shared" si="5"/>
        <v>34.718300912177625</v>
      </c>
      <c r="W13" s="9">
        <f t="shared" si="6"/>
        <v>43.270140828635292</v>
      </c>
      <c r="X13" s="9"/>
      <c r="Y13" s="6">
        <v>2.93E-2</v>
      </c>
      <c r="Z13" s="6">
        <v>0</v>
      </c>
      <c r="AA13" s="6">
        <v>1.6788000000000001</v>
      </c>
      <c r="AB13" s="6">
        <v>8.43E-2</v>
      </c>
      <c r="AC13" s="6">
        <v>4.9200000000000001E-2</v>
      </c>
      <c r="AD13" s="6">
        <v>4.2299999999999997E-2</v>
      </c>
      <c r="AE13" s="6">
        <v>0.28270000000000001</v>
      </c>
      <c r="AF13" s="6">
        <v>7.1000000000000004E-3</v>
      </c>
      <c r="AG13" s="6">
        <v>2.6482000000000001</v>
      </c>
      <c r="AH13" s="6">
        <v>5.8700000000000002E-2</v>
      </c>
      <c r="AI13" s="6">
        <v>7.7857000000000003</v>
      </c>
      <c r="AJ13" s="6">
        <v>3.3</v>
      </c>
      <c r="AK13" s="6">
        <v>0</v>
      </c>
      <c r="AL13" s="6">
        <v>15.9663</v>
      </c>
      <c r="AM13" s="6"/>
      <c r="AN13" s="8">
        <v>9.6484641638225259</v>
      </c>
    </row>
    <row r="14" spans="1:51" x14ac:dyDescent="0.25">
      <c r="A14" s="6" t="s">
        <v>482</v>
      </c>
      <c r="B14" s="6">
        <v>0.24399999999999999</v>
      </c>
      <c r="C14" s="6">
        <v>0</v>
      </c>
      <c r="D14" s="6">
        <v>12.708</v>
      </c>
      <c r="E14" s="6">
        <v>0.77300000000000002</v>
      </c>
      <c r="F14" s="6">
        <v>0.158</v>
      </c>
      <c r="G14" s="6">
        <v>0.35299999999999998</v>
      </c>
      <c r="H14" s="6">
        <v>1.417</v>
      </c>
      <c r="I14" s="6">
        <v>2E-3</v>
      </c>
      <c r="J14" s="6">
        <v>16.393999999999998</v>
      </c>
      <c r="K14" s="6">
        <v>0.44400000000000001</v>
      </c>
      <c r="L14" s="6">
        <v>51.828000000000003</v>
      </c>
      <c r="M14" s="6">
        <v>15.132999999999999</v>
      </c>
      <c r="N14" s="6">
        <v>0</v>
      </c>
      <c r="O14" s="6">
        <v>99.453999999999994</v>
      </c>
      <c r="P14" s="6"/>
      <c r="Q14" s="9">
        <f t="shared" si="0"/>
        <v>0.17688078502331409</v>
      </c>
      <c r="R14" s="9">
        <f t="shared" si="1"/>
        <v>0.37546210147624365</v>
      </c>
      <c r="S14" s="9">
        <f t="shared" si="2"/>
        <v>0.29234280823139197</v>
      </c>
      <c r="T14" s="9">
        <f t="shared" si="3"/>
        <v>67.976271742307347</v>
      </c>
      <c r="U14" s="9">
        <f t="shared" si="4"/>
        <v>20.940426258746378</v>
      </c>
      <c r="V14" s="9">
        <f t="shared" si="5"/>
        <v>34.609655408513731</v>
      </c>
      <c r="W14" s="9">
        <f t="shared" si="6"/>
        <v>44.449918332739877</v>
      </c>
      <c r="X14" s="9"/>
      <c r="Y14" s="6">
        <v>2.76E-2</v>
      </c>
      <c r="Z14" s="6">
        <v>0</v>
      </c>
      <c r="AA14" s="6">
        <v>1.5994999999999999</v>
      </c>
      <c r="AB14" s="6">
        <v>9.1999999999999998E-2</v>
      </c>
      <c r="AC14" s="6">
        <v>4.6199999999999998E-2</v>
      </c>
      <c r="AD14" s="6">
        <v>4.4900000000000002E-2</v>
      </c>
      <c r="AE14" s="6">
        <v>0.25140000000000001</v>
      </c>
      <c r="AF14" s="6">
        <v>2.9999999999999997E-4</v>
      </c>
      <c r="AG14" s="6">
        <v>2.6436000000000002</v>
      </c>
      <c r="AH14" s="6">
        <v>5.6599999999999998E-2</v>
      </c>
      <c r="AI14" s="6">
        <v>7.7998000000000003</v>
      </c>
      <c r="AJ14" s="6">
        <v>3.3948999999999998</v>
      </c>
      <c r="AK14" s="6">
        <v>0</v>
      </c>
      <c r="AL14" s="6">
        <v>15.956799999999999</v>
      </c>
      <c r="AM14" s="6"/>
      <c r="AN14" s="8">
        <v>9.108695652173914</v>
      </c>
    </row>
    <row r="15" spans="1:51" x14ac:dyDescent="0.25">
      <c r="A15" s="6" t="s">
        <v>190</v>
      </c>
      <c r="B15" s="6">
        <v>0.249</v>
      </c>
      <c r="C15" s="6">
        <v>4.0000000000000001E-3</v>
      </c>
      <c r="D15" s="6">
        <v>13.784000000000001</v>
      </c>
      <c r="E15" s="6">
        <v>0.49099999999999999</v>
      </c>
      <c r="F15" s="6">
        <v>0.193</v>
      </c>
      <c r="G15" s="6">
        <v>0.311</v>
      </c>
      <c r="H15" s="6">
        <v>1.2689999999999999</v>
      </c>
      <c r="I15" s="6">
        <v>1.2E-2</v>
      </c>
      <c r="J15" s="6">
        <v>16.411000000000001</v>
      </c>
      <c r="K15" s="6">
        <v>0.41899999999999998</v>
      </c>
      <c r="L15" s="6">
        <v>51.713999999999999</v>
      </c>
      <c r="M15" s="6">
        <v>14.595000000000001</v>
      </c>
      <c r="N15" s="6">
        <v>0.30099999999999999</v>
      </c>
      <c r="O15" s="6">
        <v>99.753</v>
      </c>
      <c r="P15" s="6"/>
      <c r="Q15" s="9">
        <f t="shared" si="0"/>
        <v>0.1918574709443942</v>
      </c>
      <c r="R15" s="9">
        <f t="shared" si="1"/>
        <v>0.36211388165240044</v>
      </c>
      <c r="S15" s="9">
        <f t="shared" si="2"/>
        <v>0.29264595741645566</v>
      </c>
      <c r="T15" s="9">
        <f t="shared" si="3"/>
        <v>65.366896673439228</v>
      </c>
      <c r="U15" s="9">
        <f t="shared" si="4"/>
        <v>22.661652280815218</v>
      </c>
      <c r="V15" s="9">
        <f t="shared" si="5"/>
        <v>34.566498222423007</v>
      </c>
      <c r="W15" s="9">
        <f t="shared" si="6"/>
        <v>42.771849496761767</v>
      </c>
      <c r="X15" s="9"/>
      <c r="Y15" s="6">
        <v>2.8299999999999999E-2</v>
      </c>
      <c r="Z15" s="6">
        <v>4.0000000000000002E-4</v>
      </c>
      <c r="AA15" s="6">
        <v>1.7405999999999999</v>
      </c>
      <c r="AB15" s="6">
        <v>5.8700000000000002E-2</v>
      </c>
      <c r="AC15" s="6">
        <v>5.6399999999999999E-2</v>
      </c>
      <c r="AD15" s="6">
        <v>3.9800000000000002E-2</v>
      </c>
      <c r="AE15" s="6">
        <v>0.22589999999999999</v>
      </c>
      <c r="AF15" s="6">
        <v>2.3999999999999998E-3</v>
      </c>
      <c r="AG15" s="6">
        <v>2.6549999999999998</v>
      </c>
      <c r="AH15" s="6">
        <v>5.3600000000000002E-2</v>
      </c>
      <c r="AI15" s="6">
        <v>7.8083</v>
      </c>
      <c r="AJ15" s="6">
        <v>3.2850999999999999</v>
      </c>
      <c r="AK15" s="6">
        <v>3.6400000000000002E-2</v>
      </c>
      <c r="AL15" s="6">
        <v>15.9909</v>
      </c>
      <c r="AM15" s="6"/>
      <c r="AN15" s="8">
        <v>7.9823321554770317</v>
      </c>
    </row>
    <row r="16" spans="1:51" x14ac:dyDescent="0.25">
      <c r="A16" s="6" t="s">
        <v>483</v>
      </c>
      <c r="B16" s="6">
        <v>0.21299999999999999</v>
      </c>
      <c r="C16" s="6">
        <v>4.2000000000000003E-2</v>
      </c>
      <c r="D16" s="6">
        <v>12.821999999999999</v>
      </c>
      <c r="E16" s="6">
        <v>0.57799999999999996</v>
      </c>
      <c r="F16" s="6">
        <v>0.222</v>
      </c>
      <c r="G16" s="6">
        <v>0.28999999999999998</v>
      </c>
      <c r="H16" s="6">
        <v>1.175</v>
      </c>
      <c r="I16" s="6">
        <v>0</v>
      </c>
      <c r="J16" s="6">
        <v>16.28</v>
      </c>
      <c r="K16" s="6">
        <v>0.44800000000000001</v>
      </c>
      <c r="L16" s="6">
        <v>51.92</v>
      </c>
      <c r="M16" s="6">
        <v>15.074</v>
      </c>
      <c r="N16" s="6">
        <v>0.16200000000000001</v>
      </c>
      <c r="O16" s="6">
        <v>99.225999999999999</v>
      </c>
      <c r="P16" s="6"/>
      <c r="Q16" s="9">
        <f t="shared" si="0"/>
        <v>0.17846753427517573</v>
      </c>
      <c r="R16" s="9">
        <f t="shared" si="1"/>
        <v>0.37399826324277385</v>
      </c>
      <c r="S16" s="9">
        <f t="shared" si="2"/>
        <v>0.29030992546096507</v>
      </c>
      <c r="T16" s="9">
        <f t="shared" si="3"/>
        <v>67.696184075652695</v>
      </c>
      <c r="U16" s="9">
        <f t="shared" si="4"/>
        <v>21.176159850019882</v>
      </c>
      <c r="V16" s="9">
        <f t="shared" si="5"/>
        <v>34.446878041861709</v>
      </c>
      <c r="W16" s="9">
        <f t="shared" si="6"/>
        <v>44.376962108118398</v>
      </c>
      <c r="X16" s="9"/>
      <c r="Y16" s="6">
        <v>2.4199999999999999E-2</v>
      </c>
      <c r="Z16" s="6">
        <v>5.1000000000000004E-3</v>
      </c>
      <c r="AA16" s="6">
        <v>1.6193</v>
      </c>
      <c r="AB16" s="6">
        <v>6.9000000000000006E-2</v>
      </c>
      <c r="AC16" s="6">
        <v>6.4899999999999999E-2</v>
      </c>
      <c r="AD16" s="6">
        <v>3.7100000000000001E-2</v>
      </c>
      <c r="AE16" s="6">
        <v>0.20910000000000001</v>
      </c>
      <c r="AF16" s="6">
        <v>0</v>
      </c>
      <c r="AG16" s="6">
        <v>2.6343000000000001</v>
      </c>
      <c r="AH16" s="6">
        <v>5.7299999999999997E-2</v>
      </c>
      <c r="AI16" s="6">
        <v>7.8403</v>
      </c>
      <c r="AJ16" s="6">
        <v>3.3932000000000002</v>
      </c>
      <c r="AK16" s="6">
        <v>1.9699999999999999E-2</v>
      </c>
      <c r="AL16" s="6">
        <v>15.9735</v>
      </c>
      <c r="AM16" s="6"/>
      <c r="AN16" s="8">
        <v>8.6404958677685961</v>
      </c>
    </row>
    <row r="17" spans="1:40" x14ac:dyDescent="0.25">
      <c r="A17" s="6" t="s">
        <v>232</v>
      </c>
      <c r="B17" s="6">
        <v>0.25600000000000001</v>
      </c>
      <c r="C17" s="6">
        <v>0.04</v>
      </c>
      <c r="D17" s="6">
        <v>13.228999999999999</v>
      </c>
      <c r="E17" s="6">
        <v>0.65</v>
      </c>
      <c r="F17" s="6">
        <v>0.20899999999999999</v>
      </c>
      <c r="G17" s="6">
        <v>0.32200000000000001</v>
      </c>
      <c r="H17" s="6">
        <v>1.3280000000000001</v>
      </c>
      <c r="I17" s="6">
        <v>3.0000000000000001E-3</v>
      </c>
      <c r="J17" s="6">
        <v>16.172000000000001</v>
      </c>
      <c r="K17" s="6">
        <v>0.433</v>
      </c>
      <c r="L17" s="6">
        <v>52.337000000000003</v>
      </c>
      <c r="M17" s="6">
        <v>14.981999999999999</v>
      </c>
      <c r="N17" s="6">
        <v>0.32700000000000001</v>
      </c>
      <c r="O17" s="6">
        <v>100.288</v>
      </c>
      <c r="P17" s="6"/>
      <c r="Q17" s="9">
        <f t="shared" si="0"/>
        <v>0.18413250748138352</v>
      </c>
      <c r="R17" s="9">
        <f t="shared" si="1"/>
        <v>0.3717156680312616</v>
      </c>
      <c r="S17" s="9">
        <f t="shared" si="2"/>
        <v>0.28838403652056066</v>
      </c>
      <c r="T17" s="9">
        <f t="shared" si="3"/>
        <v>66.873596857350009</v>
      </c>
      <c r="U17" s="9">
        <f t="shared" si="4"/>
        <v>21.810646982768898</v>
      </c>
      <c r="V17" s="9">
        <f t="shared" si="5"/>
        <v>34.159326357144238</v>
      </c>
      <c r="W17" s="9">
        <f t="shared" si="6"/>
        <v>44.030026660086868</v>
      </c>
      <c r="X17" s="9"/>
      <c r="Y17" s="6">
        <v>2.87E-2</v>
      </c>
      <c r="Z17" s="6">
        <v>4.7999999999999996E-3</v>
      </c>
      <c r="AA17" s="6">
        <v>1.6549</v>
      </c>
      <c r="AB17" s="6">
        <v>7.6899999999999996E-2</v>
      </c>
      <c r="AC17" s="6">
        <v>6.0600000000000001E-2</v>
      </c>
      <c r="AD17" s="6">
        <v>4.0800000000000003E-2</v>
      </c>
      <c r="AE17" s="6">
        <v>0.23419999999999999</v>
      </c>
      <c r="AF17" s="6">
        <v>5.9999999999999995E-4</v>
      </c>
      <c r="AG17" s="6">
        <v>2.5920000000000001</v>
      </c>
      <c r="AH17" s="6">
        <v>5.4800000000000001E-2</v>
      </c>
      <c r="AI17" s="6">
        <v>7.8285</v>
      </c>
      <c r="AJ17" s="6">
        <v>3.3405999999999998</v>
      </c>
      <c r="AK17" s="6">
        <v>3.9199999999999999E-2</v>
      </c>
      <c r="AL17" s="6">
        <v>15.9566</v>
      </c>
      <c r="AM17" s="6"/>
      <c r="AN17" s="8">
        <v>8.1602787456445984</v>
      </c>
    </row>
    <row r="18" spans="1:40" x14ac:dyDescent="0.25">
      <c r="A18" s="6" t="s">
        <v>26</v>
      </c>
      <c r="B18" s="6">
        <v>0.253</v>
      </c>
      <c r="C18" s="6">
        <v>4.7E-2</v>
      </c>
      <c r="D18" s="6">
        <v>14.227</v>
      </c>
      <c r="E18" s="6">
        <v>0.47899999999999998</v>
      </c>
      <c r="F18" s="6">
        <v>0.16400000000000001</v>
      </c>
      <c r="G18" s="6">
        <v>0.27100000000000002</v>
      </c>
      <c r="H18" s="6">
        <v>1.2789999999999999</v>
      </c>
      <c r="I18" s="6">
        <v>0</v>
      </c>
      <c r="J18" s="6">
        <v>16.033000000000001</v>
      </c>
      <c r="K18" s="6">
        <v>0.41599999999999998</v>
      </c>
      <c r="L18" s="6">
        <v>51.209000000000003</v>
      </c>
      <c r="M18" s="6">
        <v>14.26</v>
      </c>
      <c r="N18" s="6">
        <v>2.8000000000000001E-2</v>
      </c>
      <c r="O18" s="6">
        <v>98.665999999999997</v>
      </c>
      <c r="P18" s="6"/>
      <c r="Q18" s="9">
        <f t="shared" si="0"/>
        <v>0.19802352286171621</v>
      </c>
      <c r="R18" s="9">
        <f t="shared" si="1"/>
        <v>0.353802257784394</v>
      </c>
      <c r="S18" s="9">
        <f t="shared" si="2"/>
        <v>0.28590534612504015</v>
      </c>
      <c r="T18" s="9">
        <f t="shared" si="3"/>
        <v>64.114847510411963</v>
      </c>
      <c r="U18" s="9">
        <f t="shared" si="4"/>
        <v>23.63807629125041</v>
      </c>
      <c r="V18" s="9">
        <f t="shared" si="5"/>
        <v>34.128533247534826</v>
      </c>
      <c r="W18" s="9">
        <f t="shared" si="6"/>
        <v>42.233390461214768</v>
      </c>
      <c r="X18" s="9"/>
      <c r="Y18" s="6">
        <v>2.9000000000000001E-2</v>
      </c>
      <c r="Z18" s="6">
        <v>5.7999999999999996E-3</v>
      </c>
      <c r="AA18" s="6">
        <v>1.8176000000000001</v>
      </c>
      <c r="AB18" s="6">
        <v>5.79E-2</v>
      </c>
      <c r="AC18" s="6">
        <v>4.87E-2</v>
      </c>
      <c r="AD18" s="6">
        <v>3.5099999999999999E-2</v>
      </c>
      <c r="AE18" s="6">
        <v>0.23039999999999999</v>
      </c>
      <c r="AF18" s="6">
        <v>0</v>
      </c>
      <c r="AG18" s="6">
        <v>2.6242999999999999</v>
      </c>
      <c r="AH18" s="6">
        <v>5.3800000000000001E-2</v>
      </c>
      <c r="AI18" s="6">
        <v>7.8226000000000004</v>
      </c>
      <c r="AJ18" s="6">
        <v>3.2473000000000001</v>
      </c>
      <c r="AK18" s="6">
        <v>3.3999999999999998E-3</v>
      </c>
      <c r="AL18" s="6">
        <v>15.975899999999999</v>
      </c>
      <c r="AM18" s="6"/>
      <c r="AN18" s="8">
        <v>7.9448275862068956</v>
      </c>
    </row>
    <row r="19" spans="1:40" x14ac:dyDescent="0.25">
      <c r="A19" s="6" t="s">
        <v>220</v>
      </c>
      <c r="B19" s="6">
        <v>0.249</v>
      </c>
      <c r="C19" s="6">
        <v>2.5000000000000001E-2</v>
      </c>
      <c r="D19" s="6">
        <v>14.343</v>
      </c>
      <c r="E19" s="6">
        <v>0.47699999999999998</v>
      </c>
      <c r="F19" s="6">
        <v>0.14000000000000001</v>
      </c>
      <c r="G19" s="6">
        <v>0.34799999999999998</v>
      </c>
      <c r="H19" s="6">
        <v>1.31</v>
      </c>
      <c r="I19" s="6">
        <v>0</v>
      </c>
      <c r="J19" s="6">
        <v>16.227</v>
      </c>
      <c r="K19" s="6">
        <v>0.432</v>
      </c>
      <c r="L19" s="6">
        <v>51.838999999999999</v>
      </c>
      <c r="M19" s="6">
        <v>14.507999999999999</v>
      </c>
      <c r="N19" s="6">
        <v>5.5E-2</v>
      </c>
      <c r="O19" s="6">
        <v>99.953000000000003</v>
      </c>
      <c r="P19" s="6"/>
      <c r="Q19" s="9">
        <f t="shared" si="0"/>
        <v>0.19963810981975086</v>
      </c>
      <c r="R19" s="9">
        <f t="shared" si="1"/>
        <v>0.35995534052847039</v>
      </c>
      <c r="S19" s="9">
        <f t="shared" si="2"/>
        <v>0.28936481329576658</v>
      </c>
      <c r="T19" s="9">
        <f t="shared" si="3"/>
        <v>64.324437733229189</v>
      </c>
      <c r="U19" s="9">
        <f t="shared" si="4"/>
        <v>23.515656583969534</v>
      </c>
      <c r="V19" s="9">
        <f t="shared" si="5"/>
        <v>34.084692462233015</v>
      </c>
      <c r="W19" s="9">
        <f t="shared" si="6"/>
        <v>42.399650953797455</v>
      </c>
      <c r="X19" s="9"/>
      <c r="Y19" s="6">
        <v>2.8199999999999999E-2</v>
      </c>
      <c r="Z19" s="6">
        <v>3.0999999999999999E-3</v>
      </c>
      <c r="AA19" s="6">
        <v>1.8078000000000001</v>
      </c>
      <c r="AB19" s="6">
        <v>5.6800000000000003E-2</v>
      </c>
      <c r="AC19" s="6">
        <v>4.1000000000000002E-2</v>
      </c>
      <c r="AD19" s="6">
        <v>4.4499999999999998E-2</v>
      </c>
      <c r="AE19" s="6">
        <v>0.2326</v>
      </c>
      <c r="AF19" s="6">
        <v>0</v>
      </c>
      <c r="AG19" s="6">
        <v>2.6204000000000001</v>
      </c>
      <c r="AH19" s="6">
        <v>5.5199999999999999E-2</v>
      </c>
      <c r="AI19" s="6">
        <v>7.8127000000000004</v>
      </c>
      <c r="AJ19" s="6">
        <v>3.2593999999999999</v>
      </c>
      <c r="AK19" s="6">
        <v>6.7000000000000002E-3</v>
      </c>
      <c r="AL19" s="6">
        <v>15.968400000000001</v>
      </c>
      <c r="AM19" s="6"/>
      <c r="AN19" s="8">
        <v>8.24822695035461</v>
      </c>
    </row>
    <row r="20" spans="1:40" x14ac:dyDescent="0.25">
      <c r="A20" s="6" t="s">
        <v>484</v>
      </c>
      <c r="B20" s="6">
        <v>0.23899999999999999</v>
      </c>
      <c r="C20" s="6">
        <v>0</v>
      </c>
      <c r="D20" s="6">
        <v>13.97</v>
      </c>
      <c r="E20" s="6">
        <v>0.45800000000000002</v>
      </c>
      <c r="F20" s="6">
        <v>0.17799999999999999</v>
      </c>
      <c r="G20" s="6">
        <v>0.309</v>
      </c>
      <c r="H20" s="6">
        <v>1.2130000000000001</v>
      </c>
      <c r="I20" s="6">
        <v>0.01</v>
      </c>
      <c r="J20" s="6">
        <v>16.056000000000001</v>
      </c>
      <c r="K20" s="6">
        <v>0.47399999999999998</v>
      </c>
      <c r="L20" s="6">
        <v>51.795999999999999</v>
      </c>
      <c r="M20" s="6">
        <v>14.718999999999999</v>
      </c>
      <c r="N20" s="6">
        <v>0.192</v>
      </c>
      <c r="O20" s="6">
        <v>99.614000000000004</v>
      </c>
      <c r="P20" s="6"/>
      <c r="Q20" s="9">
        <f t="shared" si="0"/>
        <v>0.19444637761848424</v>
      </c>
      <c r="R20" s="9">
        <f t="shared" si="1"/>
        <v>0.36519042302443866</v>
      </c>
      <c r="S20" s="9">
        <f t="shared" si="2"/>
        <v>0.28631548914012628</v>
      </c>
      <c r="T20" s="9">
        <f t="shared" si="3"/>
        <v>65.254897927530848</v>
      </c>
      <c r="U20" s="9">
        <f t="shared" si="4"/>
        <v>22.985501660897622</v>
      </c>
      <c r="V20" s="9">
        <f t="shared" si="5"/>
        <v>33.845347142869493</v>
      </c>
      <c r="W20" s="9">
        <f t="shared" si="6"/>
        <v>43.169151196232889</v>
      </c>
      <c r="X20" s="9"/>
      <c r="Y20" s="6">
        <v>2.7199999999999998E-2</v>
      </c>
      <c r="Z20" s="6">
        <v>0</v>
      </c>
      <c r="AA20" s="6">
        <v>1.7650999999999999</v>
      </c>
      <c r="AB20" s="6">
        <v>5.4699999999999999E-2</v>
      </c>
      <c r="AC20" s="6">
        <v>5.2200000000000003E-2</v>
      </c>
      <c r="AD20" s="6">
        <v>3.95E-2</v>
      </c>
      <c r="AE20" s="6">
        <v>0.216</v>
      </c>
      <c r="AF20" s="6">
        <v>1.9E-3</v>
      </c>
      <c r="AG20" s="6">
        <v>2.5992000000000002</v>
      </c>
      <c r="AH20" s="6">
        <v>6.0699999999999997E-2</v>
      </c>
      <c r="AI20" s="6">
        <v>7.8253000000000004</v>
      </c>
      <c r="AJ20" s="6">
        <v>3.3149000000000002</v>
      </c>
      <c r="AK20" s="6">
        <v>2.3300000000000001E-2</v>
      </c>
      <c r="AL20" s="6">
        <v>15.98</v>
      </c>
      <c r="AM20" s="6"/>
      <c r="AN20" s="8">
        <v>7.9411764705882355</v>
      </c>
    </row>
    <row r="21" spans="1:40" x14ac:dyDescent="0.25">
      <c r="A21" s="6" t="s">
        <v>262</v>
      </c>
      <c r="B21" s="6">
        <v>0.223</v>
      </c>
      <c r="C21" s="6">
        <v>5.0000000000000001E-3</v>
      </c>
      <c r="D21" s="6">
        <v>14.263999999999999</v>
      </c>
      <c r="E21" s="6">
        <v>0.502</v>
      </c>
      <c r="F21" s="6">
        <v>0.16600000000000001</v>
      </c>
      <c r="G21" s="6">
        <v>0.35599999999999998</v>
      </c>
      <c r="H21" s="6">
        <v>1.306</v>
      </c>
      <c r="I21" s="6">
        <v>3.0000000000000001E-3</v>
      </c>
      <c r="J21" s="6">
        <v>15.955</v>
      </c>
      <c r="K21" s="6">
        <v>0.44</v>
      </c>
      <c r="L21" s="6">
        <v>51.915999999999997</v>
      </c>
      <c r="M21" s="6">
        <v>14.455</v>
      </c>
      <c r="N21" s="6">
        <v>0.30099999999999999</v>
      </c>
      <c r="O21" s="6">
        <v>99.891999999999996</v>
      </c>
      <c r="P21" s="6"/>
      <c r="Q21" s="9">
        <f t="shared" si="0"/>
        <v>0.19853852042591691</v>
      </c>
      <c r="R21" s="9">
        <f t="shared" si="1"/>
        <v>0.35864036720009923</v>
      </c>
      <c r="S21" s="9">
        <f t="shared" si="2"/>
        <v>0.28451442633474799</v>
      </c>
      <c r="T21" s="9">
        <f t="shared" si="3"/>
        <v>64.367185326810528</v>
      </c>
      <c r="U21" s="9">
        <f t="shared" si="4"/>
        <v>23.587988300828048</v>
      </c>
      <c r="V21" s="9">
        <f t="shared" si="5"/>
        <v>33.802624021795516</v>
      </c>
      <c r="W21" s="9">
        <f t="shared" si="6"/>
        <v>42.609387677376439</v>
      </c>
      <c r="X21" s="9"/>
      <c r="Y21" s="6">
        <v>2.53E-2</v>
      </c>
      <c r="Z21" s="6">
        <v>5.9999999999999995E-4</v>
      </c>
      <c r="AA21" s="6">
        <v>1.7987</v>
      </c>
      <c r="AB21" s="6">
        <v>5.9799999999999999E-2</v>
      </c>
      <c r="AC21" s="6">
        <v>4.8500000000000001E-2</v>
      </c>
      <c r="AD21" s="6">
        <v>4.5499999999999999E-2</v>
      </c>
      <c r="AE21" s="6">
        <v>0.2321</v>
      </c>
      <c r="AF21" s="6">
        <v>5.9999999999999995E-4</v>
      </c>
      <c r="AG21" s="6">
        <v>2.5775000000000001</v>
      </c>
      <c r="AH21" s="6">
        <v>5.6099999999999997E-2</v>
      </c>
      <c r="AI21" s="6">
        <v>7.8274999999999997</v>
      </c>
      <c r="AJ21" s="6">
        <v>3.2488999999999999</v>
      </c>
      <c r="AK21" s="6">
        <v>3.6400000000000002E-2</v>
      </c>
      <c r="AL21" s="6">
        <v>15.9575</v>
      </c>
      <c r="AM21" s="6"/>
      <c r="AN21" s="8">
        <v>9.1739130434782616</v>
      </c>
    </row>
    <row r="22" spans="1:40" x14ac:dyDescent="0.25">
      <c r="A22" s="6" t="s">
        <v>120</v>
      </c>
      <c r="B22" s="6">
        <v>0.23300000000000001</v>
      </c>
      <c r="C22" s="6">
        <v>8.0000000000000002E-3</v>
      </c>
      <c r="D22" s="6">
        <v>13.742000000000001</v>
      </c>
      <c r="E22" s="6">
        <v>0.49099999999999999</v>
      </c>
      <c r="F22" s="6">
        <v>0.125</v>
      </c>
      <c r="G22" s="6">
        <v>0.30499999999999999</v>
      </c>
      <c r="H22" s="6">
        <v>1.3240000000000001</v>
      </c>
      <c r="I22" s="6">
        <v>0</v>
      </c>
      <c r="J22" s="6">
        <v>16.007000000000001</v>
      </c>
      <c r="K22" s="6">
        <v>0.45200000000000001</v>
      </c>
      <c r="L22" s="6">
        <v>51.676000000000002</v>
      </c>
      <c r="M22" s="6">
        <v>14.853999999999999</v>
      </c>
      <c r="N22" s="6">
        <v>0</v>
      </c>
      <c r="O22" s="6">
        <v>99.216999999999999</v>
      </c>
      <c r="P22" s="6"/>
      <c r="Q22" s="9">
        <f t="shared" si="0"/>
        <v>0.19127287911476096</v>
      </c>
      <c r="R22" s="9">
        <f t="shared" si="1"/>
        <v>0.36853988338915766</v>
      </c>
      <c r="S22" s="9">
        <f t="shared" si="2"/>
        <v>0.28544170619494275</v>
      </c>
      <c r="T22" s="9">
        <f t="shared" si="3"/>
        <v>65.832704803077419</v>
      </c>
      <c r="U22" s="9">
        <f t="shared" si="4"/>
        <v>22.629029031836531</v>
      </c>
      <c r="V22" s="9">
        <f t="shared" si="5"/>
        <v>33.769913885736223</v>
      </c>
      <c r="W22" s="9">
        <f t="shared" si="6"/>
        <v>43.601057082427246</v>
      </c>
      <c r="X22" s="9"/>
      <c r="Y22" s="6">
        <v>2.6499999999999999E-2</v>
      </c>
      <c r="Z22" s="6">
        <v>1E-3</v>
      </c>
      <c r="AA22" s="6">
        <v>1.7395</v>
      </c>
      <c r="AB22" s="6">
        <v>5.8799999999999998E-2</v>
      </c>
      <c r="AC22" s="6">
        <v>3.6799999999999999E-2</v>
      </c>
      <c r="AD22" s="6">
        <v>3.9100000000000003E-2</v>
      </c>
      <c r="AE22" s="6">
        <v>0.23630000000000001</v>
      </c>
      <c r="AF22" s="6">
        <v>0</v>
      </c>
      <c r="AG22" s="6">
        <v>2.5960000000000001</v>
      </c>
      <c r="AH22" s="6">
        <v>5.79E-2</v>
      </c>
      <c r="AI22" s="6">
        <v>7.8212999999999999</v>
      </c>
      <c r="AJ22" s="6">
        <v>3.3513000000000002</v>
      </c>
      <c r="AK22" s="6">
        <v>0</v>
      </c>
      <c r="AL22" s="6">
        <v>15.964499999999999</v>
      </c>
      <c r="AM22" s="6"/>
      <c r="AN22" s="8">
        <v>8.9169811320754722</v>
      </c>
    </row>
    <row r="23" spans="1:40" x14ac:dyDescent="0.25">
      <c r="A23" s="6" t="s">
        <v>163</v>
      </c>
      <c r="B23" s="6">
        <v>0.23499999999999999</v>
      </c>
      <c r="C23" s="6">
        <v>1.6E-2</v>
      </c>
      <c r="D23" s="6">
        <v>13.71</v>
      </c>
      <c r="E23" s="6">
        <v>0.65700000000000003</v>
      </c>
      <c r="F23" s="6">
        <v>0.17399999999999999</v>
      </c>
      <c r="G23" s="6">
        <v>0.106</v>
      </c>
      <c r="H23" s="6">
        <v>1.3540000000000001</v>
      </c>
      <c r="I23" s="6">
        <v>5.0000000000000001E-3</v>
      </c>
      <c r="J23" s="6">
        <v>15.948</v>
      </c>
      <c r="K23" s="6">
        <v>0.435</v>
      </c>
      <c r="L23" s="6">
        <v>51.756</v>
      </c>
      <c r="M23" s="6">
        <v>14.789</v>
      </c>
      <c r="N23" s="6">
        <v>0</v>
      </c>
      <c r="O23" s="6">
        <v>99.185000000000002</v>
      </c>
      <c r="P23" s="6"/>
      <c r="Q23" s="9">
        <f t="shared" si="0"/>
        <v>0.19082747581599277</v>
      </c>
      <c r="R23" s="9">
        <f t="shared" si="1"/>
        <v>0.36692718025058924</v>
      </c>
      <c r="S23" s="9">
        <f t="shared" si="2"/>
        <v>0.28438960019972181</v>
      </c>
      <c r="T23" s="9">
        <f t="shared" si="3"/>
        <v>65.786484480155963</v>
      </c>
      <c r="U23" s="9">
        <f t="shared" si="4"/>
        <v>22.659713510608935</v>
      </c>
      <c r="V23" s="9">
        <f t="shared" si="5"/>
        <v>33.769701340786895</v>
      </c>
      <c r="W23" s="9">
        <f t="shared" si="6"/>
        <v>43.570585148604167</v>
      </c>
      <c r="X23" s="9"/>
      <c r="Y23" s="6">
        <v>2.6800000000000001E-2</v>
      </c>
      <c r="Z23" s="6">
        <v>1.9E-3</v>
      </c>
      <c r="AA23" s="6">
        <v>1.7371000000000001</v>
      </c>
      <c r="AB23" s="6">
        <v>7.8700000000000006E-2</v>
      </c>
      <c r="AC23" s="6">
        <v>5.1200000000000002E-2</v>
      </c>
      <c r="AD23" s="6">
        <v>1.35E-2</v>
      </c>
      <c r="AE23" s="6">
        <v>0.2417</v>
      </c>
      <c r="AF23" s="6">
        <v>1E-3</v>
      </c>
      <c r="AG23" s="6">
        <v>2.5889000000000002</v>
      </c>
      <c r="AH23" s="6">
        <v>5.5800000000000002E-2</v>
      </c>
      <c r="AI23" s="6">
        <v>7.8411999999999997</v>
      </c>
      <c r="AJ23" s="6">
        <v>3.3399000000000001</v>
      </c>
      <c r="AK23" s="6">
        <v>0</v>
      </c>
      <c r="AL23" s="6">
        <v>15.9777</v>
      </c>
      <c r="AM23" s="6"/>
      <c r="AN23" s="8">
        <v>9.0186567164179099</v>
      </c>
    </row>
    <row r="24" spans="1:40" x14ac:dyDescent="0.25">
      <c r="A24" s="6" t="s">
        <v>55</v>
      </c>
      <c r="B24" s="6">
        <v>0.26600000000000001</v>
      </c>
      <c r="C24" s="6">
        <v>2E-3</v>
      </c>
      <c r="D24" s="6">
        <v>14.021000000000001</v>
      </c>
      <c r="E24" s="6">
        <v>0.442</v>
      </c>
      <c r="F24" s="6">
        <v>0.2</v>
      </c>
      <c r="G24" s="6">
        <v>0.30099999999999999</v>
      </c>
      <c r="H24" s="6">
        <v>1.33</v>
      </c>
      <c r="I24" s="6">
        <v>1.2E-2</v>
      </c>
      <c r="J24" s="6">
        <v>15.991</v>
      </c>
      <c r="K24" s="6">
        <v>0.45500000000000002</v>
      </c>
      <c r="L24" s="6">
        <v>51.81</v>
      </c>
      <c r="M24" s="6">
        <v>14.68</v>
      </c>
      <c r="N24" s="6">
        <v>0.218</v>
      </c>
      <c r="O24" s="6">
        <v>99.727999999999994</v>
      </c>
      <c r="P24" s="6"/>
      <c r="Q24" s="9">
        <f t="shared" si="0"/>
        <v>0.19515623912589605</v>
      </c>
      <c r="R24" s="9">
        <f t="shared" si="1"/>
        <v>0.36422280114129763</v>
      </c>
      <c r="S24" s="9">
        <f t="shared" si="2"/>
        <v>0.2851563893148828</v>
      </c>
      <c r="T24" s="9">
        <f t="shared" si="3"/>
        <v>65.111985777536916</v>
      </c>
      <c r="U24" s="9">
        <f t="shared" si="4"/>
        <v>23.108117467904258</v>
      </c>
      <c r="V24" s="9">
        <f t="shared" si="5"/>
        <v>33.764881771270886</v>
      </c>
      <c r="W24" s="9">
        <f t="shared" si="6"/>
        <v>43.127000760824863</v>
      </c>
      <c r="X24" s="9"/>
      <c r="Y24" s="6">
        <v>3.0200000000000001E-2</v>
      </c>
      <c r="Z24" s="6">
        <v>2.9999999999999997E-4</v>
      </c>
      <c r="AA24" s="6">
        <v>1.7695000000000001</v>
      </c>
      <c r="AB24" s="6">
        <v>5.2699999999999997E-2</v>
      </c>
      <c r="AC24" s="6">
        <v>5.8500000000000003E-2</v>
      </c>
      <c r="AD24" s="6">
        <v>3.8399999999999997E-2</v>
      </c>
      <c r="AE24" s="6">
        <v>0.2366</v>
      </c>
      <c r="AF24" s="6">
        <v>2.2000000000000001E-3</v>
      </c>
      <c r="AG24" s="6">
        <v>2.5857000000000001</v>
      </c>
      <c r="AH24" s="6">
        <v>5.8099999999999999E-2</v>
      </c>
      <c r="AI24" s="6">
        <v>7.8183999999999996</v>
      </c>
      <c r="AJ24" s="6">
        <v>3.3024</v>
      </c>
      <c r="AK24" s="6">
        <v>2.64E-2</v>
      </c>
      <c r="AL24" s="6">
        <v>15.9794</v>
      </c>
      <c r="AM24" s="6"/>
      <c r="AN24" s="8">
        <v>7.8344370860927155</v>
      </c>
    </row>
    <row r="25" spans="1:40" x14ac:dyDescent="0.25">
      <c r="A25" s="6" t="s">
        <v>468</v>
      </c>
      <c r="B25" s="6">
        <v>0.215</v>
      </c>
      <c r="C25" s="6">
        <v>0.02</v>
      </c>
      <c r="D25" s="6">
        <v>14.34</v>
      </c>
      <c r="E25" s="6">
        <v>0.54100000000000004</v>
      </c>
      <c r="F25" s="6">
        <v>0.161</v>
      </c>
      <c r="G25" s="6">
        <v>0.32800000000000001</v>
      </c>
      <c r="H25" s="6">
        <v>1.268</v>
      </c>
      <c r="I25" s="6">
        <v>3.0000000000000001E-3</v>
      </c>
      <c r="J25" s="6">
        <v>16.120999999999999</v>
      </c>
      <c r="K25" s="6">
        <v>0.44</v>
      </c>
      <c r="L25" s="6">
        <v>51.847999999999999</v>
      </c>
      <c r="M25" s="6">
        <v>14.706</v>
      </c>
      <c r="N25" s="6">
        <v>0</v>
      </c>
      <c r="O25" s="6">
        <v>99.991</v>
      </c>
      <c r="P25" s="6"/>
      <c r="Q25" s="9">
        <f t="shared" si="0"/>
        <v>0.19959635326049133</v>
      </c>
      <c r="R25" s="9">
        <f t="shared" si="1"/>
        <v>0.36486788239672496</v>
      </c>
      <c r="S25" s="9">
        <f t="shared" si="2"/>
        <v>0.28747458896536965</v>
      </c>
      <c r="T25" s="9">
        <f t="shared" si="3"/>
        <v>64.6396811964362</v>
      </c>
      <c r="U25" s="9">
        <f t="shared" si="4"/>
        <v>23.428484239923414</v>
      </c>
      <c r="V25" s="9">
        <f t="shared" si="5"/>
        <v>33.743571798447221</v>
      </c>
      <c r="W25" s="9">
        <f t="shared" si="6"/>
        <v>42.827943961629359</v>
      </c>
      <c r="X25" s="9"/>
      <c r="Y25" s="6">
        <v>2.4400000000000002E-2</v>
      </c>
      <c r="Z25" s="6">
        <v>2.5000000000000001E-3</v>
      </c>
      <c r="AA25" s="6">
        <v>1.8065</v>
      </c>
      <c r="AB25" s="6">
        <v>6.4399999999999999E-2</v>
      </c>
      <c r="AC25" s="6">
        <v>4.7100000000000003E-2</v>
      </c>
      <c r="AD25" s="6">
        <v>4.19E-2</v>
      </c>
      <c r="AE25" s="6">
        <v>0.22520000000000001</v>
      </c>
      <c r="AF25" s="6">
        <v>6.9999999999999999E-4</v>
      </c>
      <c r="AG25" s="6">
        <v>2.6019000000000001</v>
      </c>
      <c r="AH25" s="6">
        <v>5.6099999999999997E-2</v>
      </c>
      <c r="AI25" s="6">
        <v>7.8095999999999997</v>
      </c>
      <c r="AJ25" s="6">
        <v>3.302</v>
      </c>
      <c r="AK25" s="6">
        <v>0</v>
      </c>
      <c r="AL25" s="6">
        <v>15.9823</v>
      </c>
      <c r="AM25" s="6"/>
      <c r="AN25" s="8">
        <v>9.2295081967213122</v>
      </c>
    </row>
    <row r="26" spans="1:40" x14ac:dyDescent="0.25">
      <c r="A26" s="6" t="s">
        <v>206</v>
      </c>
      <c r="B26" s="6">
        <v>0.24099999999999999</v>
      </c>
      <c r="C26" s="6">
        <v>0.01</v>
      </c>
      <c r="D26" s="6">
        <v>14.412000000000001</v>
      </c>
      <c r="E26" s="6">
        <v>0.443</v>
      </c>
      <c r="F26" s="6">
        <v>0.154</v>
      </c>
      <c r="G26" s="6">
        <v>0.35699999999999998</v>
      </c>
      <c r="H26" s="6">
        <v>1.355</v>
      </c>
      <c r="I26" s="6">
        <v>2E-3</v>
      </c>
      <c r="J26" s="6">
        <v>15.91</v>
      </c>
      <c r="K26" s="6">
        <v>0.44500000000000001</v>
      </c>
      <c r="L26" s="6">
        <v>51.4</v>
      </c>
      <c r="M26" s="6">
        <v>14.397</v>
      </c>
      <c r="N26" s="6">
        <v>0.41199999999999998</v>
      </c>
      <c r="O26" s="6">
        <v>99.537999999999997</v>
      </c>
      <c r="P26" s="6"/>
      <c r="Q26" s="9">
        <f t="shared" si="0"/>
        <v>0.20059851068271975</v>
      </c>
      <c r="R26" s="9">
        <f t="shared" si="1"/>
        <v>0.35720133978414592</v>
      </c>
      <c r="S26" s="9">
        <f t="shared" si="2"/>
        <v>0.28371197260957948</v>
      </c>
      <c r="T26" s="9">
        <f t="shared" si="3"/>
        <v>64.037546708765987</v>
      </c>
      <c r="U26" s="9">
        <f t="shared" si="4"/>
        <v>23.83787193260823</v>
      </c>
      <c r="V26" s="9">
        <f t="shared" si="5"/>
        <v>33.71455573522065</v>
      </c>
      <c r="W26" s="9">
        <f t="shared" si="6"/>
        <v>42.447572332171127</v>
      </c>
      <c r="X26" s="9"/>
      <c r="Y26" s="6">
        <v>2.7400000000000001E-2</v>
      </c>
      <c r="Z26" s="6">
        <v>1.1999999999999999E-3</v>
      </c>
      <c r="AA26" s="6">
        <v>1.8278000000000001</v>
      </c>
      <c r="AB26" s="6">
        <v>5.3100000000000001E-2</v>
      </c>
      <c r="AC26" s="6">
        <v>4.53E-2</v>
      </c>
      <c r="AD26" s="6">
        <v>4.5900000000000003E-2</v>
      </c>
      <c r="AE26" s="6">
        <v>0.2422</v>
      </c>
      <c r="AF26" s="6">
        <v>4.0000000000000002E-4</v>
      </c>
      <c r="AG26" s="6">
        <v>2.5851000000000002</v>
      </c>
      <c r="AH26" s="6">
        <v>5.7200000000000001E-2</v>
      </c>
      <c r="AI26" s="6">
        <v>7.7944000000000004</v>
      </c>
      <c r="AJ26" s="6">
        <v>3.2545000000000002</v>
      </c>
      <c r="AK26" s="6">
        <v>5.0099999999999999E-2</v>
      </c>
      <c r="AL26" s="6">
        <v>15.9846</v>
      </c>
      <c r="AM26" s="6"/>
      <c r="AN26" s="8">
        <v>8.8394160583941606</v>
      </c>
    </row>
    <row r="27" spans="1:40" x14ac:dyDescent="0.25">
      <c r="A27" s="6" t="s">
        <v>172</v>
      </c>
      <c r="B27" s="6">
        <v>0.223</v>
      </c>
      <c r="C27" s="6">
        <v>1.7999999999999999E-2</v>
      </c>
      <c r="D27" s="6">
        <v>14.119</v>
      </c>
      <c r="E27" s="6">
        <v>0.436</v>
      </c>
      <c r="F27" s="6">
        <v>0.182</v>
      </c>
      <c r="G27" s="6">
        <v>0.23400000000000001</v>
      </c>
      <c r="H27" s="6">
        <v>1.3</v>
      </c>
      <c r="I27" s="6">
        <v>8.0000000000000002E-3</v>
      </c>
      <c r="J27" s="6">
        <v>15.919</v>
      </c>
      <c r="K27" s="6">
        <v>0.42399999999999999</v>
      </c>
      <c r="L27" s="6">
        <v>51.972999999999999</v>
      </c>
      <c r="M27" s="6">
        <v>14.743</v>
      </c>
      <c r="N27" s="6">
        <v>2.7E-2</v>
      </c>
      <c r="O27" s="6">
        <v>99.605999999999995</v>
      </c>
      <c r="P27" s="6"/>
      <c r="Q27" s="9">
        <f t="shared" si="0"/>
        <v>0.19652028672837357</v>
      </c>
      <c r="R27" s="9">
        <f t="shared" si="1"/>
        <v>0.36578588264483314</v>
      </c>
      <c r="S27" s="9">
        <f t="shared" si="2"/>
        <v>0.28387246335461319</v>
      </c>
      <c r="T27" s="9">
        <f t="shared" si="3"/>
        <v>65.051017144728917</v>
      </c>
      <c r="U27" s="9">
        <f t="shared" si="4"/>
        <v>23.224444476322045</v>
      </c>
      <c r="V27" s="9">
        <f t="shared" si="5"/>
        <v>33.547581134198055</v>
      </c>
      <c r="W27" s="9">
        <f t="shared" si="6"/>
        <v>43.227974389479897</v>
      </c>
      <c r="X27" s="9"/>
      <c r="Y27" s="6">
        <v>2.53E-2</v>
      </c>
      <c r="Z27" s="6">
        <v>2.2000000000000001E-3</v>
      </c>
      <c r="AA27" s="6">
        <v>1.7822</v>
      </c>
      <c r="AB27" s="6">
        <v>5.21E-2</v>
      </c>
      <c r="AC27" s="6">
        <v>5.33E-2</v>
      </c>
      <c r="AD27" s="6">
        <v>0.03</v>
      </c>
      <c r="AE27" s="6">
        <v>0.23130000000000001</v>
      </c>
      <c r="AF27" s="6">
        <v>1.5E-3</v>
      </c>
      <c r="AG27" s="6">
        <v>2.5745</v>
      </c>
      <c r="AH27" s="6">
        <v>5.4199999999999998E-2</v>
      </c>
      <c r="AI27" s="6">
        <v>7.8444000000000003</v>
      </c>
      <c r="AJ27" s="6">
        <v>3.3170000000000002</v>
      </c>
      <c r="AK27" s="6">
        <v>3.3E-3</v>
      </c>
      <c r="AL27" s="6">
        <v>15.971299999999999</v>
      </c>
      <c r="AM27" s="6"/>
      <c r="AN27" s="8">
        <v>9.142292490118578</v>
      </c>
    </row>
    <row r="28" spans="1:40" x14ac:dyDescent="0.25">
      <c r="A28" s="6" t="s">
        <v>126</v>
      </c>
      <c r="B28" s="6">
        <v>0.218</v>
      </c>
      <c r="C28" s="6">
        <v>0</v>
      </c>
      <c r="D28" s="6">
        <v>13.788</v>
      </c>
      <c r="E28" s="6">
        <v>0.40799999999999997</v>
      </c>
      <c r="F28" s="6">
        <v>0.17599999999999999</v>
      </c>
      <c r="G28" s="6">
        <v>0.31</v>
      </c>
      <c r="H28" s="6">
        <v>1.25</v>
      </c>
      <c r="I28" s="6">
        <v>0</v>
      </c>
      <c r="J28" s="6">
        <v>15.96</v>
      </c>
      <c r="K28" s="6">
        <v>0.443</v>
      </c>
      <c r="L28" s="6">
        <v>52.012999999999998</v>
      </c>
      <c r="M28" s="6">
        <v>15.093999999999999</v>
      </c>
      <c r="N28" s="6">
        <v>0.27200000000000002</v>
      </c>
      <c r="O28" s="6">
        <v>99.932000000000002</v>
      </c>
      <c r="P28" s="6"/>
      <c r="Q28" s="9">
        <f t="shared" si="0"/>
        <v>0.1919131463567402</v>
      </c>
      <c r="R28" s="9">
        <f t="shared" si="1"/>
        <v>0.37449447959310256</v>
      </c>
      <c r="S28" s="9">
        <f t="shared" si="2"/>
        <v>0.28460358785976675</v>
      </c>
      <c r="T28" s="9">
        <f t="shared" si="3"/>
        <v>66.117485435527186</v>
      </c>
      <c r="U28" s="9">
        <f t="shared" si="4"/>
        <v>22.551188896516177</v>
      </c>
      <c r="V28" s="9">
        <f t="shared" si="5"/>
        <v>33.442989145315657</v>
      </c>
      <c r="W28" s="9">
        <f t="shared" si="6"/>
        <v>44.005821958168163</v>
      </c>
      <c r="X28" s="9"/>
      <c r="Y28" s="6">
        <v>2.46E-2</v>
      </c>
      <c r="Z28" s="6">
        <v>0</v>
      </c>
      <c r="AA28" s="6">
        <v>1.7341</v>
      </c>
      <c r="AB28" s="6">
        <v>4.8500000000000001E-2</v>
      </c>
      <c r="AC28" s="6">
        <v>5.1200000000000002E-2</v>
      </c>
      <c r="AD28" s="6">
        <v>3.9399999999999998E-2</v>
      </c>
      <c r="AE28" s="6">
        <v>0.2215</v>
      </c>
      <c r="AF28" s="6">
        <v>0</v>
      </c>
      <c r="AG28" s="6">
        <v>2.5716999999999999</v>
      </c>
      <c r="AH28" s="6">
        <v>5.6399999999999999E-2</v>
      </c>
      <c r="AI28" s="6">
        <v>7.8215000000000003</v>
      </c>
      <c r="AJ28" s="6">
        <v>3.3835999999999999</v>
      </c>
      <c r="AK28" s="6">
        <v>3.2800000000000003E-2</v>
      </c>
      <c r="AL28" s="6">
        <v>15.985300000000001</v>
      </c>
      <c r="AM28" s="6"/>
      <c r="AN28" s="8">
        <v>9.0040650406504064</v>
      </c>
    </row>
    <row r="29" spans="1:40" x14ac:dyDescent="0.25">
      <c r="A29" s="6" t="s">
        <v>28</v>
      </c>
      <c r="B29" s="6">
        <v>0.20899999999999999</v>
      </c>
      <c r="C29" s="6">
        <v>1.2999999999999999E-2</v>
      </c>
      <c r="D29" s="6">
        <v>13.952</v>
      </c>
      <c r="E29" s="6">
        <v>0.46300000000000002</v>
      </c>
      <c r="F29" s="6">
        <v>0.19700000000000001</v>
      </c>
      <c r="G29" s="6">
        <v>0.23300000000000001</v>
      </c>
      <c r="H29" s="6">
        <v>1.268</v>
      </c>
      <c r="I29" s="6">
        <v>0.01</v>
      </c>
      <c r="J29" s="6">
        <v>15.77</v>
      </c>
      <c r="K29" s="6">
        <v>0.45500000000000002</v>
      </c>
      <c r="L29" s="6">
        <v>51.768000000000001</v>
      </c>
      <c r="M29" s="6">
        <v>14.766999999999999</v>
      </c>
      <c r="N29" s="6">
        <v>0</v>
      </c>
      <c r="O29" s="6">
        <v>99.105000000000004</v>
      </c>
      <c r="P29" s="6"/>
      <c r="Q29" s="9">
        <f t="shared" si="0"/>
        <v>0.19419583826292713</v>
      </c>
      <c r="R29" s="9">
        <f t="shared" si="1"/>
        <v>0.36638134226522762</v>
      </c>
      <c r="S29" s="9">
        <f t="shared" si="2"/>
        <v>0.28121544990905523</v>
      </c>
      <c r="T29" s="9">
        <f t="shared" si="3"/>
        <v>65.357876665624687</v>
      </c>
      <c r="U29" s="9">
        <f t="shared" si="4"/>
        <v>23.069320310165434</v>
      </c>
      <c r="V29" s="9">
        <f t="shared" si="5"/>
        <v>33.406736973094866</v>
      </c>
      <c r="W29" s="9">
        <f t="shared" si="6"/>
        <v>43.523942716739704</v>
      </c>
      <c r="X29" s="9"/>
      <c r="Y29" s="6">
        <v>2.3800000000000002E-2</v>
      </c>
      <c r="Z29" s="6">
        <v>1.6000000000000001E-3</v>
      </c>
      <c r="AA29" s="6">
        <v>1.7689999999999999</v>
      </c>
      <c r="AB29" s="6">
        <v>5.5500000000000001E-2</v>
      </c>
      <c r="AC29" s="6">
        <v>5.7799999999999997E-2</v>
      </c>
      <c r="AD29" s="6">
        <v>0.03</v>
      </c>
      <c r="AE29" s="6">
        <v>0.22670000000000001</v>
      </c>
      <c r="AF29" s="6">
        <v>2E-3</v>
      </c>
      <c r="AG29" s="6">
        <v>2.5617000000000001</v>
      </c>
      <c r="AH29" s="6">
        <v>5.8400000000000001E-2</v>
      </c>
      <c r="AI29" s="6">
        <v>7.8483000000000001</v>
      </c>
      <c r="AJ29" s="6">
        <v>3.3372000000000002</v>
      </c>
      <c r="AK29" s="6">
        <v>0</v>
      </c>
      <c r="AL29" s="6">
        <v>15.972</v>
      </c>
      <c r="AM29" s="6"/>
      <c r="AN29" s="8">
        <v>9.5252100840336134</v>
      </c>
    </row>
    <row r="30" spans="1:40" x14ac:dyDescent="0.25">
      <c r="A30" s="6" t="s">
        <v>207</v>
      </c>
      <c r="B30" s="6">
        <v>0.17199999999999999</v>
      </c>
      <c r="C30" s="6">
        <v>1.9E-2</v>
      </c>
      <c r="D30" s="6">
        <v>14.34</v>
      </c>
      <c r="E30" s="6">
        <v>0.45</v>
      </c>
      <c r="F30" s="6">
        <v>0.191</v>
      </c>
      <c r="G30" s="6">
        <v>0.33400000000000002</v>
      </c>
      <c r="H30" s="6">
        <v>1.1739999999999999</v>
      </c>
      <c r="I30" s="6">
        <v>8.0000000000000002E-3</v>
      </c>
      <c r="J30" s="6">
        <v>15.693</v>
      </c>
      <c r="K30" s="6">
        <v>0.45800000000000002</v>
      </c>
      <c r="L30" s="6">
        <v>51.826000000000001</v>
      </c>
      <c r="M30" s="6">
        <v>14.534000000000001</v>
      </c>
      <c r="N30" s="6">
        <v>0</v>
      </c>
      <c r="O30" s="6">
        <v>99.198999999999998</v>
      </c>
      <c r="P30" s="6"/>
      <c r="Q30" s="9">
        <f t="shared" si="0"/>
        <v>0.19959635326049133</v>
      </c>
      <c r="R30" s="9">
        <f t="shared" si="1"/>
        <v>0.36060042178389778</v>
      </c>
      <c r="S30" s="9">
        <f t="shared" si="2"/>
        <v>0.27984236242376687</v>
      </c>
      <c r="T30" s="9">
        <f t="shared" si="3"/>
        <v>64.370313762574654</v>
      </c>
      <c r="U30" s="9">
        <f t="shared" si="4"/>
        <v>23.760363578066933</v>
      </c>
      <c r="V30" s="9">
        <f t="shared" si="5"/>
        <v>33.313014827761535</v>
      </c>
      <c r="W30" s="9">
        <f t="shared" si="6"/>
        <v>42.926621594171536</v>
      </c>
      <c r="X30" s="9"/>
      <c r="Y30" s="6">
        <v>1.9599999999999999E-2</v>
      </c>
      <c r="Z30" s="6">
        <v>2.3E-3</v>
      </c>
      <c r="AA30" s="6">
        <v>1.8183</v>
      </c>
      <c r="AB30" s="6">
        <v>5.3900000000000003E-2</v>
      </c>
      <c r="AC30" s="6">
        <v>5.6300000000000003E-2</v>
      </c>
      <c r="AD30" s="6">
        <v>4.2799999999999998E-2</v>
      </c>
      <c r="AE30" s="6">
        <v>0.20979999999999999</v>
      </c>
      <c r="AF30" s="6">
        <v>1.6000000000000001E-3</v>
      </c>
      <c r="AG30" s="6">
        <v>2.5493999999999999</v>
      </c>
      <c r="AH30" s="6">
        <v>5.8799999999999998E-2</v>
      </c>
      <c r="AI30" s="6">
        <v>7.8577000000000004</v>
      </c>
      <c r="AJ30" s="6">
        <v>3.2850000000000001</v>
      </c>
      <c r="AK30" s="6">
        <v>0</v>
      </c>
      <c r="AL30" s="6">
        <v>15.955500000000001</v>
      </c>
      <c r="AM30" s="6"/>
      <c r="AN30" s="8">
        <v>10.704081632653061</v>
      </c>
    </row>
    <row r="31" spans="1:40" x14ac:dyDescent="0.25">
      <c r="A31" s="6" t="s">
        <v>182</v>
      </c>
      <c r="B31" s="6">
        <v>0.2</v>
      </c>
      <c r="C31" s="6">
        <v>7.9000000000000001E-2</v>
      </c>
      <c r="D31" s="6">
        <v>14.006</v>
      </c>
      <c r="E31" s="6">
        <v>0.41599999999999998</v>
      </c>
      <c r="F31" s="6">
        <v>0.157</v>
      </c>
      <c r="G31" s="6">
        <v>0.30299999999999999</v>
      </c>
      <c r="H31" s="6">
        <v>1.272</v>
      </c>
      <c r="I31" s="6">
        <v>2E-3</v>
      </c>
      <c r="J31" s="6">
        <v>15.638</v>
      </c>
      <c r="K31" s="6">
        <v>0.47199999999999998</v>
      </c>
      <c r="L31" s="6">
        <v>51.802999999999997</v>
      </c>
      <c r="M31" s="6">
        <v>14.704000000000001</v>
      </c>
      <c r="N31" s="6">
        <v>0.27300000000000002</v>
      </c>
      <c r="O31" s="6">
        <v>99.325000000000003</v>
      </c>
      <c r="P31" s="6"/>
      <c r="Q31" s="9">
        <f t="shared" si="0"/>
        <v>0.19494745632959845</v>
      </c>
      <c r="R31" s="9">
        <f t="shared" si="1"/>
        <v>0.3648182607616921</v>
      </c>
      <c r="S31" s="9">
        <f t="shared" si="2"/>
        <v>0.27886158564856089</v>
      </c>
      <c r="T31" s="9">
        <f t="shared" si="3"/>
        <v>65.173384082433003</v>
      </c>
      <c r="U31" s="9">
        <f t="shared" si="4"/>
        <v>23.246018307857625</v>
      </c>
      <c r="V31" s="9">
        <f t="shared" si="5"/>
        <v>33.252147257488687</v>
      </c>
      <c r="W31" s="9">
        <f t="shared" si="6"/>
        <v>43.501834434653688</v>
      </c>
      <c r="X31" s="9"/>
      <c r="Y31" s="6">
        <v>2.2700000000000001E-2</v>
      </c>
      <c r="Z31" s="6">
        <v>9.7000000000000003E-3</v>
      </c>
      <c r="AA31" s="6">
        <v>1.7735000000000001</v>
      </c>
      <c r="AB31" s="6">
        <v>4.9799999999999997E-2</v>
      </c>
      <c r="AC31" s="6">
        <v>4.5999999999999999E-2</v>
      </c>
      <c r="AD31" s="6">
        <v>3.8899999999999997E-2</v>
      </c>
      <c r="AE31" s="6">
        <v>0.22700000000000001</v>
      </c>
      <c r="AF31" s="6">
        <v>2.9999999999999997E-4</v>
      </c>
      <c r="AG31" s="6">
        <v>2.5369999999999999</v>
      </c>
      <c r="AH31" s="6">
        <v>6.0499999999999998E-2</v>
      </c>
      <c r="AI31" s="6">
        <v>7.8433000000000002</v>
      </c>
      <c r="AJ31" s="6">
        <v>3.3187000000000002</v>
      </c>
      <c r="AK31" s="6">
        <v>3.3099999999999997E-2</v>
      </c>
      <c r="AL31" s="6">
        <v>15.9605</v>
      </c>
      <c r="AM31" s="6"/>
      <c r="AN31" s="8">
        <v>10</v>
      </c>
    </row>
    <row r="32" spans="1:40" x14ac:dyDescent="0.25">
      <c r="A32" s="6" t="s">
        <v>132</v>
      </c>
      <c r="B32" s="6">
        <v>0.20599999999999999</v>
      </c>
      <c r="C32" s="6">
        <v>1.4E-2</v>
      </c>
      <c r="D32" s="6">
        <v>13.606</v>
      </c>
      <c r="E32" s="6">
        <v>0.45200000000000001</v>
      </c>
      <c r="F32" s="6">
        <v>0.23200000000000001</v>
      </c>
      <c r="G32" s="6">
        <v>0.373</v>
      </c>
      <c r="H32" s="6">
        <v>1.381</v>
      </c>
      <c r="I32" s="6">
        <v>1.7000000000000001E-2</v>
      </c>
      <c r="J32" s="6">
        <v>15.536</v>
      </c>
      <c r="K32" s="6">
        <v>0.42599999999999999</v>
      </c>
      <c r="L32" s="6">
        <v>51.478999999999999</v>
      </c>
      <c r="M32" s="6">
        <v>14.795999999999999</v>
      </c>
      <c r="N32" s="6">
        <v>2.7E-2</v>
      </c>
      <c r="O32" s="6">
        <v>98.545000000000002</v>
      </c>
      <c r="P32" s="6"/>
      <c r="Q32" s="9">
        <f t="shared" si="0"/>
        <v>0.18937991509499619</v>
      </c>
      <c r="R32" s="9">
        <f t="shared" si="1"/>
        <v>0.3671008559732043</v>
      </c>
      <c r="S32" s="9">
        <f t="shared" si="2"/>
        <v>0.27704269053817893</v>
      </c>
      <c r="T32" s="9">
        <f t="shared" si="3"/>
        <v>65.968291279594567</v>
      </c>
      <c r="U32" s="9">
        <f t="shared" si="4"/>
        <v>22.720406061518688</v>
      </c>
      <c r="V32" s="9">
        <f t="shared" si="5"/>
        <v>33.237539589378557</v>
      </c>
      <c r="W32" s="9">
        <f t="shared" si="6"/>
        <v>44.042054349102763</v>
      </c>
      <c r="X32" s="9"/>
      <c r="Y32" s="6">
        <v>2.3599999999999999E-2</v>
      </c>
      <c r="Z32" s="6">
        <v>1.8E-3</v>
      </c>
      <c r="AA32" s="6">
        <v>1.7313000000000001</v>
      </c>
      <c r="AB32" s="6">
        <v>5.4399999999999997E-2</v>
      </c>
      <c r="AC32" s="6">
        <v>6.8500000000000005E-2</v>
      </c>
      <c r="AD32" s="6">
        <v>4.8000000000000001E-2</v>
      </c>
      <c r="AE32" s="6">
        <v>0.24759999999999999</v>
      </c>
      <c r="AF32" s="6">
        <v>3.2000000000000002E-3</v>
      </c>
      <c r="AG32" s="6">
        <v>2.5327999999999999</v>
      </c>
      <c r="AH32" s="6">
        <v>5.4899999999999997E-2</v>
      </c>
      <c r="AI32" s="6">
        <v>7.8322000000000003</v>
      </c>
      <c r="AJ32" s="6">
        <v>3.3557000000000001</v>
      </c>
      <c r="AK32" s="6">
        <v>3.3E-3</v>
      </c>
      <c r="AL32" s="6">
        <v>15.9573</v>
      </c>
      <c r="AM32" s="6"/>
      <c r="AN32" s="8">
        <v>10.491525423728813</v>
      </c>
    </row>
    <row r="33" spans="1:40" x14ac:dyDescent="0.25">
      <c r="A33" s="6" t="s">
        <v>469</v>
      </c>
      <c r="B33" s="6">
        <v>0.22800000000000001</v>
      </c>
      <c r="C33" s="6">
        <v>2.5000000000000001E-2</v>
      </c>
      <c r="D33" s="6">
        <v>14.23</v>
      </c>
      <c r="E33" s="6">
        <v>0.48</v>
      </c>
      <c r="F33" s="6">
        <v>0.153</v>
      </c>
      <c r="G33" s="6">
        <v>0.35499999999999998</v>
      </c>
      <c r="H33" s="6">
        <v>1.256</v>
      </c>
      <c r="I33" s="6">
        <v>1.2999999999999999E-2</v>
      </c>
      <c r="J33" s="6">
        <v>15.943</v>
      </c>
      <c r="K33" s="6">
        <v>0.44900000000000001</v>
      </c>
      <c r="L33" s="6">
        <v>51.92</v>
      </c>
      <c r="M33" s="6">
        <v>15.066000000000001</v>
      </c>
      <c r="N33" s="6">
        <v>0.11</v>
      </c>
      <c r="O33" s="6">
        <v>100.22799999999999</v>
      </c>
      <c r="P33" s="6"/>
      <c r="Q33" s="9">
        <f t="shared" si="0"/>
        <v>0.19806527942097571</v>
      </c>
      <c r="R33" s="9">
        <f t="shared" si="1"/>
        <v>0.37379977670264236</v>
      </c>
      <c r="S33" s="9">
        <f t="shared" si="2"/>
        <v>0.28430043867470306</v>
      </c>
      <c r="T33" s="9">
        <f t="shared" si="3"/>
        <v>65.365031959889393</v>
      </c>
      <c r="U33" s="9">
        <f t="shared" si="4"/>
        <v>23.133994610192985</v>
      </c>
      <c r="V33" s="9">
        <f t="shared" si="5"/>
        <v>33.206248138004327</v>
      </c>
      <c r="W33" s="9">
        <f t="shared" si="6"/>
        <v>43.659757251802688</v>
      </c>
      <c r="X33" s="9"/>
      <c r="Y33" s="6">
        <v>2.5700000000000001E-2</v>
      </c>
      <c r="Z33" s="6">
        <v>3.0999999999999999E-3</v>
      </c>
      <c r="AA33" s="6">
        <v>1.7871999999999999</v>
      </c>
      <c r="AB33" s="6">
        <v>5.7000000000000002E-2</v>
      </c>
      <c r="AC33" s="6">
        <v>4.4600000000000001E-2</v>
      </c>
      <c r="AD33" s="6">
        <v>4.5199999999999997E-2</v>
      </c>
      <c r="AE33" s="6">
        <v>0.22239999999999999</v>
      </c>
      <c r="AF33" s="6">
        <v>2.3999999999999998E-3</v>
      </c>
      <c r="AG33" s="6">
        <v>2.5655000000000001</v>
      </c>
      <c r="AH33" s="6">
        <v>5.7099999999999998E-2</v>
      </c>
      <c r="AI33" s="6">
        <v>7.7971000000000004</v>
      </c>
      <c r="AJ33" s="6">
        <v>3.3727999999999998</v>
      </c>
      <c r="AK33" s="6">
        <v>1.32E-2</v>
      </c>
      <c r="AL33" s="6">
        <v>15.9933</v>
      </c>
      <c r="AM33" s="6"/>
      <c r="AN33" s="8">
        <v>8.6536964980544742</v>
      </c>
    </row>
    <row r="34" spans="1:40" x14ac:dyDescent="0.25">
      <c r="A34" s="6" t="s">
        <v>187</v>
      </c>
      <c r="B34" s="6">
        <v>0.222</v>
      </c>
      <c r="C34" s="6">
        <v>4.1000000000000002E-2</v>
      </c>
      <c r="D34" s="6">
        <v>14.752000000000001</v>
      </c>
      <c r="E34" s="6">
        <v>0.48899999999999999</v>
      </c>
      <c r="F34" s="6">
        <v>0.15</v>
      </c>
      <c r="G34" s="6">
        <v>0.30099999999999999</v>
      </c>
      <c r="H34" s="6">
        <v>1.502</v>
      </c>
      <c r="I34" s="6">
        <v>0.02</v>
      </c>
      <c r="J34" s="6">
        <v>15.760999999999999</v>
      </c>
      <c r="K34" s="6">
        <v>0.48299999999999998</v>
      </c>
      <c r="L34" s="6">
        <v>51.924999999999997</v>
      </c>
      <c r="M34" s="6">
        <v>14.523</v>
      </c>
      <c r="N34" s="6">
        <v>0.35799999999999998</v>
      </c>
      <c r="O34" s="6">
        <v>100.527</v>
      </c>
      <c r="P34" s="6"/>
      <c r="Q34" s="9">
        <f t="shared" si="0"/>
        <v>0.20533092073213169</v>
      </c>
      <c r="R34" s="9">
        <f t="shared" si="1"/>
        <v>0.36032750279121695</v>
      </c>
      <c r="S34" s="9">
        <f t="shared" si="2"/>
        <v>0.28105495916402151</v>
      </c>
      <c r="T34" s="9">
        <f t="shared" si="3"/>
        <v>63.700545736917455</v>
      </c>
      <c r="U34" s="9">
        <f t="shared" si="4"/>
        <v>24.250345504217158</v>
      </c>
      <c r="V34" s="9">
        <f t="shared" si="5"/>
        <v>33.193636112374371</v>
      </c>
      <c r="W34" s="9">
        <f t="shared" si="6"/>
        <v>42.556018383408464</v>
      </c>
      <c r="X34" s="9"/>
      <c r="Y34" s="6">
        <v>2.5100000000000001E-2</v>
      </c>
      <c r="Z34" s="6">
        <v>4.8999999999999998E-3</v>
      </c>
      <c r="AA34" s="6">
        <v>1.8528</v>
      </c>
      <c r="AB34" s="6">
        <v>5.8000000000000003E-2</v>
      </c>
      <c r="AC34" s="6">
        <v>4.3700000000000003E-2</v>
      </c>
      <c r="AD34" s="6">
        <v>3.8199999999999998E-2</v>
      </c>
      <c r="AE34" s="6">
        <v>0.26590000000000003</v>
      </c>
      <c r="AF34" s="6">
        <v>3.8E-3</v>
      </c>
      <c r="AG34" s="6">
        <v>2.536</v>
      </c>
      <c r="AH34" s="6">
        <v>6.1499999999999999E-2</v>
      </c>
      <c r="AI34" s="6">
        <v>7.7976000000000001</v>
      </c>
      <c r="AJ34" s="6">
        <v>3.2511000000000001</v>
      </c>
      <c r="AK34" s="6">
        <v>4.3099999999999999E-2</v>
      </c>
      <c r="AL34" s="6">
        <v>15.9817</v>
      </c>
      <c r="AM34" s="6"/>
      <c r="AN34" s="8">
        <v>10.593625498007968</v>
      </c>
    </row>
    <row r="35" spans="1:40" x14ac:dyDescent="0.25">
      <c r="A35" s="6" t="s">
        <v>470</v>
      </c>
      <c r="B35" s="6">
        <v>0.217</v>
      </c>
      <c r="C35" s="6">
        <v>1.7000000000000001E-2</v>
      </c>
      <c r="D35" s="6">
        <v>14.474</v>
      </c>
      <c r="E35" s="6">
        <v>0.51</v>
      </c>
      <c r="F35" s="6">
        <v>0.16700000000000001</v>
      </c>
      <c r="G35" s="6">
        <v>0.254</v>
      </c>
      <c r="H35" s="6">
        <v>1.248</v>
      </c>
      <c r="I35" s="6">
        <v>0</v>
      </c>
      <c r="J35" s="6">
        <v>15.863</v>
      </c>
      <c r="K35" s="6">
        <v>0.40899999999999997</v>
      </c>
      <c r="L35" s="6">
        <v>51.87</v>
      </c>
      <c r="M35" s="6">
        <v>14.843999999999999</v>
      </c>
      <c r="N35" s="6">
        <v>0.30199999999999999</v>
      </c>
      <c r="O35" s="6">
        <v>100.175</v>
      </c>
      <c r="P35" s="6"/>
      <c r="Q35" s="9">
        <f t="shared" si="0"/>
        <v>0.20146147957408311</v>
      </c>
      <c r="R35" s="9">
        <f t="shared" si="1"/>
        <v>0.36829177521399331</v>
      </c>
      <c r="S35" s="9">
        <f t="shared" si="2"/>
        <v>0.28287385427440348</v>
      </c>
      <c r="T35" s="9">
        <f t="shared" si="3"/>
        <v>64.64057416415848</v>
      </c>
      <c r="U35" s="9">
        <f t="shared" si="4"/>
        <v>23.628322092128101</v>
      </c>
      <c r="V35" s="9">
        <f t="shared" si="5"/>
        <v>33.17673708327689</v>
      </c>
      <c r="W35" s="9">
        <f t="shared" si="6"/>
        <v>43.194940824595001</v>
      </c>
      <c r="X35" s="9"/>
      <c r="Y35" s="6">
        <v>2.46E-2</v>
      </c>
      <c r="Z35" s="6">
        <v>2E-3</v>
      </c>
      <c r="AA35" s="6">
        <v>1.8225</v>
      </c>
      <c r="AB35" s="6">
        <v>6.08E-2</v>
      </c>
      <c r="AC35" s="6">
        <v>4.8599999999999997E-2</v>
      </c>
      <c r="AD35" s="6">
        <v>3.2399999999999998E-2</v>
      </c>
      <c r="AE35" s="6">
        <v>0.22140000000000001</v>
      </c>
      <c r="AF35" s="6">
        <v>0</v>
      </c>
      <c r="AG35" s="6">
        <v>2.5590000000000002</v>
      </c>
      <c r="AH35" s="6">
        <v>5.21E-2</v>
      </c>
      <c r="AI35" s="6">
        <v>7.8093000000000004</v>
      </c>
      <c r="AJ35" s="6">
        <v>3.3315999999999999</v>
      </c>
      <c r="AK35" s="6">
        <v>3.6400000000000002E-2</v>
      </c>
      <c r="AL35" s="6">
        <v>16.000699999999998</v>
      </c>
      <c r="AM35" s="6"/>
      <c r="AN35" s="8">
        <v>9</v>
      </c>
    </row>
    <row r="36" spans="1:40" x14ac:dyDescent="0.25">
      <c r="A36" s="6" t="s">
        <v>196</v>
      </c>
      <c r="B36" s="6">
        <v>0.158</v>
      </c>
      <c r="C36" s="6">
        <v>4.2000000000000003E-2</v>
      </c>
      <c r="D36" s="6">
        <v>14.404999999999999</v>
      </c>
      <c r="E36" s="6">
        <v>0.441</v>
      </c>
      <c r="F36" s="6">
        <v>0.14699999999999999</v>
      </c>
      <c r="G36" s="6">
        <v>0.30399999999999999</v>
      </c>
      <c r="H36" s="6">
        <v>1.149</v>
      </c>
      <c r="I36" s="6">
        <v>1.0999999999999999E-2</v>
      </c>
      <c r="J36" s="6">
        <v>15.686999999999999</v>
      </c>
      <c r="K36" s="6">
        <v>0.48</v>
      </c>
      <c r="L36" s="6">
        <v>51.567</v>
      </c>
      <c r="M36" s="6">
        <v>14.726000000000001</v>
      </c>
      <c r="N36" s="6">
        <v>0</v>
      </c>
      <c r="O36" s="6">
        <v>99.117000000000004</v>
      </c>
      <c r="P36" s="6"/>
      <c r="Q36" s="9">
        <f t="shared" si="0"/>
        <v>0.20050107871111419</v>
      </c>
      <c r="R36" s="9">
        <f t="shared" si="1"/>
        <v>0.36536409874705372</v>
      </c>
      <c r="S36" s="9">
        <f t="shared" si="2"/>
        <v>0.27973536859374443</v>
      </c>
      <c r="T36" s="9">
        <f t="shared" si="3"/>
        <v>64.567341003071988</v>
      </c>
      <c r="U36" s="9">
        <f t="shared" si="4"/>
        <v>23.711086711952671</v>
      </c>
      <c r="V36" s="9">
        <f t="shared" si="5"/>
        <v>33.081266314197862</v>
      </c>
      <c r="W36" s="9">
        <f t="shared" si="6"/>
        <v>43.207646973849478</v>
      </c>
      <c r="X36" s="9"/>
      <c r="Y36" s="6">
        <v>1.8100000000000002E-2</v>
      </c>
      <c r="Z36" s="6">
        <v>5.1000000000000004E-3</v>
      </c>
      <c r="AA36" s="6">
        <v>1.8303</v>
      </c>
      <c r="AB36" s="6">
        <v>5.2999999999999999E-2</v>
      </c>
      <c r="AC36" s="6">
        <v>4.3400000000000001E-2</v>
      </c>
      <c r="AD36" s="6">
        <v>3.9100000000000003E-2</v>
      </c>
      <c r="AE36" s="6">
        <v>0.20580000000000001</v>
      </c>
      <c r="AF36" s="6">
        <v>2.2000000000000001E-3</v>
      </c>
      <c r="AG36" s="6">
        <v>2.5537000000000001</v>
      </c>
      <c r="AH36" s="6">
        <v>6.1800000000000001E-2</v>
      </c>
      <c r="AI36" s="6">
        <v>7.8343999999999996</v>
      </c>
      <c r="AJ36" s="6">
        <v>3.3351999999999999</v>
      </c>
      <c r="AK36" s="6">
        <v>0</v>
      </c>
      <c r="AL36" s="6">
        <v>15.982100000000001</v>
      </c>
      <c r="AM36" s="6"/>
      <c r="AN36" s="8">
        <v>11.370165745856353</v>
      </c>
    </row>
    <row r="37" spans="1:40" x14ac:dyDescent="0.25">
      <c r="A37" s="6" t="s">
        <v>471</v>
      </c>
      <c r="B37" s="6">
        <v>0.186</v>
      </c>
      <c r="C37" s="6">
        <v>2.8000000000000001E-2</v>
      </c>
      <c r="D37" s="6">
        <v>14.151999999999999</v>
      </c>
      <c r="E37" s="6">
        <v>0.436</v>
      </c>
      <c r="F37" s="6">
        <v>0.14699999999999999</v>
      </c>
      <c r="G37" s="6">
        <v>0.28499999999999998</v>
      </c>
      <c r="H37" s="6">
        <v>1.272</v>
      </c>
      <c r="I37" s="6">
        <v>1.4E-2</v>
      </c>
      <c r="J37" s="6">
        <v>15.673</v>
      </c>
      <c r="K37" s="6">
        <v>0.441</v>
      </c>
      <c r="L37" s="6">
        <v>51.588000000000001</v>
      </c>
      <c r="M37" s="6">
        <v>14.865</v>
      </c>
      <c r="N37" s="6">
        <v>0.13700000000000001</v>
      </c>
      <c r="O37" s="6">
        <v>99.224000000000004</v>
      </c>
      <c r="P37" s="6"/>
      <c r="Q37" s="9">
        <f t="shared" ref="Q37:Q69" si="7">D37/(55.845+16)</f>
        <v>0.19697960888022825</v>
      </c>
      <c r="R37" s="9">
        <f t="shared" ref="R37:R69" si="8">M37/(24.305+16)</f>
        <v>0.3688128023818385</v>
      </c>
      <c r="S37" s="9">
        <f t="shared" ref="S37:S69" si="9">J37/(40.078+16)</f>
        <v>0.27948571632369201</v>
      </c>
      <c r="T37" s="9">
        <f t="shared" si="3"/>
        <v>65.185180119181524</v>
      </c>
      <c r="U37" s="9">
        <f t="shared" si="4"/>
        <v>23.303526076420734</v>
      </c>
      <c r="V37" s="9">
        <f t="shared" si="5"/>
        <v>33.064349733258233</v>
      </c>
      <c r="W37" s="9">
        <f t="shared" si="6"/>
        <v>43.632124190321022</v>
      </c>
      <c r="X37" s="9"/>
      <c r="Y37" s="6">
        <v>2.1299999999999999E-2</v>
      </c>
      <c r="Z37" s="6">
        <v>3.3999999999999998E-3</v>
      </c>
      <c r="AA37" s="6">
        <v>1.7947</v>
      </c>
      <c r="AB37" s="6">
        <v>5.2299999999999999E-2</v>
      </c>
      <c r="AC37" s="6">
        <v>4.3099999999999999E-2</v>
      </c>
      <c r="AD37" s="6">
        <v>3.6600000000000001E-2</v>
      </c>
      <c r="AE37" s="6">
        <v>0.22739999999999999</v>
      </c>
      <c r="AF37" s="6">
        <v>2.7000000000000001E-3</v>
      </c>
      <c r="AG37" s="6">
        <v>2.5466000000000002</v>
      </c>
      <c r="AH37" s="6">
        <v>5.67E-2</v>
      </c>
      <c r="AI37" s="6">
        <v>7.8227000000000002</v>
      </c>
      <c r="AJ37" s="6">
        <v>3.3601000000000001</v>
      </c>
      <c r="AK37" s="6">
        <v>1.67E-2</v>
      </c>
      <c r="AL37" s="6">
        <v>15.984299999999999</v>
      </c>
      <c r="AM37" s="6"/>
      <c r="AN37" s="8">
        <v>10.676056338028168</v>
      </c>
    </row>
    <row r="38" spans="1:40" x14ac:dyDescent="0.25">
      <c r="A38" s="6" t="s">
        <v>485</v>
      </c>
      <c r="B38" s="6">
        <v>0.193</v>
      </c>
      <c r="C38" s="6">
        <v>0</v>
      </c>
      <c r="D38" s="6">
        <v>13.885</v>
      </c>
      <c r="E38" s="6">
        <v>0.47099999999999997</v>
      </c>
      <c r="F38" s="6">
        <v>0.16700000000000001</v>
      </c>
      <c r="G38" s="6">
        <v>0.251</v>
      </c>
      <c r="H38" s="6">
        <v>1.149</v>
      </c>
      <c r="I38" s="6">
        <v>0</v>
      </c>
      <c r="J38" s="6">
        <v>15.722</v>
      </c>
      <c r="K38" s="6">
        <v>0.438</v>
      </c>
      <c r="L38" s="6">
        <v>52.076999999999998</v>
      </c>
      <c r="M38" s="6">
        <v>15.119</v>
      </c>
      <c r="N38" s="6">
        <v>0.245</v>
      </c>
      <c r="O38" s="6">
        <v>99.716999999999999</v>
      </c>
      <c r="P38" s="6"/>
      <c r="Q38" s="9">
        <f t="shared" si="7"/>
        <v>0.19326327510613125</v>
      </c>
      <c r="R38" s="9">
        <f t="shared" si="8"/>
        <v>0.37511475003101352</v>
      </c>
      <c r="S38" s="9">
        <f t="shared" si="9"/>
        <v>0.28035949926887549</v>
      </c>
      <c r="T38" s="9">
        <f t="shared" si="3"/>
        <v>65.99740550147088</v>
      </c>
      <c r="U38" s="9">
        <f t="shared" si="4"/>
        <v>22.770676392726301</v>
      </c>
      <c r="V38" s="9">
        <f t="shared" si="5"/>
        <v>33.032532580090887</v>
      </c>
      <c r="W38" s="9">
        <f t="shared" si="6"/>
        <v>44.196791027182819</v>
      </c>
      <c r="X38" s="9"/>
      <c r="Y38" s="6">
        <v>2.18E-2</v>
      </c>
      <c r="Z38" s="6">
        <v>0</v>
      </c>
      <c r="AA38" s="6">
        <v>1.7496</v>
      </c>
      <c r="AB38" s="6">
        <v>5.6099999999999997E-2</v>
      </c>
      <c r="AC38" s="6">
        <v>4.87E-2</v>
      </c>
      <c r="AD38" s="6">
        <v>3.2099999999999997E-2</v>
      </c>
      <c r="AE38" s="6">
        <v>0.2041</v>
      </c>
      <c r="AF38" s="6">
        <v>0</v>
      </c>
      <c r="AG38" s="6">
        <v>2.5381999999999998</v>
      </c>
      <c r="AH38" s="6">
        <v>5.6000000000000001E-2</v>
      </c>
      <c r="AI38" s="6">
        <v>7.8461999999999996</v>
      </c>
      <c r="AJ38" s="6">
        <v>3.3957999999999999</v>
      </c>
      <c r="AK38" s="6">
        <v>2.9600000000000001E-2</v>
      </c>
      <c r="AL38" s="6">
        <v>15.978199999999999</v>
      </c>
      <c r="AM38" s="6"/>
      <c r="AN38" s="8">
        <v>9.362385321100918</v>
      </c>
    </row>
    <row r="39" spans="1:40" x14ac:dyDescent="0.25">
      <c r="A39" s="6" t="s">
        <v>211</v>
      </c>
      <c r="B39" s="6">
        <v>0.20100000000000001</v>
      </c>
      <c r="C39" s="6">
        <v>1.7000000000000001E-2</v>
      </c>
      <c r="D39" s="6">
        <v>14.013</v>
      </c>
      <c r="E39" s="6">
        <v>0.42199999999999999</v>
      </c>
      <c r="F39" s="6">
        <v>0.14399999999999999</v>
      </c>
      <c r="G39" s="6">
        <v>0.36599999999999999</v>
      </c>
      <c r="H39" s="6">
        <v>1.282</v>
      </c>
      <c r="I39" s="6">
        <v>6.0000000000000001E-3</v>
      </c>
      <c r="J39" s="6">
        <v>15.635</v>
      </c>
      <c r="K39" s="6">
        <v>0.43</v>
      </c>
      <c r="L39" s="6">
        <v>51.85</v>
      </c>
      <c r="M39" s="6">
        <v>14.927</v>
      </c>
      <c r="N39" s="6">
        <v>0.40899999999999997</v>
      </c>
      <c r="O39" s="6">
        <v>99.701999999999998</v>
      </c>
      <c r="P39" s="6"/>
      <c r="Q39" s="9">
        <f t="shared" si="7"/>
        <v>0.19504488830120398</v>
      </c>
      <c r="R39" s="9">
        <f t="shared" si="8"/>
        <v>0.37035107306785758</v>
      </c>
      <c r="S39" s="9">
        <f t="shared" si="9"/>
        <v>0.27880808873354967</v>
      </c>
      <c r="T39" s="9">
        <f t="shared" si="3"/>
        <v>65.502956931471843</v>
      </c>
      <c r="U39" s="9">
        <f t="shared" si="4"/>
        <v>23.103998171709396</v>
      </c>
      <c r="V39" s="9">
        <f t="shared" si="5"/>
        <v>33.026149151933247</v>
      </c>
      <c r="W39" s="9">
        <f t="shared" si="6"/>
        <v>43.869852676357354</v>
      </c>
      <c r="X39" s="9"/>
      <c r="Y39" s="6">
        <v>2.2800000000000001E-2</v>
      </c>
      <c r="Z39" s="6">
        <v>2E-3</v>
      </c>
      <c r="AA39" s="6">
        <v>1.7677</v>
      </c>
      <c r="AB39" s="6">
        <v>5.0299999999999997E-2</v>
      </c>
      <c r="AC39" s="6">
        <v>4.2000000000000003E-2</v>
      </c>
      <c r="AD39" s="6">
        <v>4.6699999999999998E-2</v>
      </c>
      <c r="AE39" s="6">
        <v>0.22789999999999999</v>
      </c>
      <c r="AF39" s="6">
        <v>1.1999999999999999E-3</v>
      </c>
      <c r="AG39" s="6">
        <v>2.5268999999999999</v>
      </c>
      <c r="AH39" s="6">
        <v>5.5E-2</v>
      </c>
      <c r="AI39" s="6">
        <v>7.8207000000000004</v>
      </c>
      <c r="AJ39" s="6">
        <v>3.3563999999999998</v>
      </c>
      <c r="AK39" s="6">
        <v>4.9500000000000002E-2</v>
      </c>
      <c r="AL39" s="6">
        <v>15.969099999999999</v>
      </c>
      <c r="AM39" s="6"/>
      <c r="AN39" s="8">
        <v>9.9956140350877192</v>
      </c>
    </row>
    <row r="40" spans="1:40" x14ac:dyDescent="0.25">
      <c r="A40" s="6" t="s">
        <v>241</v>
      </c>
      <c r="B40" s="6">
        <v>0.2</v>
      </c>
      <c r="C40" s="6">
        <v>0</v>
      </c>
      <c r="D40" s="6">
        <v>14.256</v>
      </c>
      <c r="E40" s="6">
        <v>0.45600000000000002</v>
      </c>
      <c r="F40" s="6">
        <v>0.184</v>
      </c>
      <c r="G40" s="6">
        <v>0.22900000000000001</v>
      </c>
      <c r="H40" s="6">
        <v>1.417</v>
      </c>
      <c r="I40" s="6">
        <v>1.4999999999999999E-2</v>
      </c>
      <c r="J40" s="6">
        <v>15.516999999999999</v>
      </c>
      <c r="K40" s="6">
        <v>0.44</v>
      </c>
      <c r="L40" s="6">
        <v>51.752000000000002</v>
      </c>
      <c r="M40" s="6">
        <v>14.731</v>
      </c>
      <c r="N40" s="6">
        <v>0</v>
      </c>
      <c r="O40" s="6">
        <v>99.197000000000003</v>
      </c>
      <c r="P40" s="6"/>
      <c r="Q40" s="9">
        <f t="shared" si="7"/>
        <v>0.19842716960122486</v>
      </c>
      <c r="R40" s="9">
        <f t="shared" si="8"/>
        <v>0.36548815283463593</v>
      </c>
      <c r="S40" s="9">
        <f t="shared" si="9"/>
        <v>0.27670387674310781</v>
      </c>
      <c r="T40" s="9">
        <f t="shared" si="3"/>
        <v>64.812594780345975</v>
      </c>
      <c r="U40" s="9">
        <f t="shared" si="4"/>
        <v>23.604881948333841</v>
      </c>
      <c r="V40" s="9">
        <f t="shared" si="5"/>
        <v>32.916673448972375</v>
      </c>
      <c r="W40" s="9">
        <f t="shared" si="6"/>
        <v>43.47844460269377</v>
      </c>
      <c r="X40" s="9"/>
      <c r="Y40" s="6">
        <v>2.2800000000000001E-2</v>
      </c>
      <c r="Z40" s="6">
        <v>0</v>
      </c>
      <c r="AA40" s="6">
        <v>1.8064</v>
      </c>
      <c r="AB40" s="6">
        <v>5.4699999999999999E-2</v>
      </c>
      <c r="AC40" s="6">
        <v>5.4100000000000002E-2</v>
      </c>
      <c r="AD40" s="6">
        <v>2.9399999999999999E-2</v>
      </c>
      <c r="AE40" s="6">
        <v>0.253</v>
      </c>
      <c r="AF40" s="6">
        <v>2.8E-3</v>
      </c>
      <c r="AG40" s="6">
        <v>2.5190000000000001</v>
      </c>
      <c r="AH40" s="6">
        <v>5.6500000000000002E-2</v>
      </c>
      <c r="AI40" s="6">
        <v>7.8410000000000002</v>
      </c>
      <c r="AJ40" s="6">
        <v>3.3271000000000002</v>
      </c>
      <c r="AK40" s="6">
        <v>0</v>
      </c>
      <c r="AL40" s="6">
        <v>15.966799999999999</v>
      </c>
      <c r="AM40" s="6"/>
      <c r="AN40" s="8">
        <v>11.096491228070175</v>
      </c>
    </row>
    <row r="41" spans="1:40" x14ac:dyDescent="0.25">
      <c r="A41" s="6" t="s">
        <v>236</v>
      </c>
      <c r="B41" s="6">
        <v>0.22900000000000001</v>
      </c>
      <c r="C41" s="6">
        <v>0</v>
      </c>
      <c r="D41" s="6">
        <v>14.746</v>
      </c>
      <c r="E41" s="6">
        <v>0.46800000000000003</v>
      </c>
      <c r="F41" s="6">
        <v>0.152</v>
      </c>
      <c r="G41" s="6">
        <v>0.23200000000000001</v>
      </c>
      <c r="H41" s="6">
        <v>1.4330000000000001</v>
      </c>
      <c r="I41" s="6">
        <v>6.0000000000000001E-3</v>
      </c>
      <c r="J41" s="6">
        <v>15.398999999999999</v>
      </c>
      <c r="K41" s="6">
        <v>0.41699999999999998</v>
      </c>
      <c r="L41" s="6">
        <v>51.578000000000003</v>
      </c>
      <c r="M41" s="6">
        <v>14.39</v>
      </c>
      <c r="N41" s="6">
        <v>0.247</v>
      </c>
      <c r="O41" s="6">
        <v>99.296999999999997</v>
      </c>
      <c r="P41" s="6"/>
      <c r="Q41" s="9">
        <f t="shared" si="7"/>
        <v>0.20524740761361265</v>
      </c>
      <c r="R41" s="9">
        <f t="shared" si="8"/>
        <v>0.35702766406153086</v>
      </c>
      <c r="S41" s="9">
        <f t="shared" si="9"/>
        <v>0.2745996647526659</v>
      </c>
      <c r="T41" s="9">
        <f t="shared" si="3"/>
        <v>63.496975421276538</v>
      </c>
      <c r="U41" s="9">
        <f t="shared" si="4"/>
        <v>24.525463451042739</v>
      </c>
      <c r="V41" s="9">
        <f t="shared" si="5"/>
        <v>32.812516951436663</v>
      </c>
      <c r="W41" s="9">
        <f t="shared" si="6"/>
        <v>42.662019597520597</v>
      </c>
      <c r="X41" s="9"/>
      <c r="Y41" s="6">
        <v>2.6200000000000001E-2</v>
      </c>
      <c r="Z41" s="6">
        <v>0</v>
      </c>
      <c r="AA41" s="6">
        <v>1.8724000000000001</v>
      </c>
      <c r="AB41" s="6">
        <v>5.62E-2</v>
      </c>
      <c r="AC41" s="6">
        <v>4.4699999999999997E-2</v>
      </c>
      <c r="AD41" s="6">
        <v>2.9899999999999999E-2</v>
      </c>
      <c r="AE41" s="6">
        <v>0.25650000000000001</v>
      </c>
      <c r="AF41" s="6">
        <v>1.1000000000000001E-3</v>
      </c>
      <c r="AG41" s="6">
        <v>2.5053000000000001</v>
      </c>
      <c r="AH41" s="6">
        <v>5.3600000000000002E-2</v>
      </c>
      <c r="AI41" s="6">
        <v>7.8312999999999997</v>
      </c>
      <c r="AJ41" s="6">
        <v>3.2570999999999999</v>
      </c>
      <c r="AK41" s="6">
        <v>0.03</v>
      </c>
      <c r="AL41" s="6">
        <v>15.9643</v>
      </c>
      <c r="AM41" s="6"/>
      <c r="AN41" s="8">
        <v>9.7900763358778633</v>
      </c>
    </row>
    <row r="42" spans="1:40" x14ac:dyDescent="0.25">
      <c r="A42" s="6" t="s">
        <v>125</v>
      </c>
      <c r="B42" s="6">
        <v>0.192</v>
      </c>
      <c r="C42" s="6">
        <v>6.0000000000000001E-3</v>
      </c>
      <c r="D42" s="6">
        <v>13.948</v>
      </c>
      <c r="E42" s="6">
        <v>0.441</v>
      </c>
      <c r="F42" s="6">
        <v>0.16</v>
      </c>
      <c r="G42" s="6">
        <v>0.24</v>
      </c>
      <c r="H42" s="6">
        <v>1.2130000000000001</v>
      </c>
      <c r="I42" s="6">
        <v>1E-3</v>
      </c>
      <c r="J42" s="6">
        <v>15.205</v>
      </c>
      <c r="K42" s="6">
        <v>0.44</v>
      </c>
      <c r="L42" s="6">
        <v>51.52</v>
      </c>
      <c r="M42" s="6">
        <v>15.308999999999999</v>
      </c>
      <c r="N42" s="6">
        <v>0.245</v>
      </c>
      <c r="O42" s="6">
        <v>98.92</v>
      </c>
      <c r="P42" s="6"/>
      <c r="Q42" s="9">
        <f t="shared" si="7"/>
        <v>0.19414016285058111</v>
      </c>
      <c r="R42" s="9">
        <f t="shared" si="8"/>
        <v>0.37982880535913655</v>
      </c>
      <c r="S42" s="9">
        <f t="shared" si="9"/>
        <v>0.27114019758193941</v>
      </c>
      <c r="T42" s="9">
        <f t="shared" si="3"/>
        <v>66.175843363774703</v>
      </c>
      <c r="U42" s="9">
        <f t="shared" si="4"/>
        <v>22.972199416239921</v>
      </c>
      <c r="V42" s="9">
        <f t="shared" si="5"/>
        <v>32.083452476574251</v>
      </c>
      <c r="W42" s="9">
        <f t="shared" si="6"/>
        <v>44.944348107185824</v>
      </c>
      <c r="X42" s="9"/>
      <c r="Y42" s="6">
        <v>2.1999999999999999E-2</v>
      </c>
      <c r="Z42" s="6">
        <v>6.9999999999999999E-4</v>
      </c>
      <c r="AA42" s="6">
        <v>1.7718</v>
      </c>
      <c r="AB42" s="6">
        <v>5.2999999999999999E-2</v>
      </c>
      <c r="AC42" s="6">
        <v>4.7100000000000003E-2</v>
      </c>
      <c r="AD42" s="6">
        <v>3.0800000000000001E-2</v>
      </c>
      <c r="AE42" s="6">
        <v>0.2172</v>
      </c>
      <c r="AF42" s="6">
        <v>2.9999999999999997E-4</v>
      </c>
      <c r="AG42" s="6">
        <v>2.4746000000000001</v>
      </c>
      <c r="AH42" s="6">
        <v>5.6599999999999998E-2</v>
      </c>
      <c r="AI42" s="6">
        <v>7.8251999999999997</v>
      </c>
      <c r="AJ42" s="6">
        <v>3.4661</v>
      </c>
      <c r="AK42" s="6">
        <v>2.98E-2</v>
      </c>
      <c r="AL42" s="6">
        <v>15.995200000000001</v>
      </c>
      <c r="AM42" s="6"/>
      <c r="AN42" s="8">
        <v>9.872727272727273</v>
      </c>
    </row>
    <row r="43" spans="1:40" x14ac:dyDescent="0.25">
      <c r="A43" s="6" t="s">
        <v>472</v>
      </c>
      <c r="B43" s="6">
        <v>0.191</v>
      </c>
      <c r="C43" s="6">
        <v>0</v>
      </c>
      <c r="D43" s="6">
        <v>14.605</v>
      </c>
      <c r="E43" s="6">
        <v>0.42599999999999999</v>
      </c>
      <c r="F43" s="6">
        <v>0.19800000000000001</v>
      </c>
      <c r="G43" s="6">
        <v>0.27800000000000002</v>
      </c>
      <c r="H43" s="6">
        <v>1.1719999999999999</v>
      </c>
      <c r="I43" s="6">
        <v>0</v>
      </c>
      <c r="J43" s="6">
        <v>15.164</v>
      </c>
      <c r="K43" s="6">
        <v>0.45200000000000001</v>
      </c>
      <c r="L43" s="6">
        <v>51.81</v>
      </c>
      <c r="M43" s="6">
        <v>14.943</v>
      </c>
      <c r="N43" s="6">
        <v>0</v>
      </c>
      <c r="O43" s="6">
        <v>99.239000000000004</v>
      </c>
      <c r="P43" s="6"/>
      <c r="Q43" s="9">
        <f t="shared" si="7"/>
        <v>0.20328484932841534</v>
      </c>
      <c r="R43" s="9">
        <f t="shared" si="8"/>
        <v>0.37074804614812057</v>
      </c>
      <c r="S43" s="9">
        <f t="shared" si="9"/>
        <v>0.27040907307678591</v>
      </c>
      <c r="T43" s="9">
        <f t="shared" si="3"/>
        <v>64.586550539118932</v>
      </c>
      <c r="U43" s="9">
        <f t="shared" si="4"/>
        <v>24.073276423799516</v>
      </c>
      <c r="V43" s="9">
        <f t="shared" si="5"/>
        <v>32.022220963276425</v>
      </c>
      <c r="W43" s="9">
        <f t="shared" si="6"/>
        <v>43.90450261292407</v>
      </c>
      <c r="X43" s="9"/>
      <c r="Y43" s="6">
        <v>2.1700000000000001E-2</v>
      </c>
      <c r="Z43" s="6">
        <v>0</v>
      </c>
      <c r="AA43" s="6">
        <v>1.8509</v>
      </c>
      <c r="AB43" s="6">
        <v>5.0999999999999997E-2</v>
      </c>
      <c r="AC43" s="6">
        <v>5.8299999999999998E-2</v>
      </c>
      <c r="AD43" s="6">
        <v>3.56E-2</v>
      </c>
      <c r="AE43" s="6">
        <v>0.2094</v>
      </c>
      <c r="AF43" s="6">
        <v>0</v>
      </c>
      <c r="AG43" s="6">
        <v>2.4622000000000002</v>
      </c>
      <c r="AH43" s="6">
        <v>5.8000000000000003E-2</v>
      </c>
      <c r="AI43" s="6">
        <v>7.8506999999999998</v>
      </c>
      <c r="AJ43" s="6">
        <v>3.3754</v>
      </c>
      <c r="AK43" s="6">
        <v>0</v>
      </c>
      <c r="AL43" s="6">
        <v>15.9732</v>
      </c>
      <c r="AM43" s="6"/>
      <c r="AN43" s="8">
        <v>9.6497695852534555</v>
      </c>
    </row>
    <row r="44" spans="1:40" x14ac:dyDescent="0.25">
      <c r="A44" s="6" t="s">
        <v>61</v>
      </c>
      <c r="B44" s="6">
        <v>0.18099999999999999</v>
      </c>
      <c r="C44" s="6">
        <v>0</v>
      </c>
      <c r="D44" s="6">
        <v>13.862</v>
      </c>
      <c r="E44" s="6">
        <v>0.495</v>
      </c>
      <c r="F44" s="6">
        <v>0.17100000000000001</v>
      </c>
      <c r="G44" s="6">
        <v>0.30299999999999999</v>
      </c>
      <c r="H44" s="6">
        <v>1.3009999999999999</v>
      </c>
      <c r="I44" s="6">
        <v>1.0999999999999999E-2</v>
      </c>
      <c r="J44" s="6">
        <v>14.946</v>
      </c>
      <c r="K44" s="6">
        <v>0.432</v>
      </c>
      <c r="L44" s="6">
        <v>51.71</v>
      </c>
      <c r="M44" s="6">
        <v>15.259</v>
      </c>
      <c r="N44" s="6">
        <v>0</v>
      </c>
      <c r="O44" s="6">
        <v>98.671000000000006</v>
      </c>
      <c r="P44" s="6"/>
      <c r="Q44" s="9">
        <f t="shared" si="7"/>
        <v>0.19294314148514163</v>
      </c>
      <c r="R44" s="9">
        <f t="shared" si="8"/>
        <v>0.37858826448331473</v>
      </c>
      <c r="S44" s="9">
        <f t="shared" si="9"/>
        <v>0.2665216305859695</v>
      </c>
      <c r="T44" s="9">
        <f t="shared" si="3"/>
        <v>66.241025520163547</v>
      </c>
      <c r="U44" s="9">
        <f t="shared" si="4"/>
        <v>23.022784128127345</v>
      </c>
      <c r="V44" s="9">
        <f t="shared" si="5"/>
        <v>31.80247776223656</v>
      </c>
      <c r="W44" s="9">
        <f t="shared" si="6"/>
        <v>45.174738109636095</v>
      </c>
      <c r="X44" s="9"/>
      <c r="Y44" s="6">
        <v>2.07E-2</v>
      </c>
      <c r="Z44" s="6">
        <v>0</v>
      </c>
      <c r="AA44" s="6">
        <v>1.7597</v>
      </c>
      <c r="AB44" s="6">
        <v>5.9400000000000001E-2</v>
      </c>
      <c r="AC44" s="6">
        <v>5.04E-2</v>
      </c>
      <c r="AD44" s="6">
        <v>3.8899999999999997E-2</v>
      </c>
      <c r="AE44" s="6">
        <v>0.23269999999999999</v>
      </c>
      <c r="AF44" s="6">
        <v>2.2000000000000001E-3</v>
      </c>
      <c r="AG44" s="6">
        <v>2.4308000000000001</v>
      </c>
      <c r="AH44" s="6">
        <v>5.5599999999999997E-2</v>
      </c>
      <c r="AI44" s="6">
        <v>7.8491</v>
      </c>
      <c r="AJ44" s="6">
        <v>3.4527000000000001</v>
      </c>
      <c r="AK44" s="6">
        <v>0</v>
      </c>
      <c r="AL44" s="6">
        <v>15.952199999999999</v>
      </c>
      <c r="AM44" s="6"/>
      <c r="AN44" s="8">
        <v>11.241545893719806</v>
      </c>
    </row>
    <row r="45" spans="1:40" x14ac:dyDescent="0.25">
      <c r="A45" s="6" t="s">
        <v>473</v>
      </c>
      <c r="B45" s="6">
        <v>0.214</v>
      </c>
      <c r="C45" s="6">
        <v>1E-3</v>
      </c>
      <c r="D45" s="6">
        <v>14.106</v>
      </c>
      <c r="E45" s="6">
        <v>0.58599999999999997</v>
      </c>
      <c r="F45" s="6">
        <v>0.159</v>
      </c>
      <c r="G45" s="6">
        <v>0.22900000000000001</v>
      </c>
      <c r="H45" s="6">
        <v>1.3759999999999999</v>
      </c>
      <c r="I45" s="6">
        <v>0</v>
      </c>
      <c r="J45" s="6">
        <v>15.004</v>
      </c>
      <c r="K45" s="6">
        <v>0.48199999999999998</v>
      </c>
      <c r="L45" s="6">
        <v>51.768000000000001</v>
      </c>
      <c r="M45" s="6">
        <v>15.382999999999999</v>
      </c>
      <c r="N45" s="6">
        <v>0</v>
      </c>
      <c r="O45" s="6">
        <v>99.308000000000007</v>
      </c>
      <c r="P45" s="6"/>
      <c r="Q45" s="9">
        <f t="shared" si="7"/>
        <v>0.19633934163824901</v>
      </c>
      <c r="R45" s="9">
        <f t="shared" si="8"/>
        <v>0.3816648058553529</v>
      </c>
      <c r="S45" s="9">
        <f t="shared" si="9"/>
        <v>0.2675559042761867</v>
      </c>
      <c r="T45" s="9">
        <f t="shared" si="3"/>
        <v>66.031499516113357</v>
      </c>
      <c r="U45" s="9">
        <f t="shared" si="4"/>
        <v>23.220035197654322</v>
      </c>
      <c r="V45" s="9">
        <f t="shared" si="5"/>
        <v>31.642448542381139</v>
      </c>
      <c r="W45" s="9">
        <f t="shared" si="6"/>
        <v>45.137516259964542</v>
      </c>
      <c r="X45" s="9"/>
      <c r="Y45" s="6">
        <v>2.4299999999999999E-2</v>
      </c>
      <c r="Z45" s="6">
        <v>1E-4</v>
      </c>
      <c r="AA45" s="6">
        <v>1.7825</v>
      </c>
      <c r="AB45" s="6">
        <v>7.0000000000000007E-2</v>
      </c>
      <c r="AC45" s="6">
        <v>4.6699999999999998E-2</v>
      </c>
      <c r="AD45" s="6">
        <v>2.9399999999999999E-2</v>
      </c>
      <c r="AE45" s="6">
        <v>0.24510000000000001</v>
      </c>
      <c r="AF45" s="6">
        <v>0</v>
      </c>
      <c r="AG45" s="6">
        <v>2.4291</v>
      </c>
      <c r="AH45" s="6">
        <v>6.1600000000000002E-2</v>
      </c>
      <c r="AI45" s="6">
        <v>7.8219000000000003</v>
      </c>
      <c r="AJ45" s="6">
        <v>3.4647000000000001</v>
      </c>
      <c r="AK45" s="6">
        <v>0</v>
      </c>
      <c r="AL45" s="6">
        <v>15.9754</v>
      </c>
      <c r="AM45" s="6"/>
      <c r="AN45" s="8">
        <v>10.086419753086421</v>
      </c>
    </row>
    <row r="46" spans="1:40" x14ac:dyDescent="0.25">
      <c r="A46" s="6" t="s">
        <v>63</v>
      </c>
      <c r="B46" s="6">
        <v>0.21</v>
      </c>
      <c r="C46" s="6">
        <v>7.0999999999999994E-2</v>
      </c>
      <c r="D46" s="6">
        <v>14.326000000000001</v>
      </c>
      <c r="E46" s="6">
        <v>0.59099999999999997</v>
      </c>
      <c r="F46" s="6">
        <v>0.16900000000000001</v>
      </c>
      <c r="G46" s="6">
        <v>0.32</v>
      </c>
      <c r="H46" s="6">
        <v>1.109</v>
      </c>
      <c r="I46" s="6">
        <v>0</v>
      </c>
      <c r="J46" s="6">
        <v>14.92</v>
      </c>
      <c r="K46" s="6">
        <v>0.44900000000000001</v>
      </c>
      <c r="L46" s="6">
        <v>51.719000000000001</v>
      </c>
      <c r="M46" s="6">
        <v>15.343</v>
      </c>
      <c r="N46" s="6">
        <v>0</v>
      </c>
      <c r="O46" s="6">
        <v>99.227000000000004</v>
      </c>
      <c r="P46" s="6"/>
      <c r="Q46" s="9">
        <f t="shared" si="7"/>
        <v>0.19940148931728027</v>
      </c>
      <c r="R46" s="9">
        <f t="shared" si="8"/>
        <v>0.38067237315469543</v>
      </c>
      <c r="S46" s="9">
        <f t="shared" si="9"/>
        <v>0.26605799065587216</v>
      </c>
      <c r="T46" s="9">
        <f t="shared" si="3"/>
        <v>65.624810525415867</v>
      </c>
      <c r="U46" s="9">
        <f t="shared" si="4"/>
        <v>23.56624308376573</v>
      </c>
      <c r="V46" s="9">
        <f t="shared" si="5"/>
        <v>31.444034363243812</v>
      </c>
      <c r="W46" s="9">
        <f t="shared" si="6"/>
        <v>44.98972255299045</v>
      </c>
      <c r="X46" s="9"/>
      <c r="Y46" s="6">
        <v>2.3900000000000001E-2</v>
      </c>
      <c r="Z46" s="6">
        <v>8.6999999999999994E-3</v>
      </c>
      <c r="AA46" s="6">
        <v>1.8138000000000001</v>
      </c>
      <c r="AB46" s="6">
        <v>7.0699999999999999E-2</v>
      </c>
      <c r="AC46" s="6">
        <v>4.9599999999999998E-2</v>
      </c>
      <c r="AD46" s="6">
        <v>4.1099999999999998E-2</v>
      </c>
      <c r="AE46" s="6">
        <v>0.19789999999999999</v>
      </c>
      <c r="AF46" s="6">
        <v>0</v>
      </c>
      <c r="AG46" s="6">
        <v>2.4201999999999999</v>
      </c>
      <c r="AH46" s="6">
        <v>5.7599999999999998E-2</v>
      </c>
      <c r="AI46" s="6">
        <v>7.8296000000000001</v>
      </c>
      <c r="AJ46" s="6">
        <v>3.4624000000000001</v>
      </c>
      <c r="AK46" s="6">
        <v>0</v>
      </c>
      <c r="AL46" s="6">
        <v>15.9755</v>
      </c>
      <c r="AM46" s="6"/>
      <c r="AN46" s="8">
        <v>8.2803347280334716</v>
      </c>
    </row>
    <row r="47" spans="1:40" x14ac:dyDescent="0.25">
      <c r="A47" s="6" t="s">
        <v>177</v>
      </c>
      <c r="B47" s="6">
        <v>0.188</v>
      </c>
      <c r="C47" s="6">
        <v>2.9000000000000001E-2</v>
      </c>
      <c r="D47" s="6">
        <v>14.244</v>
      </c>
      <c r="E47" s="6">
        <v>0.52200000000000002</v>
      </c>
      <c r="F47" s="6">
        <v>0.184</v>
      </c>
      <c r="G47" s="6">
        <v>0.28199999999999997</v>
      </c>
      <c r="H47" s="6">
        <v>1.056</v>
      </c>
      <c r="I47" s="6">
        <v>8.0000000000000002E-3</v>
      </c>
      <c r="J47" s="6">
        <v>14.917999999999999</v>
      </c>
      <c r="K47" s="6">
        <v>0.42099999999999999</v>
      </c>
      <c r="L47" s="6">
        <v>51.926000000000002</v>
      </c>
      <c r="M47" s="6">
        <v>15.398999999999999</v>
      </c>
      <c r="N47" s="6">
        <v>0</v>
      </c>
      <c r="O47" s="6">
        <v>99.177000000000007</v>
      </c>
      <c r="P47" s="6"/>
      <c r="Q47" s="9">
        <f t="shared" si="7"/>
        <v>0.19826014336418679</v>
      </c>
      <c r="R47" s="9">
        <f t="shared" si="8"/>
        <v>0.38206177893561594</v>
      </c>
      <c r="S47" s="9">
        <f t="shared" si="9"/>
        <v>0.26602232604586468</v>
      </c>
      <c r="T47" s="9">
        <f t="shared" si="3"/>
        <v>65.836178895588446</v>
      </c>
      <c r="U47" s="9">
        <f t="shared" si="4"/>
        <v>23.425472997745544</v>
      </c>
      <c r="V47" s="9">
        <f t="shared" si="5"/>
        <v>31.431929332048199</v>
      </c>
      <c r="W47" s="9">
        <f t="shared" si="6"/>
        <v>45.142597670206264</v>
      </c>
      <c r="X47" s="9"/>
      <c r="Y47" s="6">
        <v>2.1399999999999999E-2</v>
      </c>
      <c r="Z47" s="6">
        <v>3.5000000000000001E-3</v>
      </c>
      <c r="AA47" s="6">
        <v>1.8022</v>
      </c>
      <c r="AB47" s="6">
        <v>6.25E-2</v>
      </c>
      <c r="AC47" s="6">
        <v>5.4100000000000002E-2</v>
      </c>
      <c r="AD47" s="6">
        <v>3.61E-2</v>
      </c>
      <c r="AE47" s="6">
        <v>0.18820000000000001</v>
      </c>
      <c r="AF47" s="6">
        <v>1.5E-3</v>
      </c>
      <c r="AG47" s="6">
        <v>2.4184000000000001</v>
      </c>
      <c r="AH47" s="6">
        <v>5.3900000000000003E-2</v>
      </c>
      <c r="AI47" s="6">
        <v>7.8559000000000001</v>
      </c>
      <c r="AJ47" s="6">
        <v>3.4729999999999999</v>
      </c>
      <c r="AK47" s="6">
        <v>0</v>
      </c>
      <c r="AL47" s="6">
        <v>15.970700000000001</v>
      </c>
      <c r="AM47" s="6"/>
      <c r="AN47" s="8">
        <v>8.7943925233644862</v>
      </c>
    </row>
    <row r="48" spans="1:40" x14ac:dyDescent="0.25">
      <c r="A48" s="6" t="s">
        <v>112</v>
      </c>
      <c r="B48" s="6">
        <v>0.16700000000000001</v>
      </c>
      <c r="C48" s="6">
        <v>0</v>
      </c>
      <c r="D48" s="6">
        <v>14.497999999999999</v>
      </c>
      <c r="E48" s="6">
        <v>0.56599999999999995</v>
      </c>
      <c r="F48" s="6">
        <v>0.13800000000000001</v>
      </c>
      <c r="G48" s="6">
        <v>0.30299999999999999</v>
      </c>
      <c r="H48" s="6">
        <v>1.335</v>
      </c>
      <c r="I48" s="6">
        <v>0</v>
      </c>
      <c r="J48" s="6">
        <v>14.991</v>
      </c>
      <c r="K48" s="6">
        <v>0.46200000000000002</v>
      </c>
      <c r="L48" s="6">
        <v>51.951999999999998</v>
      </c>
      <c r="M48" s="6">
        <v>15.457000000000001</v>
      </c>
      <c r="N48" s="6">
        <v>0</v>
      </c>
      <c r="O48" s="6">
        <v>99.869</v>
      </c>
      <c r="P48" s="6"/>
      <c r="Q48" s="9">
        <f t="shared" si="7"/>
        <v>0.20179553204815923</v>
      </c>
      <c r="R48" s="9">
        <f t="shared" si="8"/>
        <v>0.3835008063515693</v>
      </c>
      <c r="S48" s="9">
        <f t="shared" si="9"/>
        <v>0.26732408431113802</v>
      </c>
      <c r="T48" s="9">
        <f t="shared" si="3"/>
        <v>65.522502225130481</v>
      </c>
      <c r="U48" s="9">
        <f t="shared" si="4"/>
        <v>23.667686894780193</v>
      </c>
      <c r="V48" s="9">
        <f t="shared" si="5"/>
        <v>31.353234943774122</v>
      </c>
      <c r="W48" s="9">
        <f t="shared" si="6"/>
        <v>44.979078161445699</v>
      </c>
      <c r="X48" s="9"/>
      <c r="Y48" s="6">
        <v>1.89E-2</v>
      </c>
      <c r="Z48" s="6">
        <v>0</v>
      </c>
      <c r="AA48" s="6">
        <v>1.8236000000000001</v>
      </c>
      <c r="AB48" s="6">
        <v>6.7299999999999999E-2</v>
      </c>
      <c r="AC48" s="6">
        <v>4.0399999999999998E-2</v>
      </c>
      <c r="AD48" s="6">
        <v>3.85E-2</v>
      </c>
      <c r="AE48" s="6">
        <v>0.2366</v>
      </c>
      <c r="AF48" s="6">
        <v>0</v>
      </c>
      <c r="AG48" s="6">
        <v>2.4157999999999999</v>
      </c>
      <c r="AH48" s="6">
        <v>5.8799999999999998E-2</v>
      </c>
      <c r="AI48" s="6">
        <v>7.8132000000000001</v>
      </c>
      <c r="AJ48" s="6">
        <v>3.4651999999999998</v>
      </c>
      <c r="AK48" s="6">
        <v>0</v>
      </c>
      <c r="AL48" s="6">
        <v>15.978300000000001</v>
      </c>
      <c r="AM48" s="6"/>
      <c r="AN48" s="8">
        <v>12.518518518518519</v>
      </c>
    </row>
    <row r="49" spans="1:40" x14ac:dyDescent="0.25">
      <c r="A49" s="6" t="s">
        <v>161</v>
      </c>
      <c r="B49" s="6">
        <v>0.22700000000000001</v>
      </c>
      <c r="C49" s="6">
        <v>1.6E-2</v>
      </c>
      <c r="D49" s="6">
        <v>14.250999999999999</v>
      </c>
      <c r="E49" s="6">
        <v>0.624</v>
      </c>
      <c r="F49" s="6">
        <v>0.158</v>
      </c>
      <c r="G49" s="6">
        <v>0.33</v>
      </c>
      <c r="H49" s="6">
        <v>1.2490000000000001</v>
      </c>
      <c r="I49" s="6">
        <v>6.0000000000000001E-3</v>
      </c>
      <c r="J49" s="6">
        <v>14.523999999999999</v>
      </c>
      <c r="K49" s="6">
        <v>0.41099999999999998</v>
      </c>
      <c r="L49" s="6">
        <v>52.110999999999997</v>
      </c>
      <c r="M49" s="6">
        <v>15.885</v>
      </c>
      <c r="N49" s="6">
        <v>5.5E-2</v>
      </c>
      <c r="O49" s="6">
        <v>99.846999999999994</v>
      </c>
      <c r="P49" s="6"/>
      <c r="Q49" s="9">
        <f t="shared" si="7"/>
        <v>0.19835757533579232</v>
      </c>
      <c r="R49" s="9">
        <f t="shared" si="8"/>
        <v>0.39411983624860442</v>
      </c>
      <c r="S49" s="9">
        <f t="shared" si="9"/>
        <v>0.25899639787438922</v>
      </c>
      <c r="T49" s="9">
        <f t="shared" si="3"/>
        <v>66.520651849773202</v>
      </c>
      <c r="U49" s="9">
        <f t="shared" si="4"/>
        <v>23.295792910162724</v>
      </c>
      <c r="V49" s="9">
        <f t="shared" si="5"/>
        <v>30.417423882833532</v>
      </c>
      <c r="W49" s="9">
        <f t="shared" si="6"/>
        <v>46.286783207003744</v>
      </c>
      <c r="X49" s="9"/>
      <c r="Y49" s="6">
        <v>2.5600000000000001E-2</v>
      </c>
      <c r="Z49" s="6">
        <v>1.9E-3</v>
      </c>
      <c r="AA49" s="6">
        <v>1.7886</v>
      </c>
      <c r="AB49" s="6">
        <v>7.3999999999999996E-2</v>
      </c>
      <c r="AC49" s="6">
        <v>4.5900000000000003E-2</v>
      </c>
      <c r="AD49" s="6">
        <v>4.19E-2</v>
      </c>
      <c r="AE49" s="6">
        <v>0.22090000000000001</v>
      </c>
      <c r="AF49" s="6">
        <v>1.1000000000000001E-3</v>
      </c>
      <c r="AG49" s="6">
        <v>2.3353999999999999</v>
      </c>
      <c r="AH49" s="6">
        <v>5.2200000000000003E-2</v>
      </c>
      <c r="AI49" s="6">
        <v>7.82</v>
      </c>
      <c r="AJ49" s="6">
        <v>3.5535000000000001</v>
      </c>
      <c r="AK49" s="6">
        <v>6.6E-3</v>
      </c>
      <c r="AL49" s="6">
        <v>15.967599999999999</v>
      </c>
      <c r="AM49" s="6"/>
      <c r="AN49" s="8">
        <v>8.62890625</v>
      </c>
    </row>
    <row r="50" spans="1:40" x14ac:dyDescent="0.25">
      <c r="A50" s="6" t="s">
        <v>227</v>
      </c>
      <c r="B50" s="6">
        <v>0.24299999999999999</v>
      </c>
      <c r="C50" s="6">
        <v>1E-3</v>
      </c>
      <c r="D50" s="6">
        <v>15.407999999999999</v>
      </c>
      <c r="E50" s="6">
        <v>0.49299999999999999</v>
      </c>
      <c r="F50" s="6">
        <v>0.182</v>
      </c>
      <c r="G50" s="6">
        <v>0.221</v>
      </c>
      <c r="H50" s="6">
        <v>1.1000000000000001</v>
      </c>
      <c r="I50" s="6">
        <v>5.0000000000000001E-3</v>
      </c>
      <c r="J50" s="6">
        <v>14.369</v>
      </c>
      <c r="K50" s="6">
        <v>0.44800000000000001</v>
      </c>
      <c r="L50" s="6">
        <v>52.088999999999999</v>
      </c>
      <c r="M50" s="6">
        <v>15.186999999999999</v>
      </c>
      <c r="N50" s="6">
        <v>0.27600000000000002</v>
      </c>
      <c r="O50" s="6">
        <v>100.02200000000001</v>
      </c>
      <c r="P50" s="6"/>
      <c r="Q50" s="9">
        <f t="shared" si="7"/>
        <v>0.2144616883568794</v>
      </c>
      <c r="R50" s="9">
        <f t="shared" si="8"/>
        <v>0.37680188562213124</v>
      </c>
      <c r="S50" s="9">
        <f t="shared" si="9"/>
        <v>0.25623239059880876</v>
      </c>
      <c r="T50" s="9">
        <f t="shared" si="3"/>
        <v>63.728242733841647</v>
      </c>
      <c r="U50" s="9">
        <f t="shared" si="4"/>
        <v>25.30533445828425</v>
      </c>
      <c r="V50" s="9">
        <f t="shared" si="5"/>
        <v>30.234054356406414</v>
      </c>
      <c r="W50" s="9">
        <f t="shared" si="6"/>
        <v>44.46061118530934</v>
      </c>
      <c r="X50" s="9"/>
      <c r="Y50" s="6">
        <v>2.76E-2</v>
      </c>
      <c r="Z50" s="6">
        <v>1E-4</v>
      </c>
      <c r="AA50" s="6">
        <v>1.9419999999999999</v>
      </c>
      <c r="AB50" s="6">
        <v>5.8799999999999998E-2</v>
      </c>
      <c r="AC50" s="6">
        <v>5.3199999999999997E-2</v>
      </c>
      <c r="AD50" s="6">
        <v>2.8199999999999999E-2</v>
      </c>
      <c r="AE50" s="6">
        <v>0.19550000000000001</v>
      </c>
      <c r="AF50" s="6">
        <v>8.9999999999999998E-4</v>
      </c>
      <c r="AG50" s="6">
        <v>2.3203999999999998</v>
      </c>
      <c r="AH50" s="6">
        <v>5.7200000000000001E-2</v>
      </c>
      <c r="AI50" s="6">
        <v>7.8503999999999996</v>
      </c>
      <c r="AJ50" s="6">
        <v>3.4119999999999999</v>
      </c>
      <c r="AK50" s="6">
        <v>3.3300000000000003E-2</v>
      </c>
      <c r="AL50" s="6">
        <v>15.9796</v>
      </c>
      <c r="AM50" s="6"/>
      <c r="AN50" s="8">
        <v>7.0833333333333339</v>
      </c>
    </row>
    <row r="51" spans="1:40" x14ac:dyDescent="0.25">
      <c r="A51" s="6" t="s">
        <v>49</v>
      </c>
      <c r="B51" s="6">
        <v>0.18099999999999999</v>
      </c>
      <c r="C51" s="6">
        <v>4.4999999999999998E-2</v>
      </c>
      <c r="D51" s="6">
        <v>15.404999999999999</v>
      </c>
      <c r="E51" s="6">
        <v>0.44</v>
      </c>
      <c r="F51" s="6">
        <v>0.17399999999999999</v>
      </c>
      <c r="G51" s="6">
        <v>0.03</v>
      </c>
      <c r="H51" s="6">
        <v>1.1499999999999999</v>
      </c>
      <c r="I51" s="6">
        <v>0</v>
      </c>
      <c r="J51" s="6">
        <v>14.090999999999999</v>
      </c>
      <c r="K51" s="6">
        <v>0.46400000000000002</v>
      </c>
      <c r="L51" s="6">
        <v>51.584000000000003</v>
      </c>
      <c r="M51" s="6">
        <v>15.143000000000001</v>
      </c>
      <c r="N51" s="6">
        <v>0</v>
      </c>
      <c r="O51" s="6">
        <v>98.706999999999994</v>
      </c>
      <c r="P51" s="6"/>
      <c r="Q51" s="9">
        <f t="shared" si="7"/>
        <v>0.21441993179761987</v>
      </c>
      <c r="R51" s="9">
        <f t="shared" si="8"/>
        <v>0.37571020965140806</v>
      </c>
      <c r="S51" s="9">
        <f t="shared" si="9"/>
        <v>0.25127500980776774</v>
      </c>
      <c r="T51" s="9">
        <f t="shared" si="3"/>
        <v>63.665653262325328</v>
      </c>
      <c r="U51" s="9">
        <f t="shared" si="4"/>
        <v>25.48355349112656</v>
      </c>
      <c r="V51" s="9">
        <f t="shared" si="5"/>
        <v>29.863735613270443</v>
      </c>
      <c r="W51" s="9">
        <f t="shared" si="6"/>
        <v>44.652710895602993</v>
      </c>
      <c r="X51" s="9"/>
      <c r="Y51" s="6">
        <v>2.0799999999999999E-2</v>
      </c>
      <c r="Z51" s="6">
        <v>5.4999999999999997E-3</v>
      </c>
      <c r="AA51" s="6">
        <v>1.9668000000000001</v>
      </c>
      <c r="AB51" s="6">
        <v>5.3100000000000001E-2</v>
      </c>
      <c r="AC51" s="6">
        <v>5.1499999999999997E-2</v>
      </c>
      <c r="AD51" s="6">
        <v>3.8999999999999998E-3</v>
      </c>
      <c r="AE51" s="6">
        <v>0.20699999999999999</v>
      </c>
      <c r="AF51" s="6">
        <v>0</v>
      </c>
      <c r="AG51" s="6">
        <v>2.3050000000000002</v>
      </c>
      <c r="AH51" s="6">
        <v>0.06</v>
      </c>
      <c r="AI51" s="6">
        <v>7.8747999999999996</v>
      </c>
      <c r="AJ51" s="6">
        <v>3.4460000000000002</v>
      </c>
      <c r="AK51" s="6">
        <v>0</v>
      </c>
      <c r="AL51" s="6">
        <v>15.994400000000001</v>
      </c>
      <c r="AM51" s="6"/>
      <c r="AN51" s="8">
        <v>9.9519230769230766</v>
      </c>
    </row>
    <row r="52" spans="1:40" x14ac:dyDescent="0.25">
      <c r="A52" s="6" t="s">
        <v>131</v>
      </c>
      <c r="B52" s="6">
        <v>0.20399999999999999</v>
      </c>
      <c r="C52" s="6">
        <v>5.8999999999999997E-2</v>
      </c>
      <c r="D52" s="6">
        <v>15.949</v>
      </c>
      <c r="E52" s="6">
        <v>0.45300000000000001</v>
      </c>
      <c r="F52" s="6">
        <v>0.19</v>
      </c>
      <c r="G52" s="6">
        <v>4.2999999999999997E-2</v>
      </c>
      <c r="H52" s="6">
        <v>1.23</v>
      </c>
      <c r="I52" s="6">
        <v>0</v>
      </c>
      <c r="J52" s="6">
        <v>14.238</v>
      </c>
      <c r="K52" s="6">
        <v>0.495</v>
      </c>
      <c r="L52" s="6">
        <v>52.015000000000001</v>
      </c>
      <c r="M52" s="6">
        <v>15.228</v>
      </c>
      <c r="N52" s="6">
        <v>0.27500000000000002</v>
      </c>
      <c r="O52" s="6">
        <v>100.379</v>
      </c>
      <c r="P52" s="6"/>
      <c r="Q52" s="9">
        <f t="shared" si="7"/>
        <v>0.22199178787667898</v>
      </c>
      <c r="R52" s="9">
        <f t="shared" si="8"/>
        <v>0.37781912914030519</v>
      </c>
      <c r="S52" s="9">
        <f t="shared" si="9"/>
        <v>0.25389635864331822</v>
      </c>
      <c r="T52" s="10">
        <f t="shared" si="3"/>
        <v>62.989705325687972</v>
      </c>
      <c r="U52" s="9">
        <f t="shared" si="4"/>
        <v>26.003267654592587</v>
      </c>
      <c r="V52" s="9">
        <f t="shared" si="5"/>
        <v>29.74044685831468</v>
      </c>
      <c r="W52" s="9">
        <f t="shared" si="6"/>
        <v>44.25628548709274</v>
      </c>
      <c r="X52" s="9"/>
      <c r="Y52" s="6">
        <v>2.3099999999999999E-2</v>
      </c>
      <c r="Z52" s="6">
        <v>7.1000000000000004E-3</v>
      </c>
      <c r="AA52" s="6">
        <v>2.0095000000000001</v>
      </c>
      <c r="AB52" s="6">
        <v>5.3900000000000003E-2</v>
      </c>
      <c r="AC52" s="6">
        <v>5.5399999999999998E-2</v>
      </c>
      <c r="AD52" s="6">
        <v>5.4999999999999997E-3</v>
      </c>
      <c r="AE52" s="6">
        <v>0.21840000000000001</v>
      </c>
      <c r="AF52" s="6">
        <v>0</v>
      </c>
      <c r="AG52" s="6">
        <v>2.2984</v>
      </c>
      <c r="AH52" s="6">
        <v>6.3100000000000003E-2</v>
      </c>
      <c r="AI52" s="6">
        <v>7.8364000000000003</v>
      </c>
      <c r="AJ52" s="6">
        <v>3.4198</v>
      </c>
      <c r="AK52" s="6">
        <v>3.32E-2</v>
      </c>
      <c r="AL52" s="6">
        <v>16.023800000000001</v>
      </c>
      <c r="AM52" s="6"/>
      <c r="AN52" s="8">
        <v>9.454545454545455</v>
      </c>
    </row>
    <row r="53" spans="1:40" x14ac:dyDescent="0.25">
      <c r="A53" s="6" t="s">
        <v>113</v>
      </c>
      <c r="B53" s="6">
        <v>0.3</v>
      </c>
      <c r="C53" s="6">
        <v>0</v>
      </c>
      <c r="D53" s="6">
        <v>15.516999999999999</v>
      </c>
      <c r="E53" s="6">
        <v>0.48299999999999998</v>
      </c>
      <c r="F53" s="6">
        <v>0.11799999999999999</v>
      </c>
      <c r="G53" s="6">
        <v>0.23200000000000001</v>
      </c>
      <c r="H53" s="6">
        <v>1.3959999999999999</v>
      </c>
      <c r="I53" s="6">
        <v>0</v>
      </c>
      <c r="J53" s="6">
        <v>13.997999999999999</v>
      </c>
      <c r="K53" s="6">
        <v>0.47799999999999998</v>
      </c>
      <c r="L53" s="6">
        <v>51.5</v>
      </c>
      <c r="M53" s="6">
        <v>15.106</v>
      </c>
      <c r="N53" s="6">
        <v>0</v>
      </c>
      <c r="O53" s="6">
        <v>99.128</v>
      </c>
      <c r="P53" s="6"/>
      <c r="Q53" s="9">
        <f t="shared" si="7"/>
        <v>0.2159788433433085</v>
      </c>
      <c r="R53" s="9">
        <f t="shared" si="8"/>
        <v>0.37479220940329983</v>
      </c>
      <c r="S53" s="9">
        <f t="shared" si="9"/>
        <v>0.24961660544241945</v>
      </c>
      <c r="T53" s="9">
        <f t="shared" si="3"/>
        <v>63.441193955055631</v>
      </c>
      <c r="U53" s="9">
        <f t="shared" si="4"/>
        <v>25.699906613184524</v>
      </c>
      <c r="V53" s="9">
        <f t="shared" si="5"/>
        <v>29.702554887624654</v>
      </c>
      <c r="W53" s="9">
        <f t="shared" si="6"/>
        <v>44.597538499190826</v>
      </c>
      <c r="X53" s="9"/>
      <c r="Y53" s="6">
        <v>3.4299999999999997E-2</v>
      </c>
      <c r="Z53" s="6">
        <v>0</v>
      </c>
      <c r="AA53" s="6">
        <v>1.9712000000000001</v>
      </c>
      <c r="AB53" s="6">
        <v>5.8000000000000003E-2</v>
      </c>
      <c r="AC53" s="6">
        <v>3.4799999999999998E-2</v>
      </c>
      <c r="AD53" s="6">
        <v>2.98E-2</v>
      </c>
      <c r="AE53" s="6">
        <v>0.24990000000000001</v>
      </c>
      <c r="AF53" s="6">
        <v>0</v>
      </c>
      <c r="AG53" s="6">
        <v>2.2784</v>
      </c>
      <c r="AH53" s="6">
        <v>6.1499999999999999E-2</v>
      </c>
      <c r="AI53" s="6">
        <v>7.8228999999999997</v>
      </c>
      <c r="AJ53" s="6">
        <v>3.4205000000000001</v>
      </c>
      <c r="AK53" s="6">
        <v>0</v>
      </c>
      <c r="AL53" s="6">
        <v>15.9613</v>
      </c>
      <c r="AM53" s="6"/>
      <c r="AN53" s="8">
        <v>7.2857142857142865</v>
      </c>
    </row>
    <row r="54" spans="1:40" x14ac:dyDescent="0.25">
      <c r="A54" s="6" t="s">
        <v>660</v>
      </c>
      <c r="B54" s="6">
        <v>0.245</v>
      </c>
      <c r="C54" s="6">
        <v>1.0999999999999999E-2</v>
      </c>
      <c r="D54" s="6">
        <v>14.948</v>
      </c>
      <c r="E54" s="6">
        <v>0.65400000000000003</v>
      </c>
      <c r="F54" s="6">
        <v>0.17199999999999999</v>
      </c>
      <c r="G54" s="6">
        <v>0.31</v>
      </c>
      <c r="H54" s="6">
        <v>1.4059999999999999</v>
      </c>
      <c r="I54" s="6">
        <v>0</v>
      </c>
      <c r="J54" s="6">
        <v>14.026999999999999</v>
      </c>
      <c r="K54" s="6">
        <v>0.47599999999999998</v>
      </c>
      <c r="L54" s="6">
        <v>51.622999999999998</v>
      </c>
      <c r="M54" s="6">
        <v>15.54</v>
      </c>
      <c r="N54" s="6">
        <v>0.13700000000000001</v>
      </c>
      <c r="O54" s="6">
        <v>99.549000000000007</v>
      </c>
      <c r="P54" s="6"/>
      <c r="Q54" s="9">
        <f t="shared" si="7"/>
        <v>0.20805901593708678</v>
      </c>
      <c r="R54" s="9">
        <f t="shared" si="8"/>
        <v>0.38556010420543357</v>
      </c>
      <c r="S54" s="9">
        <f t="shared" si="9"/>
        <v>0.25013374228752805</v>
      </c>
      <c r="T54" s="9">
        <f t="shared" si="3"/>
        <v>64.950755648312935</v>
      </c>
      <c r="U54" s="9">
        <f t="shared" si="4"/>
        <v>24.658762678193106</v>
      </c>
      <c r="V54" s="9">
        <f t="shared" si="5"/>
        <v>29.645379995171929</v>
      </c>
      <c r="W54" s="9">
        <f t="shared" si="6"/>
        <v>45.695857326634979</v>
      </c>
      <c r="X54" s="9"/>
      <c r="Y54" s="6">
        <v>2.7799999999999998E-2</v>
      </c>
      <c r="Z54" s="6">
        <v>1.2999999999999999E-3</v>
      </c>
      <c r="AA54" s="6">
        <v>1.8879999999999999</v>
      </c>
      <c r="AB54" s="6">
        <v>7.8100000000000003E-2</v>
      </c>
      <c r="AC54" s="6">
        <v>5.0500000000000003E-2</v>
      </c>
      <c r="AD54" s="6">
        <v>3.9699999999999999E-2</v>
      </c>
      <c r="AE54" s="6">
        <v>0.25019999999999998</v>
      </c>
      <c r="AF54" s="6">
        <v>0</v>
      </c>
      <c r="AG54" s="6">
        <v>2.2698999999999998</v>
      </c>
      <c r="AH54" s="6">
        <v>6.08E-2</v>
      </c>
      <c r="AI54" s="6">
        <v>7.7961</v>
      </c>
      <c r="AJ54" s="6">
        <v>3.4984999999999999</v>
      </c>
      <c r="AK54" s="6">
        <v>1.66E-2</v>
      </c>
      <c r="AL54" s="6">
        <v>15.977499999999999</v>
      </c>
      <c r="AM54" s="6"/>
      <c r="AN54" s="8">
        <v>9</v>
      </c>
    </row>
    <row r="55" spans="1:40" x14ac:dyDescent="0.25">
      <c r="A55" s="6" t="s">
        <v>48</v>
      </c>
      <c r="B55" s="6">
        <v>0.188</v>
      </c>
      <c r="C55" s="6">
        <v>0.03</v>
      </c>
      <c r="D55" s="6">
        <v>14.726000000000001</v>
      </c>
      <c r="E55" s="6">
        <v>0.45800000000000002</v>
      </c>
      <c r="F55" s="6">
        <v>0.16800000000000001</v>
      </c>
      <c r="G55" s="6">
        <v>0.24199999999999999</v>
      </c>
      <c r="H55" s="6">
        <v>1.0049999999999999</v>
      </c>
      <c r="I55" s="6">
        <v>2E-3</v>
      </c>
      <c r="J55" s="6">
        <v>13.885999999999999</v>
      </c>
      <c r="K55" s="6">
        <v>0.48099999999999998</v>
      </c>
      <c r="L55" s="6">
        <v>52.064999999999998</v>
      </c>
      <c r="M55" s="6">
        <v>16.143000000000001</v>
      </c>
      <c r="N55" s="6">
        <v>0</v>
      </c>
      <c r="O55" s="6">
        <v>99.394000000000005</v>
      </c>
      <c r="P55" s="6"/>
      <c r="Q55" s="9">
        <f t="shared" si="7"/>
        <v>0.20496903055188254</v>
      </c>
      <c r="R55" s="9">
        <f t="shared" si="8"/>
        <v>0.40052102716784521</v>
      </c>
      <c r="S55" s="9">
        <f t="shared" si="9"/>
        <v>0.24761938728200003</v>
      </c>
      <c r="T55" s="9">
        <f t="shared" si="3"/>
        <v>66.148241752507914</v>
      </c>
      <c r="U55" s="9">
        <f t="shared" si="4"/>
        <v>24.026111978102342</v>
      </c>
      <c r="V55" s="9">
        <f t="shared" si="5"/>
        <v>29.025512345780974</v>
      </c>
      <c r="W55" s="9">
        <f t="shared" si="6"/>
        <v>46.948375676116683</v>
      </c>
      <c r="X55" s="9"/>
      <c r="Y55" s="6">
        <v>2.1299999999999999E-2</v>
      </c>
      <c r="Z55" s="6">
        <v>3.5999999999999999E-3</v>
      </c>
      <c r="AA55" s="6">
        <v>1.8577999999999999</v>
      </c>
      <c r="AB55" s="6">
        <v>5.4600000000000003E-2</v>
      </c>
      <c r="AC55" s="6">
        <v>4.9099999999999998E-2</v>
      </c>
      <c r="AD55" s="6">
        <v>3.09E-2</v>
      </c>
      <c r="AE55" s="6">
        <v>0.1787</v>
      </c>
      <c r="AF55" s="6">
        <v>2.9999999999999997E-4</v>
      </c>
      <c r="AG55" s="6">
        <v>2.2444999999999999</v>
      </c>
      <c r="AH55" s="6">
        <v>6.1400000000000003E-2</v>
      </c>
      <c r="AI55" s="6">
        <v>7.8540999999999999</v>
      </c>
      <c r="AJ55" s="6">
        <v>3.6301000000000001</v>
      </c>
      <c r="AK55" s="6">
        <v>0</v>
      </c>
      <c r="AL55" s="6">
        <v>15.9864</v>
      </c>
      <c r="AM55" s="6"/>
      <c r="AN55" s="8">
        <v>8.3896713615023479</v>
      </c>
    </row>
    <row r="56" spans="1:40" x14ac:dyDescent="0.25">
      <c r="A56" s="6" t="s">
        <v>37</v>
      </c>
      <c r="B56" s="6">
        <v>0.13200000000000001</v>
      </c>
      <c r="C56" s="6">
        <v>1.2E-2</v>
      </c>
      <c r="D56" s="6">
        <v>14.86</v>
      </c>
      <c r="E56" s="6">
        <v>0.46700000000000003</v>
      </c>
      <c r="F56" s="6">
        <v>0.159</v>
      </c>
      <c r="G56" s="6">
        <v>0.28000000000000003</v>
      </c>
      <c r="H56" s="6">
        <v>1.0069999999999999</v>
      </c>
      <c r="I56" s="6">
        <v>0</v>
      </c>
      <c r="J56" s="6">
        <v>13.829000000000001</v>
      </c>
      <c r="K56" s="6">
        <v>0.49099999999999999</v>
      </c>
      <c r="L56" s="6">
        <v>52.048999999999999</v>
      </c>
      <c r="M56" s="6">
        <v>15.991</v>
      </c>
      <c r="N56" s="6">
        <v>0.245</v>
      </c>
      <c r="O56" s="6">
        <v>99.522000000000006</v>
      </c>
      <c r="P56" s="6"/>
      <c r="Q56" s="9">
        <f t="shared" si="7"/>
        <v>0.20683415686547427</v>
      </c>
      <c r="R56" s="9">
        <f t="shared" si="8"/>
        <v>0.39674978290534674</v>
      </c>
      <c r="S56" s="9">
        <f t="shared" si="9"/>
        <v>0.24660294589678661</v>
      </c>
      <c r="T56" s="9">
        <f t="shared" si="3"/>
        <v>65.732329302199688</v>
      </c>
      <c r="U56" s="9">
        <f t="shared" si="4"/>
        <v>24.328081313917018</v>
      </c>
      <c r="V56" s="9">
        <f t="shared" si="5"/>
        <v>29.005733922035521</v>
      </c>
      <c r="W56" s="9">
        <f t="shared" si="6"/>
        <v>46.666184764047465</v>
      </c>
      <c r="X56" s="9"/>
      <c r="Y56" s="6">
        <v>1.49E-2</v>
      </c>
      <c r="Z56" s="6">
        <v>1.5E-3</v>
      </c>
      <c r="AA56" s="6">
        <v>1.875</v>
      </c>
      <c r="AB56" s="6">
        <v>5.5599999999999997E-2</v>
      </c>
      <c r="AC56" s="6">
        <v>4.65E-2</v>
      </c>
      <c r="AD56" s="6">
        <v>3.5799999999999998E-2</v>
      </c>
      <c r="AE56" s="6">
        <v>0.17899999999999999</v>
      </c>
      <c r="AF56" s="6">
        <v>0</v>
      </c>
      <c r="AG56" s="6">
        <v>2.2353999999999998</v>
      </c>
      <c r="AH56" s="6">
        <v>6.2700000000000006E-2</v>
      </c>
      <c r="AI56" s="6">
        <v>7.8524000000000003</v>
      </c>
      <c r="AJ56" s="6">
        <v>3.5964</v>
      </c>
      <c r="AK56" s="6">
        <v>2.9600000000000001E-2</v>
      </c>
      <c r="AL56" s="6">
        <v>15.9848</v>
      </c>
      <c r="AM56" s="6"/>
      <c r="AN56" s="8">
        <v>12.013422818791947</v>
      </c>
    </row>
    <row r="57" spans="1:40" x14ac:dyDescent="0.25">
      <c r="A57" s="6" t="s">
        <v>233</v>
      </c>
      <c r="B57" s="6">
        <v>0.184</v>
      </c>
      <c r="C57" s="6">
        <v>2.1999999999999999E-2</v>
      </c>
      <c r="D57" s="6">
        <v>16.431000000000001</v>
      </c>
      <c r="E57" s="6">
        <v>0.40500000000000003</v>
      </c>
      <c r="F57" s="6">
        <v>0.13200000000000001</v>
      </c>
      <c r="G57" s="6">
        <v>0.19500000000000001</v>
      </c>
      <c r="H57" s="6">
        <v>1.1930000000000001</v>
      </c>
      <c r="I57" s="6">
        <v>2.1999999999999999E-2</v>
      </c>
      <c r="J57" s="6">
        <v>13.407999999999999</v>
      </c>
      <c r="K57" s="6">
        <v>0.47099999999999997</v>
      </c>
      <c r="L57" s="6">
        <v>51.473999999999997</v>
      </c>
      <c r="M57" s="6">
        <v>15.22</v>
      </c>
      <c r="N57" s="6">
        <v>0</v>
      </c>
      <c r="O57" s="6">
        <v>99.156999999999996</v>
      </c>
      <c r="P57" s="6"/>
      <c r="Q57" s="9">
        <f t="shared" si="7"/>
        <v>0.22870067506437472</v>
      </c>
      <c r="R57" s="9">
        <f t="shared" si="8"/>
        <v>0.37762064260017369</v>
      </c>
      <c r="S57" s="9">
        <f t="shared" si="9"/>
        <v>0.23909554549021003</v>
      </c>
      <c r="T57" s="10">
        <f t="shared" si="3"/>
        <v>62.28061451883422</v>
      </c>
      <c r="U57" s="9">
        <f t="shared" si="4"/>
        <v>27.051823192993218</v>
      </c>
      <c r="V57" s="9">
        <f t="shared" si="5"/>
        <v>28.281378797910516</v>
      </c>
      <c r="W57" s="9">
        <f t="shared" si="6"/>
        <v>44.666798009096262</v>
      </c>
      <c r="X57" s="9"/>
      <c r="Y57" s="6">
        <v>2.1100000000000001E-2</v>
      </c>
      <c r="Z57" s="6">
        <v>2.7000000000000001E-3</v>
      </c>
      <c r="AA57" s="6">
        <v>2.0929000000000002</v>
      </c>
      <c r="AB57" s="6">
        <v>4.87E-2</v>
      </c>
      <c r="AC57" s="6">
        <v>3.9E-2</v>
      </c>
      <c r="AD57" s="6">
        <v>2.5100000000000001E-2</v>
      </c>
      <c r="AE57" s="6">
        <v>0.2142</v>
      </c>
      <c r="AF57" s="6">
        <v>4.1999999999999997E-3</v>
      </c>
      <c r="AG57" s="6">
        <v>2.1880999999999999</v>
      </c>
      <c r="AH57" s="6">
        <v>6.0699999999999997E-2</v>
      </c>
      <c r="AI57" s="6">
        <v>7.8395999999999999</v>
      </c>
      <c r="AJ57" s="6">
        <v>3.4556</v>
      </c>
      <c r="AK57" s="6">
        <v>0</v>
      </c>
      <c r="AL57" s="6">
        <v>15.991899999999999</v>
      </c>
      <c r="AM57" s="6"/>
      <c r="AN57" s="8">
        <v>10.151658767772512</v>
      </c>
    </row>
    <row r="58" spans="1:40" x14ac:dyDescent="0.25">
      <c r="A58" s="6" t="s">
        <v>114</v>
      </c>
      <c r="B58" s="6">
        <v>0.19</v>
      </c>
      <c r="C58" s="6">
        <v>0</v>
      </c>
      <c r="D58" s="6">
        <v>16.071999999999999</v>
      </c>
      <c r="E58" s="6">
        <v>0.4</v>
      </c>
      <c r="F58" s="6">
        <v>0.154</v>
      </c>
      <c r="G58" s="6">
        <v>0.222</v>
      </c>
      <c r="H58" s="6">
        <v>1.0980000000000001</v>
      </c>
      <c r="I58" s="6">
        <v>1.7999999999999999E-2</v>
      </c>
      <c r="J58" s="6">
        <v>12.69</v>
      </c>
      <c r="K58" s="6">
        <v>0.46400000000000002</v>
      </c>
      <c r="L58" s="6">
        <v>51.845999999999997</v>
      </c>
      <c r="M58" s="6">
        <v>16.059000000000001</v>
      </c>
      <c r="N58" s="6">
        <v>0</v>
      </c>
      <c r="O58" s="6">
        <v>99.212999999999994</v>
      </c>
      <c r="P58" s="6"/>
      <c r="Q58" s="9">
        <f t="shared" si="7"/>
        <v>0.22370380680631916</v>
      </c>
      <c r="R58" s="9">
        <f t="shared" si="8"/>
        <v>0.39843691849646451</v>
      </c>
      <c r="S58" s="9">
        <f t="shared" si="9"/>
        <v>0.22629195049752129</v>
      </c>
      <c r="T58" s="9">
        <f t="shared" si="3"/>
        <v>64.042892916639261</v>
      </c>
      <c r="U58" s="9">
        <f t="shared" si="4"/>
        <v>26.366712785467044</v>
      </c>
      <c r="V58" s="9">
        <f t="shared" si="5"/>
        <v>26.671762763505765</v>
      </c>
      <c r="W58" s="9">
        <f t="shared" si="6"/>
        <v>46.961524451027195</v>
      </c>
      <c r="X58" s="9"/>
      <c r="Y58" s="6">
        <v>2.1700000000000001E-2</v>
      </c>
      <c r="Z58" s="6">
        <v>0</v>
      </c>
      <c r="AA58" s="6">
        <v>2.0367000000000002</v>
      </c>
      <c r="AB58" s="6">
        <v>4.7899999999999998E-2</v>
      </c>
      <c r="AC58" s="6">
        <v>4.5199999999999997E-2</v>
      </c>
      <c r="AD58" s="6">
        <v>2.8500000000000001E-2</v>
      </c>
      <c r="AE58" s="6">
        <v>0.19600000000000001</v>
      </c>
      <c r="AF58" s="6">
        <v>3.3999999999999998E-3</v>
      </c>
      <c r="AG58" s="6">
        <v>2.0602999999999998</v>
      </c>
      <c r="AH58" s="6">
        <v>5.96E-2</v>
      </c>
      <c r="AI58" s="6">
        <v>7.8556999999999997</v>
      </c>
      <c r="AJ58" s="6">
        <v>3.6272000000000002</v>
      </c>
      <c r="AK58" s="6">
        <v>0</v>
      </c>
      <c r="AL58" s="6">
        <v>15.982200000000001</v>
      </c>
      <c r="AM58" s="6"/>
      <c r="AN58" s="8">
        <v>9.0322580645161299</v>
      </c>
    </row>
    <row r="59" spans="1:40" x14ac:dyDescent="0.25">
      <c r="A59" s="6" t="s">
        <v>252</v>
      </c>
      <c r="B59" s="6">
        <v>0.23400000000000001</v>
      </c>
      <c r="C59" s="6">
        <v>0</v>
      </c>
      <c r="D59" s="6">
        <v>12.298999999999999</v>
      </c>
      <c r="E59" s="6">
        <v>0.63800000000000001</v>
      </c>
      <c r="F59" s="6">
        <v>0.19900000000000001</v>
      </c>
      <c r="G59" s="6">
        <v>0.41299999999999998</v>
      </c>
      <c r="H59" s="6">
        <v>1.3979999999999999</v>
      </c>
      <c r="I59" s="6">
        <v>0</v>
      </c>
      <c r="J59" s="6">
        <v>17.503</v>
      </c>
      <c r="K59" s="6">
        <v>0.36899999999999999</v>
      </c>
      <c r="L59" s="6">
        <v>51.819000000000003</v>
      </c>
      <c r="M59" s="6">
        <v>14.552</v>
      </c>
      <c r="N59" s="6">
        <v>0</v>
      </c>
      <c r="O59" s="6">
        <v>99.424000000000007</v>
      </c>
      <c r="P59" s="6"/>
      <c r="Q59" s="9">
        <f t="shared" si="7"/>
        <v>0.17118797411093326</v>
      </c>
      <c r="R59" s="9">
        <f t="shared" si="8"/>
        <v>0.36104701649919363</v>
      </c>
      <c r="S59" s="9">
        <f t="shared" si="9"/>
        <v>0.31211883448054495</v>
      </c>
      <c r="T59" s="9">
        <f t="shared" ref="T59:T69" si="10">R59/(Q59+R59)*100</f>
        <v>67.836016584574395</v>
      </c>
      <c r="U59" s="9">
        <f t="shared" ref="U59:U69" si="11">Q59/(Q59+S59+R59)*100</f>
        <v>20.274435790297986</v>
      </c>
      <c r="V59" s="9">
        <f t="shared" ref="V59:V69" si="12">S59/(Q59+S59+R59)*100</f>
        <v>36.965407771680042</v>
      </c>
      <c r="W59" s="9">
        <f t="shared" ref="W59:W69" si="13">R59/(Q59+S59+R59)*100</f>
        <v>42.760156438021966</v>
      </c>
      <c r="X59" s="9"/>
      <c r="Y59" s="6">
        <v>2.6499999999999999E-2</v>
      </c>
      <c r="Z59" s="6">
        <v>0</v>
      </c>
      <c r="AA59" s="6">
        <v>1.5494000000000001</v>
      </c>
      <c r="AB59" s="6">
        <v>7.5899999999999995E-2</v>
      </c>
      <c r="AC59" s="6">
        <v>5.8000000000000003E-2</v>
      </c>
      <c r="AD59" s="6">
        <v>5.2699999999999997E-2</v>
      </c>
      <c r="AE59" s="6">
        <v>0.24809999999999999</v>
      </c>
      <c r="AF59" s="6">
        <v>0</v>
      </c>
      <c r="AG59" s="6">
        <v>2.8250000000000002</v>
      </c>
      <c r="AH59" s="6">
        <v>4.7100000000000003E-2</v>
      </c>
      <c r="AI59" s="6">
        <v>7.8055000000000003</v>
      </c>
      <c r="AJ59" s="6">
        <v>3.2675999999999998</v>
      </c>
      <c r="AK59" s="6">
        <v>0</v>
      </c>
      <c r="AL59" s="6">
        <v>15.9558</v>
      </c>
      <c r="AM59" s="6"/>
      <c r="AN59" s="9">
        <f t="shared" ref="AN59:AN69" si="14">AE59/Y59</f>
        <v>9.3622641509433961</v>
      </c>
    </row>
    <row r="60" spans="1:40" x14ac:dyDescent="0.25">
      <c r="A60" s="6" t="s">
        <v>266</v>
      </c>
      <c r="B60" s="6">
        <v>0.222</v>
      </c>
      <c r="C60" s="6">
        <v>3.5999999999999997E-2</v>
      </c>
      <c r="D60" s="6">
        <v>13.952</v>
      </c>
      <c r="E60" s="6">
        <v>0.48599999999999999</v>
      </c>
      <c r="F60" s="6">
        <v>0.191</v>
      </c>
      <c r="G60" s="6">
        <v>0.36499999999999999</v>
      </c>
      <c r="H60" s="6">
        <v>1.325</v>
      </c>
      <c r="I60" s="6">
        <v>0</v>
      </c>
      <c r="J60" s="6">
        <v>16.766999999999999</v>
      </c>
      <c r="K60" s="6">
        <v>0.42499999999999999</v>
      </c>
      <c r="L60" s="6">
        <v>51.542999999999999</v>
      </c>
      <c r="M60" s="6">
        <v>13.944000000000001</v>
      </c>
      <c r="N60" s="6">
        <v>0.13700000000000001</v>
      </c>
      <c r="O60" s="6">
        <v>99.393000000000001</v>
      </c>
      <c r="P60" s="6"/>
      <c r="Q60" s="9">
        <f t="shared" si="7"/>
        <v>0.19419583826292713</v>
      </c>
      <c r="R60" s="9">
        <f t="shared" si="8"/>
        <v>0.3459620394491999</v>
      </c>
      <c r="S60" s="9">
        <f t="shared" si="9"/>
        <v>0.29899425799778878</v>
      </c>
      <c r="T60" s="9">
        <f t="shared" si="10"/>
        <v>64.048318783120237</v>
      </c>
      <c r="U60" s="9">
        <f t="shared" si="11"/>
        <v>23.141910745259445</v>
      </c>
      <c r="V60" s="9">
        <f t="shared" si="12"/>
        <v>35.630518623996835</v>
      </c>
      <c r="W60" s="9">
        <f t="shared" si="13"/>
        <v>41.227570630743713</v>
      </c>
      <c r="X60" s="9"/>
      <c r="Y60" s="6">
        <v>2.5399999999999999E-2</v>
      </c>
      <c r="Z60" s="6">
        <v>4.4000000000000003E-3</v>
      </c>
      <c r="AA60" s="6">
        <v>1.77</v>
      </c>
      <c r="AB60" s="6">
        <v>5.8200000000000002E-2</v>
      </c>
      <c r="AC60" s="6">
        <v>5.6099999999999997E-2</v>
      </c>
      <c r="AD60" s="6">
        <v>4.6899999999999997E-2</v>
      </c>
      <c r="AE60" s="6">
        <v>0.23680000000000001</v>
      </c>
      <c r="AF60" s="6">
        <v>0</v>
      </c>
      <c r="AG60" s="6">
        <v>2.7252000000000001</v>
      </c>
      <c r="AH60" s="6">
        <v>5.4600000000000003E-2</v>
      </c>
      <c r="AI60" s="6">
        <v>7.8186999999999998</v>
      </c>
      <c r="AJ60" s="6">
        <v>3.153</v>
      </c>
      <c r="AK60" s="6">
        <v>1.67E-2</v>
      </c>
      <c r="AL60" s="6">
        <v>15.965999999999999</v>
      </c>
      <c r="AM60" s="6"/>
      <c r="AN60" s="9">
        <f t="shared" si="14"/>
        <v>9.3228346456692925</v>
      </c>
    </row>
    <row r="61" spans="1:40" x14ac:dyDescent="0.25">
      <c r="A61" s="6" t="s">
        <v>203</v>
      </c>
      <c r="B61" s="6">
        <v>0.25</v>
      </c>
      <c r="C61" s="6">
        <v>3.4000000000000002E-2</v>
      </c>
      <c r="D61" s="6">
        <v>13.323</v>
      </c>
      <c r="E61" s="6">
        <v>0.51</v>
      </c>
      <c r="F61" s="6">
        <v>0.216</v>
      </c>
      <c r="G61" s="6">
        <v>0.33300000000000002</v>
      </c>
      <c r="H61" s="6">
        <v>1.383</v>
      </c>
      <c r="I61" s="6">
        <v>0</v>
      </c>
      <c r="J61" s="6">
        <v>16.515000000000001</v>
      </c>
      <c r="K61" s="6">
        <v>0.45600000000000002</v>
      </c>
      <c r="L61" s="6">
        <v>51.55</v>
      </c>
      <c r="M61" s="6">
        <v>14.836</v>
      </c>
      <c r="N61" s="6">
        <v>0</v>
      </c>
      <c r="O61" s="6">
        <v>99.406000000000006</v>
      </c>
      <c r="P61" s="6"/>
      <c r="Q61" s="9">
        <f t="shared" si="7"/>
        <v>0.18544087967151507</v>
      </c>
      <c r="R61" s="9">
        <f t="shared" si="8"/>
        <v>0.36809328867386182</v>
      </c>
      <c r="S61" s="9">
        <f t="shared" si="9"/>
        <v>0.29450051713684511</v>
      </c>
      <c r="T61" s="9">
        <f t="shared" si="10"/>
        <v>66.498747452964906</v>
      </c>
      <c r="U61" s="9">
        <f t="shared" si="11"/>
        <v>21.867133838525358</v>
      </c>
      <c r="V61" s="9">
        <f t="shared" si="12"/>
        <v>34.727414123324671</v>
      </c>
      <c r="W61" s="9">
        <f t="shared" si="13"/>
        <v>43.405452038149967</v>
      </c>
      <c r="X61" s="9"/>
      <c r="Y61" s="6">
        <v>2.8400000000000002E-2</v>
      </c>
      <c r="Z61" s="6">
        <v>4.1000000000000003E-3</v>
      </c>
      <c r="AA61" s="6">
        <v>1.6839</v>
      </c>
      <c r="AB61" s="6">
        <v>6.0900000000000003E-2</v>
      </c>
      <c r="AC61" s="6">
        <v>6.3200000000000006E-2</v>
      </c>
      <c r="AD61" s="6">
        <v>4.2599999999999999E-2</v>
      </c>
      <c r="AE61" s="6">
        <v>0.24640000000000001</v>
      </c>
      <c r="AF61" s="6">
        <v>0</v>
      </c>
      <c r="AG61" s="6">
        <v>2.6743000000000001</v>
      </c>
      <c r="AH61" s="6">
        <v>5.8400000000000001E-2</v>
      </c>
      <c r="AI61" s="6">
        <v>7.7906000000000004</v>
      </c>
      <c r="AJ61" s="6">
        <v>3.3422999999999998</v>
      </c>
      <c r="AK61" s="6">
        <v>0</v>
      </c>
      <c r="AL61" s="6">
        <v>15.995100000000001</v>
      </c>
      <c r="AM61" s="6"/>
      <c r="AN61" s="9">
        <f t="shared" si="14"/>
        <v>8.6760563380281681</v>
      </c>
    </row>
    <row r="62" spans="1:40" x14ac:dyDescent="0.25">
      <c r="A62" s="6" t="s">
        <v>127</v>
      </c>
      <c r="B62" s="6">
        <v>0.253</v>
      </c>
      <c r="C62" s="6">
        <v>4.2000000000000003E-2</v>
      </c>
      <c r="D62" s="6">
        <v>13.597</v>
      </c>
      <c r="E62" s="6">
        <v>0.47399999999999998</v>
      </c>
      <c r="F62" s="6">
        <v>0.151</v>
      </c>
      <c r="G62" s="6">
        <v>0.25900000000000001</v>
      </c>
      <c r="H62" s="6">
        <v>1.2709999999999999</v>
      </c>
      <c r="I62" s="6">
        <v>2E-3</v>
      </c>
      <c r="J62" s="6">
        <v>16.606000000000002</v>
      </c>
      <c r="K62" s="6">
        <v>0.40899999999999997</v>
      </c>
      <c r="L62" s="6">
        <v>51.947000000000003</v>
      </c>
      <c r="M62" s="6">
        <v>14.869</v>
      </c>
      <c r="N62" s="6">
        <v>0.68300000000000005</v>
      </c>
      <c r="O62" s="6">
        <v>100.563</v>
      </c>
      <c r="P62" s="6"/>
      <c r="Q62" s="9">
        <f t="shared" si="7"/>
        <v>0.18925464541721762</v>
      </c>
      <c r="R62" s="9">
        <f t="shared" si="8"/>
        <v>0.36891204565190422</v>
      </c>
      <c r="S62" s="9">
        <f t="shared" si="9"/>
        <v>0.29612325689218588</v>
      </c>
      <c r="T62" s="9">
        <f t="shared" si="10"/>
        <v>66.093525743229847</v>
      </c>
      <c r="U62" s="9">
        <f t="shared" si="11"/>
        <v>22.153444023174821</v>
      </c>
      <c r="V62" s="9">
        <f t="shared" si="12"/>
        <v>34.663085712158917</v>
      </c>
      <c r="W62" s="9">
        <f t="shared" si="13"/>
        <v>43.183470264666262</v>
      </c>
      <c r="X62" s="9"/>
      <c r="Y62" s="6">
        <v>2.8500000000000001E-2</v>
      </c>
      <c r="Z62" s="6">
        <v>5.1000000000000004E-3</v>
      </c>
      <c r="AA62" s="6">
        <v>1.7054</v>
      </c>
      <c r="AB62" s="6">
        <v>5.62E-2</v>
      </c>
      <c r="AC62" s="6">
        <v>4.3900000000000002E-2</v>
      </c>
      <c r="AD62" s="6">
        <v>3.2899999999999999E-2</v>
      </c>
      <c r="AE62" s="6">
        <v>0.22470000000000001</v>
      </c>
      <c r="AF62" s="6">
        <v>4.0000000000000002E-4</v>
      </c>
      <c r="AG62" s="6">
        <v>2.6684000000000001</v>
      </c>
      <c r="AH62" s="6">
        <v>5.1999999999999998E-2</v>
      </c>
      <c r="AI62" s="6">
        <v>7.7900999999999998</v>
      </c>
      <c r="AJ62" s="6">
        <v>3.3239000000000001</v>
      </c>
      <c r="AK62" s="6">
        <v>8.2100000000000006E-2</v>
      </c>
      <c r="AL62" s="6">
        <v>16.0136</v>
      </c>
      <c r="AM62" s="6"/>
      <c r="AN62" s="9">
        <f t="shared" si="14"/>
        <v>7.8842105263157896</v>
      </c>
    </row>
    <row r="63" spans="1:40" x14ac:dyDescent="0.25">
      <c r="A63" s="6" t="s">
        <v>128</v>
      </c>
      <c r="B63" s="6">
        <v>0.22900000000000001</v>
      </c>
      <c r="C63" s="6">
        <v>0</v>
      </c>
      <c r="D63" s="6">
        <v>14.111000000000001</v>
      </c>
      <c r="E63" s="6">
        <v>0.57899999999999996</v>
      </c>
      <c r="F63" s="6">
        <v>0.20300000000000001</v>
      </c>
      <c r="G63" s="6">
        <v>0.23599999999999999</v>
      </c>
      <c r="H63" s="6">
        <v>1.282</v>
      </c>
      <c r="I63" s="6">
        <v>0</v>
      </c>
      <c r="J63" s="6">
        <v>16.135999999999999</v>
      </c>
      <c r="K63" s="6">
        <v>0.41699999999999998</v>
      </c>
      <c r="L63" s="6">
        <v>51.368000000000002</v>
      </c>
      <c r="M63" s="6">
        <v>14.018000000000001</v>
      </c>
      <c r="N63" s="6">
        <v>0.11</v>
      </c>
      <c r="O63" s="6">
        <v>98.688999999999993</v>
      </c>
      <c r="P63" s="6"/>
      <c r="Q63" s="9">
        <f t="shared" si="7"/>
        <v>0.19640893590368155</v>
      </c>
      <c r="R63" s="9">
        <f t="shared" si="8"/>
        <v>0.34779803994541625</v>
      </c>
      <c r="S63" s="9">
        <f t="shared" si="9"/>
        <v>0.2877420735404258</v>
      </c>
      <c r="T63" s="9">
        <f t="shared" si="10"/>
        <v>63.909147691972358</v>
      </c>
      <c r="U63" s="9">
        <f t="shared" si="11"/>
        <v>23.608288998924223</v>
      </c>
      <c r="V63" s="9">
        <f t="shared" si="12"/>
        <v>34.586501871907686</v>
      </c>
      <c r="W63" s="9">
        <f t="shared" si="13"/>
        <v>41.805209129168084</v>
      </c>
      <c r="X63" s="9"/>
      <c r="Y63" s="6">
        <v>2.63E-2</v>
      </c>
      <c r="Z63" s="6">
        <v>0</v>
      </c>
      <c r="AA63" s="6">
        <v>1.8022</v>
      </c>
      <c r="AB63" s="6">
        <v>6.9900000000000004E-2</v>
      </c>
      <c r="AC63" s="6">
        <v>6.0199999999999997E-2</v>
      </c>
      <c r="AD63" s="6">
        <v>3.0599999999999999E-2</v>
      </c>
      <c r="AE63" s="6">
        <v>0.23080000000000001</v>
      </c>
      <c r="AF63" s="6">
        <v>0</v>
      </c>
      <c r="AG63" s="6">
        <v>2.6402999999999999</v>
      </c>
      <c r="AH63" s="6">
        <v>5.3999999999999999E-2</v>
      </c>
      <c r="AI63" s="6">
        <v>7.8444000000000003</v>
      </c>
      <c r="AJ63" s="6">
        <v>3.1909999999999998</v>
      </c>
      <c r="AK63" s="6">
        <v>1.35E-2</v>
      </c>
      <c r="AL63" s="6">
        <v>15.963200000000001</v>
      </c>
      <c r="AM63" s="6"/>
      <c r="AN63" s="9">
        <f t="shared" si="14"/>
        <v>8.7756653992395446</v>
      </c>
    </row>
    <row r="64" spans="1:40" x14ac:dyDescent="0.25">
      <c r="A64" s="6" t="s">
        <v>162</v>
      </c>
      <c r="B64" s="6">
        <v>0.24199999999999999</v>
      </c>
      <c r="C64" s="6">
        <v>2.9000000000000001E-2</v>
      </c>
      <c r="D64" s="6">
        <v>14.231</v>
      </c>
      <c r="E64" s="6">
        <v>0.50800000000000001</v>
      </c>
      <c r="F64" s="6">
        <v>0.17100000000000001</v>
      </c>
      <c r="G64" s="6">
        <v>0.27800000000000002</v>
      </c>
      <c r="H64" s="6">
        <v>1.335</v>
      </c>
      <c r="I64" s="6">
        <v>8.0000000000000002E-3</v>
      </c>
      <c r="J64" s="6">
        <v>16.349</v>
      </c>
      <c r="K64" s="6">
        <v>0.434</v>
      </c>
      <c r="L64" s="6">
        <v>51.771000000000001</v>
      </c>
      <c r="M64" s="6">
        <v>14.256</v>
      </c>
      <c r="N64" s="6">
        <v>0.22</v>
      </c>
      <c r="O64" s="6">
        <v>99.831999999999994</v>
      </c>
      <c r="P64" s="6"/>
      <c r="Q64" s="9">
        <f t="shared" si="7"/>
        <v>0.19807919827406223</v>
      </c>
      <c r="R64" s="9">
        <f t="shared" si="8"/>
        <v>0.35370301451432823</v>
      </c>
      <c r="S64" s="9">
        <f t="shared" si="9"/>
        <v>0.29154035450622345</v>
      </c>
      <c r="T64" s="9">
        <f t="shared" si="10"/>
        <v>64.101923968682556</v>
      </c>
      <c r="U64" s="9">
        <f t="shared" si="11"/>
        <v>23.487951817713359</v>
      </c>
      <c r="V64" s="9">
        <f t="shared" si="12"/>
        <v>34.570443838765925</v>
      </c>
      <c r="W64" s="9">
        <f t="shared" si="13"/>
        <v>41.941604343520723</v>
      </c>
      <c r="X64" s="9"/>
      <c r="Y64" s="6">
        <v>2.7400000000000001E-2</v>
      </c>
      <c r="Z64" s="6">
        <v>3.5000000000000001E-3</v>
      </c>
      <c r="AA64" s="6">
        <v>1.798</v>
      </c>
      <c r="AB64" s="6">
        <v>6.0699999999999997E-2</v>
      </c>
      <c r="AC64" s="6">
        <v>5.0099999999999999E-2</v>
      </c>
      <c r="AD64" s="6">
        <v>3.5499999999999997E-2</v>
      </c>
      <c r="AE64" s="6">
        <v>0.23760000000000001</v>
      </c>
      <c r="AF64" s="6">
        <v>1.5E-3</v>
      </c>
      <c r="AG64" s="6">
        <v>2.6465000000000001</v>
      </c>
      <c r="AH64" s="6">
        <v>5.5599999999999997E-2</v>
      </c>
      <c r="AI64" s="6">
        <v>7.8211000000000004</v>
      </c>
      <c r="AJ64" s="6">
        <v>3.2105000000000001</v>
      </c>
      <c r="AK64" s="6">
        <v>2.6700000000000002E-2</v>
      </c>
      <c r="AL64" s="6">
        <v>15.9747</v>
      </c>
      <c r="AM64" s="6"/>
      <c r="AN64" s="9">
        <f t="shared" si="14"/>
        <v>8.6715328467153281</v>
      </c>
    </row>
    <row r="65" spans="1:40" x14ac:dyDescent="0.25">
      <c r="A65" s="6" t="s">
        <v>192</v>
      </c>
      <c r="B65" s="6">
        <v>0.23899999999999999</v>
      </c>
      <c r="C65" s="6">
        <v>0</v>
      </c>
      <c r="D65" s="6">
        <v>14.116</v>
      </c>
      <c r="E65" s="6">
        <v>0.61599999999999999</v>
      </c>
      <c r="F65" s="6">
        <v>0.217</v>
      </c>
      <c r="G65" s="6">
        <v>0.20699999999999999</v>
      </c>
      <c r="H65" s="6">
        <v>1.452</v>
      </c>
      <c r="I65" s="6">
        <v>5.0000000000000001E-3</v>
      </c>
      <c r="J65" s="6">
        <v>16.219000000000001</v>
      </c>
      <c r="K65" s="6">
        <v>0.40600000000000003</v>
      </c>
      <c r="L65" s="6">
        <v>51.338999999999999</v>
      </c>
      <c r="M65" s="6">
        <v>14.353999999999999</v>
      </c>
      <c r="N65" s="6">
        <v>0.38400000000000001</v>
      </c>
      <c r="O65" s="6">
        <v>99.554000000000002</v>
      </c>
      <c r="P65" s="6"/>
      <c r="Q65" s="9">
        <f t="shared" si="7"/>
        <v>0.19647853016911407</v>
      </c>
      <c r="R65" s="9">
        <f t="shared" si="8"/>
        <v>0.35613447463093906</v>
      </c>
      <c r="S65" s="9">
        <f t="shared" si="9"/>
        <v>0.28922215485573666</v>
      </c>
      <c r="T65" s="9">
        <f t="shared" si="10"/>
        <v>64.445547161850797</v>
      </c>
      <c r="U65" s="9">
        <f t="shared" si="11"/>
        <v>23.339311492935309</v>
      </c>
      <c r="V65" s="9">
        <f t="shared" si="12"/>
        <v>34.356150552561147</v>
      </c>
      <c r="W65" s="9">
        <f t="shared" si="13"/>
        <v>42.304537954503537</v>
      </c>
      <c r="X65" s="9"/>
      <c r="Y65" s="6">
        <v>2.7300000000000001E-2</v>
      </c>
      <c r="Z65" s="6">
        <v>0</v>
      </c>
      <c r="AA65" s="6">
        <v>1.7907999999999999</v>
      </c>
      <c r="AB65" s="6">
        <v>7.3800000000000004E-2</v>
      </c>
      <c r="AC65" s="6">
        <v>6.3799999999999996E-2</v>
      </c>
      <c r="AD65" s="6">
        <v>2.6499999999999999E-2</v>
      </c>
      <c r="AE65" s="6">
        <v>0.25950000000000001</v>
      </c>
      <c r="AF65" s="6">
        <v>1E-3</v>
      </c>
      <c r="AG65" s="6">
        <v>2.6360999999999999</v>
      </c>
      <c r="AH65" s="6">
        <v>5.2200000000000003E-2</v>
      </c>
      <c r="AI65" s="6">
        <v>7.7876000000000003</v>
      </c>
      <c r="AJ65" s="6">
        <v>3.2456999999999998</v>
      </c>
      <c r="AK65" s="6">
        <v>4.6699999999999998E-2</v>
      </c>
      <c r="AL65" s="6">
        <v>16.010999999999999</v>
      </c>
      <c r="AM65" s="6"/>
      <c r="AN65" s="9">
        <f t="shared" si="14"/>
        <v>9.5054945054945055</v>
      </c>
    </row>
    <row r="66" spans="1:40" x14ac:dyDescent="0.25">
      <c r="A66" s="6" t="s">
        <v>191</v>
      </c>
      <c r="B66" s="6">
        <v>0.23100000000000001</v>
      </c>
      <c r="C66" s="6">
        <v>0</v>
      </c>
      <c r="D66" s="6">
        <v>14.074</v>
      </c>
      <c r="E66" s="6">
        <v>0.50800000000000001</v>
      </c>
      <c r="F66" s="6">
        <v>0.17599999999999999</v>
      </c>
      <c r="G66" s="6">
        <v>0.21</v>
      </c>
      <c r="H66" s="6">
        <v>1.323</v>
      </c>
      <c r="I66" s="6">
        <v>0</v>
      </c>
      <c r="J66" s="6">
        <v>16.172000000000001</v>
      </c>
      <c r="K66" s="6">
        <v>0.42399999999999999</v>
      </c>
      <c r="L66" s="6">
        <v>51.707000000000001</v>
      </c>
      <c r="M66" s="6">
        <v>14.455</v>
      </c>
      <c r="N66" s="6">
        <v>0.30199999999999999</v>
      </c>
      <c r="O66" s="6">
        <v>99.581999999999994</v>
      </c>
      <c r="P66" s="6"/>
      <c r="Q66" s="9">
        <f t="shared" si="7"/>
        <v>0.19589393833948082</v>
      </c>
      <c r="R66" s="9">
        <f t="shared" si="8"/>
        <v>0.35864036720009923</v>
      </c>
      <c r="S66" s="9">
        <f t="shared" si="9"/>
        <v>0.28838403652056066</v>
      </c>
      <c r="T66" s="9">
        <f t="shared" si="10"/>
        <v>64.674153360292181</v>
      </c>
      <c r="U66" s="9">
        <f t="shared" si="11"/>
        <v>23.239966265380442</v>
      </c>
      <c r="V66" s="9">
        <f t="shared" si="12"/>
        <v>34.212571032175376</v>
      </c>
      <c r="W66" s="9">
        <f t="shared" si="13"/>
        <v>42.547462702444186</v>
      </c>
      <c r="X66" s="9"/>
      <c r="Y66" s="6">
        <v>2.63E-2</v>
      </c>
      <c r="Z66" s="6">
        <v>0</v>
      </c>
      <c r="AA66" s="6">
        <v>1.7816000000000001</v>
      </c>
      <c r="AB66" s="6">
        <v>6.08E-2</v>
      </c>
      <c r="AC66" s="6">
        <v>5.16E-2</v>
      </c>
      <c r="AD66" s="6">
        <v>2.69E-2</v>
      </c>
      <c r="AE66" s="6">
        <v>0.23599999999999999</v>
      </c>
      <c r="AF66" s="6">
        <v>0</v>
      </c>
      <c r="AG66" s="6">
        <v>2.6227</v>
      </c>
      <c r="AH66" s="6">
        <v>5.4399999999999997E-2</v>
      </c>
      <c r="AI66" s="6">
        <v>7.8262</v>
      </c>
      <c r="AJ66" s="6">
        <v>3.2614000000000001</v>
      </c>
      <c r="AK66" s="6">
        <v>3.6600000000000001E-2</v>
      </c>
      <c r="AL66" s="6">
        <v>15.984500000000001</v>
      </c>
      <c r="AM66" s="6"/>
      <c r="AN66" s="9">
        <f t="shared" si="14"/>
        <v>8.9733840304182504</v>
      </c>
    </row>
    <row r="67" spans="1:40" x14ac:dyDescent="0.25">
      <c r="A67" s="6" t="s">
        <v>65</v>
      </c>
      <c r="B67" s="6">
        <v>0.26300000000000001</v>
      </c>
      <c r="C67" s="6">
        <v>0</v>
      </c>
      <c r="D67" s="6">
        <v>14.356999999999999</v>
      </c>
      <c r="E67" s="6">
        <v>0.497</v>
      </c>
      <c r="F67" s="6">
        <v>0.161</v>
      </c>
      <c r="G67" s="6">
        <v>0.25900000000000001</v>
      </c>
      <c r="H67" s="6">
        <v>1.3280000000000001</v>
      </c>
      <c r="I67" s="6">
        <v>0</v>
      </c>
      <c r="J67" s="6">
        <v>15.826000000000001</v>
      </c>
      <c r="K67" s="6">
        <v>0.42499999999999999</v>
      </c>
      <c r="L67" s="6">
        <v>51.62</v>
      </c>
      <c r="M67" s="6">
        <v>14.609</v>
      </c>
      <c r="N67" s="6">
        <v>0</v>
      </c>
      <c r="O67" s="6">
        <v>99.344999999999999</v>
      </c>
      <c r="P67" s="6"/>
      <c r="Q67" s="9">
        <f t="shared" si="7"/>
        <v>0.19983297376296191</v>
      </c>
      <c r="R67" s="9">
        <f t="shared" si="8"/>
        <v>0.36246123309763056</v>
      </c>
      <c r="S67" s="9">
        <f t="shared" si="9"/>
        <v>0.28221405898926494</v>
      </c>
      <c r="T67" s="9">
        <f t="shared" si="10"/>
        <v>64.461135945420509</v>
      </c>
      <c r="U67" s="9">
        <f t="shared" si="11"/>
        <v>23.662642728767516</v>
      </c>
      <c r="V67" s="9">
        <f t="shared" si="12"/>
        <v>33.417560301232022</v>
      </c>
      <c r="W67" s="9">
        <f t="shared" si="13"/>
        <v>42.919796970000469</v>
      </c>
      <c r="X67" s="9"/>
      <c r="Y67" s="6">
        <v>2.9899999999999999E-2</v>
      </c>
      <c r="Z67" s="6">
        <v>0</v>
      </c>
      <c r="AA67" s="6">
        <v>1.8194999999999999</v>
      </c>
      <c r="AB67" s="6">
        <v>5.9499999999999997E-2</v>
      </c>
      <c r="AC67" s="6">
        <v>4.7399999999999998E-2</v>
      </c>
      <c r="AD67" s="6">
        <v>3.32E-2</v>
      </c>
      <c r="AE67" s="6">
        <v>0.23719999999999999</v>
      </c>
      <c r="AF67" s="6">
        <v>0</v>
      </c>
      <c r="AG67" s="6">
        <v>2.5697000000000001</v>
      </c>
      <c r="AH67" s="6">
        <v>5.4600000000000003E-2</v>
      </c>
      <c r="AI67" s="6">
        <v>7.8221999999999996</v>
      </c>
      <c r="AJ67" s="6">
        <v>3.3001</v>
      </c>
      <c r="AK67" s="6">
        <v>0</v>
      </c>
      <c r="AL67" s="6">
        <v>15.9733</v>
      </c>
      <c r="AM67" s="6"/>
      <c r="AN67" s="9">
        <f t="shared" si="14"/>
        <v>7.9331103678929766</v>
      </c>
    </row>
    <row r="68" spans="1:40" x14ac:dyDescent="0.25">
      <c r="A68" s="6" t="s">
        <v>195</v>
      </c>
      <c r="B68" s="6">
        <v>0.21099999999999999</v>
      </c>
      <c r="C68" s="6">
        <v>1.2E-2</v>
      </c>
      <c r="D68" s="6">
        <v>14.654999999999999</v>
      </c>
      <c r="E68" s="6">
        <v>0.47799999999999998</v>
      </c>
      <c r="F68" s="6">
        <v>0.16700000000000001</v>
      </c>
      <c r="G68" s="6">
        <v>0.32200000000000001</v>
      </c>
      <c r="H68" s="6">
        <v>1.272</v>
      </c>
      <c r="I68" s="6">
        <v>7.0000000000000001E-3</v>
      </c>
      <c r="J68" s="6">
        <v>15.366</v>
      </c>
      <c r="K68" s="6">
        <v>0.47299999999999998</v>
      </c>
      <c r="L68" s="6">
        <v>51.603000000000002</v>
      </c>
      <c r="M68" s="6">
        <v>14.403</v>
      </c>
      <c r="N68" s="6">
        <v>2.8000000000000001E-2</v>
      </c>
      <c r="O68" s="6">
        <v>98.997</v>
      </c>
      <c r="P68" s="6"/>
      <c r="Q68" s="9">
        <f t="shared" si="7"/>
        <v>0.20398079198274061</v>
      </c>
      <c r="R68" s="9">
        <f t="shared" si="8"/>
        <v>0.3573502046892445</v>
      </c>
      <c r="S68" s="9">
        <f t="shared" si="9"/>
        <v>0.27401119868754231</v>
      </c>
      <c r="T68" s="9">
        <f t="shared" si="10"/>
        <v>63.661227833114452</v>
      </c>
      <c r="U68" s="9">
        <f t="shared" si="11"/>
        <v>24.418830165157431</v>
      </c>
      <c r="V68" s="9">
        <f t="shared" si="12"/>
        <v>32.802269562069611</v>
      </c>
      <c r="W68" s="9">
        <f t="shared" si="13"/>
        <v>42.778900272772958</v>
      </c>
      <c r="X68" s="9"/>
      <c r="Y68" s="6">
        <v>2.41E-2</v>
      </c>
      <c r="Z68" s="6">
        <v>1.5E-3</v>
      </c>
      <c r="AA68" s="6">
        <v>1.8638999999999999</v>
      </c>
      <c r="AB68" s="6">
        <v>5.7500000000000002E-2</v>
      </c>
      <c r="AC68" s="6">
        <v>4.9299999999999997E-2</v>
      </c>
      <c r="AD68" s="6">
        <v>4.1500000000000002E-2</v>
      </c>
      <c r="AE68" s="6">
        <v>0.2281</v>
      </c>
      <c r="AF68" s="6">
        <v>1.2999999999999999E-3</v>
      </c>
      <c r="AG68" s="6">
        <v>2.5038999999999998</v>
      </c>
      <c r="AH68" s="6">
        <v>6.0999999999999999E-2</v>
      </c>
      <c r="AI68" s="6">
        <v>7.8478000000000003</v>
      </c>
      <c r="AJ68" s="6">
        <v>3.2650999999999999</v>
      </c>
      <c r="AK68" s="6">
        <v>3.3999999999999998E-3</v>
      </c>
      <c r="AL68" s="6">
        <v>15.948399999999999</v>
      </c>
      <c r="AM68" s="6"/>
      <c r="AN68" s="9">
        <f t="shared" si="14"/>
        <v>9.4647302904564317</v>
      </c>
    </row>
    <row r="69" spans="1:40" x14ac:dyDescent="0.25">
      <c r="A69" s="6" t="s">
        <v>258</v>
      </c>
      <c r="B69" s="6">
        <v>0.26800000000000002</v>
      </c>
      <c r="C69" s="6">
        <v>0</v>
      </c>
      <c r="D69" s="6">
        <v>14.497</v>
      </c>
      <c r="E69" s="6">
        <v>0.57399999999999995</v>
      </c>
      <c r="F69" s="6">
        <v>0.156</v>
      </c>
      <c r="G69" s="6">
        <v>0.28699999999999998</v>
      </c>
      <c r="H69" s="6">
        <v>1.353</v>
      </c>
      <c r="I69" s="6">
        <v>0</v>
      </c>
      <c r="J69" s="6">
        <v>14.951000000000001</v>
      </c>
      <c r="K69" s="6">
        <v>0.47899999999999998</v>
      </c>
      <c r="L69" s="6">
        <v>51.731999999999999</v>
      </c>
      <c r="M69" s="6">
        <v>14.743</v>
      </c>
      <c r="N69" s="6">
        <v>0.192</v>
      </c>
      <c r="O69" s="6">
        <v>99.231999999999999</v>
      </c>
      <c r="P69" s="6"/>
      <c r="Q69" s="9">
        <f t="shared" si="7"/>
        <v>0.20178161319507273</v>
      </c>
      <c r="R69" s="9">
        <f t="shared" si="8"/>
        <v>0.36578588264483314</v>
      </c>
      <c r="S69" s="9">
        <f t="shared" si="9"/>
        <v>0.26661079211098826</v>
      </c>
      <c r="T69" s="9">
        <f t="shared" si="10"/>
        <v>64.447996991711207</v>
      </c>
      <c r="U69" s="9">
        <f t="shared" si="11"/>
        <v>24.189266984008469</v>
      </c>
      <c r="V69" s="9">
        <f t="shared" si="12"/>
        <v>31.96088845298296</v>
      </c>
      <c r="W69" s="9">
        <f t="shared" si="13"/>
        <v>43.849844563008574</v>
      </c>
      <c r="X69" s="9"/>
      <c r="Y69" s="6">
        <v>3.0599999999999999E-2</v>
      </c>
      <c r="Z69" s="6">
        <v>0</v>
      </c>
      <c r="AA69" s="6">
        <v>1.8372999999999999</v>
      </c>
      <c r="AB69" s="6">
        <v>6.8699999999999997E-2</v>
      </c>
      <c r="AC69" s="6">
        <v>4.5900000000000003E-2</v>
      </c>
      <c r="AD69" s="6">
        <v>3.6900000000000002E-2</v>
      </c>
      <c r="AE69" s="6">
        <v>0.2417</v>
      </c>
      <c r="AF69" s="6">
        <v>0</v>
      </c>
      <c r="AG69" s="6">
        <v>2.4276</v>
      </c>
      <c r="AH69" s="6">
        <v>6.1400000000000003E-2</v>
      </c>
      <c r="AI69" s="6">
        <v>7.8391000000000002</v>
      </c>
      <c r="AJ69" s="6">
        <v>3.3302</v>
      </c>
      <c r="AK69" s="6">
        <v>2.3400000000000001E-2</v>
      </c>
      <c r="AL69" s="6">
        <v>15.9428</v>
      </c>
      <c r="AM69" s="6"/>
      <c r="AN69" s="9">
        <f t="shared" si="14"/>
        <v>7.8986928104575167</v>
      </c>
    </row>
    <row r="70" spans="1:40" s="13" customFormat="1" x14ac:dyDescent="0.25">
      <c r="A70" s="6" t="s">
        <v>221</v>
      </c>
      <c r="B70" s="13">
        <v>0.26</v>
      </c>
      <c r="D70" s="13">
        <v>12.869</v>
      </c>
      <c r="E70" s="13">
        <v>0.64700000000000002</v>
      </c>
      <c r="F70" s="13">
        <v>0.21099999999999999</v>
      </c>
      <c r="G70" s="13">
        <v>3.7999999999999999E-2</v>
      </c>
      <c r="H70" s="13">
        <v>1.427</v>
      </c>
      <c r="I70" s="13">
        <v>0</v>
      </c>
      <c r="J70" s="13">
        <v>16.914999999999999</v>
      </c>
      <c r="K70" s="13">
        <v>0.47399999999999998</v>
      </c>
      <c r="L70" s="13">
        <v>52.158000000000001</v>
      </c>
      <c r="M70" s="13">
        <v>15.583</v>
      </c>
      <c r="O70" s="13">
        <v>100.58199999999999</v>
      </c>
      <c r="Q70" s="9">
        <f t="shared" ref="Q70:Q101" si="15">D70/(55.845+16)</f>
        <v>0.17912172037024149</v>
      </c>
      <c r="R70" s="9">
        <f t="shared" ref="R70:R101" si="16">M70/(24.305+16)</f>
        <v>0.38662696935864038</v>
      </c>
      <c r="S70" s="9">
        <f t="shared" ref="S70:S101" si="17">J70/(40.078+16)</f>
        <v>0.30163343913834301</v>
      </c>
      <c r="T70" s="9">
        <f t="shared" ref="T70:T127" si="18">R70/(Q70+R70)*100</f>
        <v>68.338995101149905</v>
      </c>
      <c r="U70" s="9">
        <f t="shared" ref="U70:U127" si="19">Q70/(Q70+S70+R70)*100</f>
        <v>20.650842853330296</v>
      </c>
      <c r="V70" s="9">
        <f t="shared" ref="V70:V127" si="20">S70/(Q70+S70+R70)*100</f>
        <v>34.775150317227229</v>
      </c>
      <c r="W70" s="9">
        <f t="shared" ref="W70:W127" si="21">R70/(Q70+S70+R70)*100</f>
        <v>44.574006829442482</v>
      </c>
      <c r="X70" s="9"/>
      <c r="Y70" s="13">
        <v>2.92E-2</v>
      </c>
      <c r="AA70" s="13">
        <v>1.6064000000000001</v>
      </c>
      <c r="AB70" s="13">
        <v>7.6399999999999996E-2</v>
      </c>
      <c r="AC70" s="13">
        <v>6.1199999999999997E-2</v>
      </c>
      <c r="AD70" s="13">
        <v>4.7999999999999996E-3</v>
      </c>
      <c r="AE70" s="13">
        <v>0.25109999999999999</v>
      </c>
      <c r="AF70" s="13">
        <v>0</v>
      </c>
      <c r="AG70" s="13">
        <v>2.7050999999999998</v>
      </c>
      <c r="AH70" s="13">
        <v>5.9900000000000002E-2</v>
      </c>
      <c r="AI70" s="13">
        <v>7.7847</v>
      </c>
      <c r="AJ70" s="13">
        <v>3.4670000000000001</v>
      </c>
      <c r="AL70" s="13">
        <v>16.0458</v>
      </c>
      <c r="AN70" s="9">
        <f t="shared" ref="AN70:AN125" si="22">AE70/Y70</f>
        <v>8.5993150684931496</v>
      </c>
    </row>
    <row r="71" spans="1:40" s="13" customFormat="1" x14ac:dyDescent="0.25">
      <c r="A71" s="6" t="s">
        <v>121</v>
      </c>
      <c r="B71" s="13">
        <v>0.26200000000000001</v>
      </c>
      <c r="D71" s="13">
        <v>13.496</v>
      </c>
      <c r="E71" s="13">
        <v>0.65</v>
      </c>
      <c r="F71" s="13">
        <v>0.17100000000000001</v>
      </c>
      <c r="G71" s="13">
        <v>0.27200000000000002</v>
      </c>
      <c r="H71" s="13">
        <v>1.3160000000000001</v>
      </c>
      <c r="I71" s="13">
        <v>0</v>
      </c>
      <c r="J71" s="13">
        <v>15.539</v>
      </c>
      <c r="K71" s="13">
        <v>0.47299999999999998</v>
      </c>
      <c r="L71" s="13">
        <v>52.371000000000002</v>
      </c>
      <c r="M71" s="13">
        <v>16.277000000000001</v>
      </c>
      <c r="O71" s="13">
        <v>100.827</v>
      </c>
      <c r="Q71" s="9">
        <f t="shared" si="15"/>
        <v>0.18784884125548057</v>
      </c>
      <c r="R71" s="9">
        <f t="shared" si="16"/>
        <v>0.40384567671504779</v>
      </c>
      <c r="S71" s="9">
        <f t="shared" si="17"/>
        <v>0.2770961874531902</v>
      </c>
      <c r="T71" s="9">
        <f t="shared" si="18"/>
        <v>68.252394512663514</v>
      </c>
      <c r="U71" s="9">
        <f t="shared" si="19"/>
        <v>21.621875105565806</v>
      </c>
      <c r="V71" s="9">
        <f t="shared" si="20"/>
        <v>31.894469602785108</v>
      </c>
      <c r="W71" s="9">
        <f t="shared" si="21"/>
        <v>46.483655291649093</v>
      </c>
      <c r="X71" s="9"/>
      <c r="Y71" s="13">
        <v>2.92E-2</v>
      </c>
      <c r="AA71" s="13">
        <v>1.6765000000000001</v>
      </c>
      <c r="AB71" s="13">
        <v>7.6300000000000007E-2</v>
      </c>
      <c r="AC71" s="13">
        <v>4.9200000000000001E-2</v>
      </c>
      <c r="AD71" s="13">
        <v>3.4200000000000001E-2</v>
      </c>
      <c r="AE71" s="13">
        <v>0.23039999999999999</v>
      </c>
      <c r="AF71" s="13">
        <v>0</v>
      </c>
      <c r="AG71" s="13">
        <v>2.4731999999999998</v>
      </c>
      <c r="AH71" s="13">
        <v>5.9499999999999997E-2</v>
      </c>
      <c r="AI71" s="13">
        <v>7.7790999999999997</v>
      </c>
      <c r="AJ71" s="13">
        <v>3.6042000000000001</v>
      </c>
      <c r="AL71" s="13">
        <v>16.011800000000001</v>
      </c>
      <c r="AN71" s="9">
        <f t="shared" si="22"/>
        <v>7.8904109589041092</v>
      </c>
    </row>
    <row r="72" spans="1:40" s="13" customFormat="1" x14ac:dyDescent="0.25">
      <c r="A72" s="6" t="s">
        <v>662</v>
      </c>
      <c r="B72" s="13">
        <v>0.27100000000000002</v>
      </c>
      <c r="D72" s="13">
        <v>13.153</v>
      </c>
      <c r="E72" s="13">
        <v>0.70699999999999996</v>
      </c>
      <c r="F72" s="13">
        <v>0.189</v>
      </c>
      <c r="G72" s="13">
        <v>0.26300000000000001</v>
      </c>
      <c r="H72" s="13">
        <v>1.371</v>
      </c>
      <c r="I72" s="13">
        <v>0</v>
      </c>
      <c r="J72" s="13">
        <v>16.222999999999999</v>
      </c>
      <c r="K72" s="13">
        <v>0.46</v>
      </c>
      <c r="L72" s="13">
        <v>52.122</v>
      </c>
      <c r="M72" s="13">
        <v>15.77</v>
      </c>
      <c r="O72" s="13">
        <v>100.529</v>
      </c>
      <c r="Q72" s="9">
        <f t="shared" si="15"/>
        <v>0.1830746746468091</v>
      </c>
      <c r="R72" s="9">
        <f t="shared" si="16"/>
        <v>0.39126659223421412</v>
      </c>
      <c r="S72" s="9">
        <f t="shared" si="17"/>
        <v>0.28929348407575162</v>
      </c>
      <c r="T72" s="9">
        <f t="shared" si="18"/>
        <v>68.124408743776783</v>
      </c>
      <c r="U72" s="9">
        <f t="shared" si="19"/>
        <v>21.198159805865902</v>
      </c>
      <c r="V72" s="9">
        <f t="shared" si="20"/>
        <v>33.497202811172066</v>
      </c>
      <c r="W72" s="9">
        <f t="shared" si="21"/>
        <v>45.304637382962042</v>
      </c>
      <c r="X72" s="9"/>
      <c r="Y72" s="13">
        <v>3.04E-2</v>
      </c>
      <c r="AA72" s="13">
        <v>1.6404000000000001</v>
      </c>
      <c r="AB72" s="13">
        <v>8.3400000000000002E-2</v>
      </c>
      <c r="AC72" s="13">
        <v>5.4600000000000003E-2</v>
      </c>
      <c r="AD72" s="13">
        <v>3.32E-2</v>
      </c>
      <c r="AE72" s="13">
        <v>0.24099999999999999</v>
      </c>
      <c r="AF72" s="13">
        <v>0</v>
      </c>
      <c r="AG72" s="13">
        <v>2.5922999999999998</v>
      </c>
      <c r="AH72" s="13">
        <v>5.8099999999999999E-2</v>
      </c>
      <c r="AI72" s="13">
        <v>7.7728000000000002</v>
      </c>
      <c r="AJ72" s="13">
        <v>3.5057999999999998</v>
      </c>
      <c r="AL72" s="13">
        <v>16.012</v>
      </c>
      <c r="AN72" s="9">
        <f t="shared" si="22"/>
        <v>7.9276315789473681</v>
      </c>
    </row>
    <row r="73" spans="1:40" s="13" customFormat="1" x14ac:dyDescent="0.25">
      <c r="A73" s="6" t="s">
        <v>130</v>
      </c>
      <c r="B73" s="13">
        <v>0.28999999999999998</v>
      </c>
      <c r="D73" s="13">
        <v>13.237</v>
      </c>
      <c r="E73" s="13">
        <v>0.66300000000000003</v>
      </c>
      <c r="F73" s="13">
        <v>0.159</v>
      </c>
      <c r="G73" s="13">
        <v>0.34300000000000003</v>
      </c>
      <c r="H73" s="13">
        <v>1.4239999999999999</v>
      </c>
      <c r="I73" s="13">
        <v>0</v>
      </c>
      <c r="J73" s="13">
        <v>16.53</v>
      </c>
      <c r="K73" s="13">
        <v>0.47899999999999998</v>
      </c>
      <c r="L73" s="13">
        <v>52.026000000000003</v>
      </c>
      <c r="M73" s="13">
        <v>15.714</v>
      </c>
      <c r="O73" s="13">
        <v>100.86499999999999</v>
      </c>
      <c r="Q73" s="9">
        <f t="shared" si="15"/>
        <v>0.18424385830607559</v>
      </c>
      <c r="R73" s="9">
        <f t="shared" si="16"/>
        <v>0.38987718645329367</v>
      </c>
      <c r="S73" s="9">
        <f t="shared" si="17"/>
        <v>0.29476800171190126</v>
      </c>
      <c r="T73" s="9">
        <f t="shared" si="18"/>
        <v>67.908534273761461</v>
      </c>
      <c r="U73" s="9">
        <f t="shared" si="19"/>
        <v>21.204532276511735</v>
      </c>
      <c r="V73" s="9">
        <f t="shared" si="20"/>
        <v>33.924699926764198</v>
      </c>
      <c r="W73" s="9">
        <f t="shared" si="21"/>
        <v>44.870767796724067</v>
      </c>
      <c r="X73" s="9"/>
      <c r="Y73" s="13">
        <v>3.2399999999999998E-2</v>
      </c>
      <c r="AA73" s="13">
        <v>1.6473</v>
      </c>
      <c r="AB73" s="13">
        <v>7.8100000000000003E-2</v>
      </c>
      <c r="AC73" s="13">
        <v>4.5999999999999999E-2</v>
      </c>
      <c r="AD73" s="13">
        <v>4.3200000000000002E-2</v>
      </c>
      <c r="AE73" s="13">
        <v>0.24979999999999999</v>
      </c>
      <c r="AF73" s="13">
        <v>0</v>
      </c>
      <c r="AG73" s="13">
        <v>2.6356000000000002</v>
      </c>
      <c r="AH73" s="13">
        <v>6.0299999999999999E-2</v>
      </c>
      <c r="AI73" s="13">
        <v>7.7416999999999998</v>
      </c>
      <c r="AJ73" s="13">
        <v>3.4857</v>
      </c>
      <c r="AL73" s="13">
        <v>16.020099999999999</v>
      </c>
      <c r="AN73" s="9">
        <f t="shared" si="22"/>
        <v>7.7098765432098766</v>
      </c>
    </row>
    <row r="74" spans="1:40" s="13" customFormat="1" x14ac:dyDescent="0.25">
      <c r="A74" s="6" t="s">
        <v>54</v>
      </c>
      <c r="B74" s="13">
        <v>0.26200000000000001</v>
      </c>
      <c r="D74" s="13">
        <v>13.877000000000001</v>
      </c>
      <c r="E74" s="13">
        <v>0.66800000000000004</v>
      </c>
      <c r="F74" s="13">
        <v>0.154</v>
      </c>
      <c r="G74" s="13">
        <v>0.29399999999999998</v>
      </c>
      <c r="H74" s="13">
        <v>1.3759999999999999</v>
      </c>
      <c r="I74" s="13">
        <v>0</v>
      </c>
      <c r="J74" s="13">
        <v>15.834</v>
      </c>
      <c r="K74" s="13">
        <v>0.52600000000000002</v>
      </c>
      <c r="L74" s="13">
        <v>51.779000000000003</v>
      </c>
      <c r="M74" s="13">
        <v>16.216999999999999</v>
      </c>
      <c r="O74" s="13">
        <v>100.98699999999999</v>
      </c>
      <c r="Q74" s="9">
        <f t="shared" si="15"/>
        <v>0.19315192428143924</v>
      </c>
      <c r="R74" s="9">
        <f t="shared" si="16"/>
        <v>0.40235702766406151</v>
      </c>
      <c r="S74" s="9">
        <f t="shared" si="17"/>
        <v>0.28235671742929491</v>
      </c>
      <c r="T74" s="9">
        <f t="shared" si="18"/>
        <v>67.565235812086328</v>
      </c>
      <c r="U74" s="9">
        <f t="shared" si="19"/>
        <v>22.002446504030562</v>
      </c>
      <c r="V74" s="9">
        <f t="shared" si="20"/>
        <v>32.16400040229226</v>
      </c>
      <c r="W74" s="9">
        <f t="shared" si="21"/>
        <v>45.833553093677175</v>
      </c>
      <c r="X74" s="9"/>
      <c r="Y74" s="13">
        <v>2.93E-2</v>
      </c>
      <c r="AA74" s="13">
        <v>1.7284999999999999</v>
      </c>
      <c r="AB74" s="13">
        <v>7.8700000000000006E-2</v>
      </c>
      <c r="AC74" s="13">
        <v>4.4299999999999999E-2</v>
      </c>
      <c r="AD74" s="13">
        <v>3.7100000000000001E-2</v>
      </c>
      <c r="AE74" s="13">
        <v>0.24160000000000001</v>
      </c>
      <c r="AF74" s="13">
        <v>0</v>
      </c>
      <c r="AG74" s="13">
        <v>2.5268999999999999</v>
      </c>
      <c r="AH74" s="13">
        <v>6.6400000000000001E-2</v>
      </c>
      <c r="AI74" s="13">
        <v>7.7119</v>
      </c>
      <c r="AJ74" s="13">
        <v>3.6006</v>
      </c>
      <c r="AL74" s="13">
        <v>16.065300000000001</v>
      </c>
      <c r="AN74" s="9">
        <f t="shared" si="22"/>
        <v>8.2457337883959045</v>
      </c>
    </row>
    <row r="75" spans="1:40" s="13" customFormat="1" x14ac:dyDescent="0.25">
      <c r="A75" s="6" t="s">
        <v>235</v>
      </c>
      <c r="B75" s="13">
        <v>0.313</v>
      </c>
      <c r="D75" s="13">
        <v>13.391999999999999</v>
      </c>
      <c r="E75" s="13">
        <v>0.69499999999999995</v>
      </c>
      <c r="F75" s="13">
        <v>0.192</v>
      </c>
      <c r="G75" s="13">
        <v>2.7E-2</v>
      </c>
      <c r="H75" s="13">
        <v>1.4430000000000001</v>
      </c>
      <c r="I75" s="13">
        <v>8.0000000000000002E-3</v>
      </c>
      <c r="J75" s="13">
        <v>16.712</v>
      </c>
      <c r="K75" s="13">
        <v>0.49199999999999999</v>
      </c>
      <c r="L75" s="13">
        <v>52.128999999999998</v>
      </c>
      <c r="M75" s="13">
        <v>15.566000000000001</v>
      </c>
      <c r="O75" s="13">
        <v>100.96899999999999</v>
      </c>
      <c r="Q75" s="9">
        <f t="shared" si="15"/>
        <v>0.18640128053448396</v>
      </c>
      <c r="R75" s="9">
        <f t="shared" si="16"/>
        <v>0.38620518546086097</v>
      </c>
      <c r="S75" s="9">
        <f t="shared" si="17"/>
        <v>0.29801348122258281</v>
      </c>
      <c r="T75" s="9">
        <f t="shared" si="18"/>
        <v>67.446878160820617</v>
      </c>
      <c r="U75" s="9">
        <f t="shared" si="19"/>
        <v>21.410178015117918</v>
      </c>
      <c r="V75" s="9">
        <f t="shared" si="20"/>
        <v>34.230031390262425</v>
      </c>
      <c r="W75" s="9">
        <f t="shared" si="21"/>
        <v>44.35979059461966</v>
      </c>
      <c r="X75" s="9"/>
      <c r="Y75" s="13">
        <v>3.5099999999999999E-2</v>
      </c>
      <c r="AA75" s="13">
        <v>1.6687000000000001</v>
      </c>
      <c r="AB75" s="13">
        <v>8.1799999999999998E-2</v>
      </c>
      <c r="AC75" s="13">
        <v>5.5399999999999998E-2</v>
      </c>
      <c r="AD75" s="13">
        <v>3.3999999999999998E-3</v>
      </c>
      <c r="AE75" s="13">
        <v>0.25340000000000001</v>
      </c>
      <c r="AF75" s="13">
        <v>1.4E-3</v>
      </c>
      <c r="AG75" s="13">
        <v>2.6680000000000001</v>
      </c>
      <c r="AH75" s="13">
        <v>6.2100000000000002E-2</v>
      </c>
      <c r="AI75" s="13">
        <v>7.7668999999999997</v>
      </c>
      <c r="AJ75" s="13">
        <v>3.4573</v>
      </c>
      <c r="AL75" s="13">
        <v>16.0535</v>
      </c>
      <c r="AN75" s="9">
        <f t="shared" si="22"/>
        <v>7.2193732193732201</v>
      </c>
    </row>
    <row r="76" spans="1:40" s="13" customFormat="1" x14ac:dyDescent="0.25">
      <c r="A76" s="6" t="s">
        <v>247</v>
      </c>
      <c r="B76" s="13">
        <v>0.27700000000000002</v>
      </c>
      <c r="D76" s="13">
        <v>13.365</v>
      </c>
      <c r="E76" s="13">
        <v>0.61099999999999999</v>
      </c>
      <c r="F76" s="13">
        <v>0.17599999999999999</v>
      </c>
      <c r="G76" s="13">
        <v>0.32900000000000001</v>
      </c>
      <c r="H76" s="13">
        <v>1.5009999999999999</v>
      </c>
      <c r="I76" s="13">
        <v>4.0000000000000001E-3</v>
      </c>
      <c r="J76" s="13">
        <v>16.777999999999999</v>
      </c>
      <c r="K76" s="13">
        <v>0.45</v>
      </c>
      <c r="L76" s="13">
        <v>51.811999999999998</v>
      </c>
      <c r="M76" s="13">
        <v>15.391999999999999</v>
      </c>
      <c r="O76" s="13">
        <v>100.69499999999999</v>
      </c>
      <c r="Q76" s="9">
        <f t="shared" si="15"/>
        <v>0.18602547150114832</v>
      </c>
      <c r="R76" s="9">
        <f t="shared" si="16"/>
        <v>0.38188810321300087</v>
      </c>
      <c r="S76" s="9">
        <f t="shared" si="17"/>
        <v>0.29919041335282992</v>
      </c>
      <c r="T76" s="9">
        <f t="shared" si="18"/>
        <v>67.244052654529099</v>
      </c>
      <c r="U76" s="9">
        <f t="shared" si="19"/>
        <v>21.453651933472464</v>
      </c>
      <c r="V76" s="9">
        <f t="shared" si="20"/>
        <v>34.504559714897667</v>
      </c>
      <c r="W76" s="9">
        <f t="shared" si="21"/>
        <v>44.041788351629876</v>
      </c>
      <c r="X76" s="9"/>
      <c r="Y76" s="13">
        <v>3.1099999999999999E-2</v>
      </c>
      <c r="AA76" s="13">
        <v>1.6686000000000001</v>
      </c>
      <c r="AB76" s="13">
        <v>7.22E-2</v>
      </c>
      <c r="AC76" s="13">
        <v>5.0999999999999997E-2</v>
      </c>
      <c r="AD76" s="13">
        <v>4.1599999999999998E-2</v>
      </c>
      <c r="AE76" s="13">
        <v>0.2641</v>
      </c>
      <c r="AF76" s="13">
        <v>6.9999999999999999E-4</v>
      </c>
      <c r="AG76" s="13">
        <v>2.6837</v>
      </c>
      <c r="AH76" s="13">
        <v>5.6899999999999999E-2</v>
      </c>
      <c r="AI76" s="13">
        <v>7.7346000000000004</v>
      </c>
      <c r="AJ76" s="13">
        <v>3.4251</v>
      </c>
      <c r="AL76" s="13">
        <v>16.029599999999999</v>
      </c>
      <c r="AN76" s="9">
        <f t="shared" si="22"/>
        <v>8.4919614147909979</v>
      </c>
    </row>
    <row r="77" spans="1:40" s="13" customFormat="1" x14ac:dyDescent="0.25">
      <c r="A77" s="6" t="s">
        <v>239</v>
      </c>
      <c r="B77" s="13">
        <v>0.27200000000000002</v>
      </c>
      <c r="D77" s="13">
        <v>13.486000000000001</v>
      </c>
      <c r="E77" s="13">
        <v>0.624</v>
      </c>
      <c r="F77" s="13">
        <v>0.184</v>
      </c>
      <c r="G77" s="13">
        <v>0.27400000000000002</v>
      </c>
      <c r="H77" s="13">
        <v>1.4379999999999999</v>
      </c>
      <c r="I77" s="13">
        <v>0</v>
      </c>
      <c r="J77" s="13">
        <v>16.399999999999999</v>
      </c>
      <c r="K77" s="13">
        <v>0.49299999999999999</v>
      </c>
      <c r="L77" s="13">
        <v>52.177</v>
      </c>
      <c r="M77" s="13">
        <v>15.5</v>
      </c>
      <c r="O77" s="13">
        <v>100.848</v>
      </c>
      <c r="Q77" s="9">
        <f t="shared" si="15"/>
        <v>0.18770965272461551</v>
      </c>
      <c r="R77" s="9">
        <f t="shared" si="16"/>
        <v>0.38456767150477611</v>
      </c>
      <c r="S77" s="9">
        <f t="shared" si="17"/>
        <v>0.29244980206141441</v>
      </c>
      <c r="T77" s="9">
        <f t="shared" si="18"/>
        <v>67.199529882233463</v>
      </c>
      <c r="U77" s="9">
        <f t="shared" si="19"/>
        <v>21.707385719444762</v>
      </c>
      <c r="V77" s="9">
        <f t="shared" si="20"/>
        <v>33.819894527405417</v>
      </c>
      <c r="W77" s="9">
        <f t="shared" si="21"/>
        <v>44.472719753149818</v>
      </c>
      <c r="X77" s="9"/>
      <c r="Y77" s="13">
        <v>3.0499999999999999E-2</v>
      </c>
      <c r="AA77" s="13">
        <v>1.6794</v>
      </c>
      <c r="AB77" s="13">
        <v>7.3400000000000007E-2</v>
      </c>
      <c r="AC77" s="13">
        <v>5.3100000000000001E-2</v>
      </c>
      <c r="AD77" s="13">
        <v>3.4599999999999999E-2</v>
      </c>
      <c r="AE77" s="13">
        <v>0.25240000000000001</v>
      </c>
      <c r="AF77" s="13">
        <v>0</v>
      </c>
      <c r="AG77" s="13">
        <v>2.6166</v>
      </c>
      <c r="AH77" s="13">
        <v>6.2199999999999998E-2</v>
      </c>
      <c r="AI77" s="13">
        <v>7.7693000000000003</v>
      </c>
      <c r="AJ77" s="13">
        <v>3.4405000000000001</v>
      </c>
      <c r="AL77" s="13">
        <v>16.012</v>
      </c>
      <c r="AN77" s="9">
        <f t="shared" si="22"/>
        <v>8.2754098360655739</v>
      </c>
    </row>
    <row r="78" spans="1:40" s="13" customFormat="1" x14ac:dyDescent="0.25">
      <c r="A78" s="6" t="s">
        <v>59</v>
      </c>
      <c r="B78" s="13">
        <v>0.20799999999999999</v>
      </c>
      <c r="D78" s="13">
        <v>13.622999999999999</v>
      </c>
      <c r="E78" s="13">
        <v>0.60799999999999998</v>
      </c>
      <c r="F78" s="13">
        <v>0.188</v>
      </c>
      <c r="G78" s="13">
        <v>0.33400000000000002</v>
      </c>
      <c r="H78" s="13">
        <v>1.488</v>
      </c>
      <c r="I78" s="13">
        <v>0</v>
      </c>
      <c r="J78" s="13">
        <v>16.838000000000001</v>
      </c>
      <c r="K78" s="13">
        <v>0.45900000000000002</v>
      </c>
      <c r="L78" s="13">
        <v>51.789000000000001</v>
      </c>
      <c r="M78" s="13">
        <v>15.585000000000001</v>
      </c>
      <c r="O78" s="13">
        <v>101.12</v>
      </c>
      <c r="Q78" s="9">
        <f t="shared" si="15"/>
        <v>0.18961653559746677</v>
      </c>
      <c r="R78" s="9">
        <f t="shared" si="16"/>
        <v>0.38667659099367324</v>
      </c>
      <c r="S78" s="9">
        <f t="shared" si="17"/>
        <v>0.3002603516530547</v>
      </c>
      <c r="T78" s="9">
        <f t="shared" si="18"/>
        <v>67.097206812255962</v>
      </c>
      <c r="U78" s="9">
        <f t="shared" si="19"/>
        <v>21.632055579459173</v>
      </c>
      <c r="V78" s="9">
        <f t="shared" si="20"/>
        <v>34.254652922546121</v>
      </c>
      <c r="W78" s="9">
        <f t="shared" si="21"/>
        <v>44.113291497994709</v>
      </c>
      <c r="X78" s="9"/>
      <c r="Y78" s="13">
        <v>2.3300000000000001E-2</v>
      </c>
      <c r="AA78" s="13">
        <v>1.6962999999999999</v>
      </c>
      <c r="AB78" s="13">
        <v>7.1599999999999997E-2</v>
      </c>
      <c r="AC78" s="13">
        <v>5.4199999999999998E-2</v>
      </c>
      <c r="AD78" s="13">
        <v>4.2099999999999999E-2</v>
      </c>
      <c r="AE78" s="13">
        <v>0.26119999999999999</v>
      </c>
      <c r="AF78" s="13">
        <v>0</v>
      </c>
      <c r="AG78" s="13">
        <v>2.6863000000000001</v>
      </c>
      <c r="AH78" s="13">
        <v>5.79E-2</v>
      </c>
      <c r="AI78" s="13">
        <v>7.7111000000000001</v>
      </c>
      <c r="AJ78" s="13">
        <v>3.4590999999999998</v>
      </c>
      <c r="AL78" s="13">
        <v>16.063099999999999</v>
      </c>
      <c r="AN78" s="9">
        <f t="shared" si="22"/>
        <v>11.210300429184548</v>
      </c>
    </row>
    <row r="79" spans="1:40" s="13" customFormat="1" x14ac:dyDescent="0.25">
      <c r="A79" s="6" t="s">
        <v>663</v>
      </c>
      <c r="B79" s="13">
        <v>0.25800000000000001</v>
      </c>
      <c r="D79" s="13">
        <v>13.959</v>
      </c>
      <c r="E79" s="13">
        <v>0.622</v>
      </c>
      <c r="F79" s="13">
        <v>0.159</v>
      </c>
      <c r="G79" s="13">
        <v>0.28299999999999997</v>
      </c>
      <c r="H79" s="13">
        <v>1.3939999999999999</v>
      </c>
      <c r="I79" s="13">
        <v>6.0000000000000001E-3</v>
      </c>
      <c r="J79" s="13">
        <v>15.157999999999999</v>
      </c>
      <c r="K79" s="13">
        <v>0.48599999999999999</v>
      </c>
      <c r="L79" s="13">
        <v>51.936999999999998</v>
      </c>
      <c r="M79" s="13">
        <v>15.932</v>
      </c>
      <c r="O79" s="13">
        <v>100.194</v>
      </c>
      <c r="Q79" s="9">
        <f t="shared" si="15"/>
        <v>0.19429327023453266</v>
      </c>
      <c r="R79" s="9">
        <f t="shared" si="16"/>
        <v>0.39528594467187694</v>
      </c>
      <c r="S79" s="9">
        <f t="shared" si="17"/>
        <v>0.27030207924676342</v>
      </c>
      <c r="T79" s="9">
        <f t="shared" si="18"/>
        <v>67.045434214404082</v>
      </c>
      <c r="U79" s="9">
        <f t="shared" si="19"/>
        <v>22.595359563656544</v>
      </c>
      <c r="V79" s="9">
        <f t="shared" si="20"/>
        <v>31.434813280007667</v>
      </c>
      <c r="W79" s="9">
        <f t="shared" si="21"/>
        <v>45.969827156335782</v>
      </c>
      <c r="X79" s="9"/>
      <c r="Y79" s="13">
        <v>2.9100000000000001E-2</v>
      </c>
      <c r="AA79" s="13">
        <v>1.7479</v>
      </c>
      <c r="AB79" s="13">
        <v>7.3599999999999999E-2</v>
      </c>
      <c r="AC79" s="13">
        <v>4.6300000000000001E-2</v>
      </c>
      <c r="AD79" s="13">
        <v>3.5799999999999998E-2</v>
      </c>
      <c r="AE79" s="13">
        <v>0.246</v>
      </c>
      <c r="AF79" s="13">
        <v>1.1000000000000001E-3</v>
      </c>
      <c r="AG79" s="13">
        <v>2.4318</v>
      </c>
      <c r="AH79" s="13">
        <v>6.1600000000000002E-2</v>
      </c>
      <c r="AI79" s="13">
        <v>7.7760999999999996</v>
      </c>
      <c r="AJ79" s="13">
        <v>3.5558000000000001</v>
      </c>
      <c r="AL79" s="13">
        <v>16.005099999999999</v>
      </c>
      <c r="AN79" s="9">
        <f t="shared" si="22"/>
        <v>8.4536082474226806</v>
      </c>
    </row>
    <row r="80" spans="1:40" s="13" customFormat="1" x14ac:dyDescent="0.25">
      <c r="A80" s="6" t="s">
        <v>165</v>
      </c>
      <c r="B80" s="13">
        <v>0.29199999999999998</v>
      </c>
      <c r="D80" s="13">
        <v>13.363</v>
      </c>
      <c r="E80" s="13">
        <v>0.624</v>
      </c>
      <c r="F80" s="13">
        <v>0.19</v>
      </c>
      <c r="G80" s="13">
        <v>0</v>
      </c>
      <c r="H80" s="13">
        <v>1.6839999999999999</v>
      </c>
      <c r="I80" s="13">
        <v>0</v>
      </c>
      <c r="J80" s="13">
        <v>16.591999999999999</v>
      </c>
      <c r="K80" s="13">
        <v>0.47499999999999998</v>
      </c>
      <c r="L80" s="13">
        <v>51.823999999999998</v>
      </c>
      <c r="M80" s="13">
        <v>15.250999999999999</v>
      </c>
      <c r="O80" s="13">
        <v>100.295</v>
      </c>
      <c r="Q80" s="9">
        <f t="shared" si="15"/>
        <v>0.1859976337949753</v>
      </c>
      <c r="R80" s="9">
        <f t="shared" si="16"/>
        <v>0.37838977794318324</v>
      </c>
      <c r="S80" s="9">
        <f t="shared" si="17"/>
        <v>0.29587360462213341</v>
      </c>
      <c r="T80" s="9">
        <f t="shared" si="18"/>
        <v>67.044333391109205</v>
      </c>
      <c r="U80" s="9">
        <f t="shared" si="19"/>
        <v>21.621069682073834</v>
      </c>
      <c r="V80" s="9">
        <f t="shared" si="20"/>
        <v>34.393468842044619</v>
      </c>
      <c r="W80" s="9">
        <f t="shared" si="21"/>
        <v>43.985461475881543</v>
      </c>
      <c r="X80" s="9"/>
      <c r="Y80" s="13">
        <v>3.2899999999999999E-2</v>
      </c>
      <c r="AA80" s="13">
        <v>1.6756</v>
      </c>
      <c r="AB80" s="13">
        <v>7.3899999999999993E-2</v>
      </c>
      <c r="AC80" s="13">
        <v>5.5300000000000002E-2</v>
      </c>
      <c r="AD80" s="13">
        <v>0</v>
      </c>
      <c r="AE80" s="13">
        <v>0.29759999999999998</v>
      </c>
      <c r="AF80" s="13">
        <v>0</v>
      </c>
      <c r="AG80" s="13">
        <v>2.6654</v>
      </c>
      <c r="AH80" s="13">
        <v>6.0299999999999999E-2</v>
      </c>
      <c r="AI80" s="13">
        <v>7.7697000000000003</v>
      </c>
      <c r="AJ80" s="13">
        <v>3.4085999999999999</v>
      </c>
      <c r="AL80" s="13">
        <v>16.039300000000001</v>
      </c>
      <c r="AN80" s="9">
        <f t="shared" si="22"/>
        <v>9.0455927051671736</v>
      </c>
    </row>
    <row r="81" spans="1:40" s="13" customFormat="1" x14ac:dyDescent="0.25">
      <c r="A81" s="6" t="s">
        <v>265</v>
      </c>
      <c r="B81" s="13">
        <v>0.23100000000000001</v>
      </c>
      <c r="D81" s="13">
        <v>13.224</v>
      </c>
      <c r="E81" s="13">
        <v>0.52400000000000002</v>
      </c>
      <c r="F81" s="13">
        <v>0.19800000000000001</v>
      </c>
      <c r="G81" s="13">
        <v>0.30599999999999999</v>
      </c>
      <c r="H81" s="13">
        <v>1.3240000000000001</v>
      </c>
      <c r="I81" s="13">
        <v>0</v>
      </c>
      <c r="J81" s="13">
        <v>17.613</v>
      </c>
      <c r="K81" s="13">
        <v>0.443</v>
      </c>
      <c r="L81" s="13">
        <v>51.987000000000002</v>
      </c>
      <c r="M81" s="13">
        <v>15.064</v>
      </c>
      <c r="O81" s="13">
        <v>100.914</v>
      </c>
      <c r="Q81" s="9">
        <f t="shared" si="15"/>
        <v>0.184062913215951</v>
      </c>
      <c r="R81" s="9">
        <f t="shared" si="16"/>
        <v>0.3737501550676095</v>
      </c>
      <c r="S81" s="9">
        <f t="shared" si="17"/>
        <v>0.31408038803095684</v>
      </c>
      <c r="T81" s="9">
        <f t="shared" si="18"/>
        <v>67.002760659170534</v>
      </c>
      <c r="U81" s="9">
        <f t="shared" si="19"/>
        <v>21.110711622264333</v>
      </c>
      <c r="V81" s="9">
        <f t="shared" si="20"/>
        <v>36.022794500439389</v>
      </c>
      <c r="W81" s="9">
        <f t="shared" si="21"/>
        <v>42.866493877296278</v>
      </c>
      <c r="X81" s="9"/>
      <c r="Y81" s="13">
        <v>2.5899999999999999E-2</v>
      </c>
      <c r="AA81" s="13">
        <v>1.6497999999999999</v>
      </c>
      <c r="AB81" s="13">
        <v>6.1800000000000001E-2</v>
      </c>
      <c r="AC81" s="13">
        <v>5.7200000000000001E-2</v>
      </c>
      <c r="AD81" s="13">
        <v>3.8600000000000002E-2</v>
      </c>
      <c r="AE81" s="13">
        <v>0.23280000000000001</v>
      </c>
      <c r="AF81" s="13">
        <v>0</v>
      </c>
      <c r="AG81" s="13">
        <v>2.8153000000000001</v>
      </c>
      <c r="AH81" s="13">
        <v>5.6000000000000001E-2</v>
      </c>
      <c r="AI81" s="13">
        <v>7.7550999999999997</v>
      </c>
      <c r="AJ81" s="13">
        <v>3.3498000000000001</v>
      </c>
      <c r="AL81" s="13">
        <v>16.042300000000001</v>
      </c>
      <c r="AN81" s="9">
        <f t="shared" si="22"/>
        <v>8.9884169884169882</v>
      </c>
    </row>
    <row r="82" spans="1:40" s="13" customFormat="1" x14ac:dyDescent="0.25">
      <c r="A82" s="6" t="s">
        <v>42</v>
      </c>
      <c r="B82" s="13">
        <v>0.22700000000000001</v>
      </c>
      <c r="D82" s="13">
        <v>12.971</v>
      </c>
      <c r="E82" s="13">
        <v>0.60599999999999998</v>
      </c>
      <c r="F82" s="13">
        <v>0.189</v>
      </c>
      <c r="G82" s="13">
        <v>0.33100000000000002</v>
      </c>
      <c r="H82" s="13">
        <v>1.4470000000000001</v>
      </c>
      <c r="I82" s="13">
        <v>2E-3</v>
      </c>
      <c r="J82" s="13">
        <v>17.751000000000001</v>
      </c>
      <c r="K82" s="13">
        <v>0.41</v>
      </c>
      <c r="L82" s="13">
        <v>51.375999999999998</v>
      </c>
      <c r="M82" s="13">
        <v>14.712</v>
      </c>
      <c r="O82" s="13">
        <v>100.02200000000001</v>
      </c>
      <c r="Q82" s="9">
        <f t="shared" si="15"/>
        <v>0.18054144338506509</v>
      </c>
      <c r="R82" s="9">
        <f t="shared" si="16"/>
        <v>0.3650167473018236</v>
      </c>
      <c r="S82" s="9">
        <f t="shared" si="17"/>
        <v>0.31654124612147366</v>
      </c>
      <c r="T82" s="9">
        <f t="shared" si="18"/>
        <v>66.907023582992451</v>
      </c>
      <c r="U82" s="9">
        <f t="shared" si="19"/>
        <v>20.942067199749019</v>
      </c>
      <c r="V82" s="9">
        <f t="shared" si="20"/>
        <v>36.717486708187955</v>
      </c>
      <c r="W82" s="9">
        <f t="shared" si="21"/>
        <v>42.340446092063026</v>
      </c>
      <c r="X82" s="9"/>
      <c r="Y82" s="13">
        <v>2.5700000000000001E-2</v>
      </c>
      <c r="AA82" s="13">
        <v>1.6332</v>
      </c>
      <c r="AB82" s="13">
        <v>7.2099999999999997E-2</v>
      </c>
      <c r="AC82" s="13">
        <v>5.5199999999999999E-2</v>
      </c>
      <c r="AD82" s="13">
        <v>4.2200000000000001E-2</v>
      </c>
      <c r="AE82" s="13">
        <v>0.25679999999999997</v>
      </c>
      <c r="AF82" s="13">
        <v>5.0000000000000001E-4</v>
      </c>
      <c r="AG82" s="13">
        <v>2.8637000000000001</v>
      </c>
      <c r="AH82" s="13">
        <v>5.2200000000000003E-2</v>
      </c>
      <c r="AI82" s="13">
        <v>7.7352999999999996</v>
      </c>
      <c r="AJ82" s="13">
        <v>3.3020999999999998</v>
      </c>
      <c r="AL82" s="13">
        <v>16.039000000000001</v>
      </c>
      <c r="AN82" s="9">
        <f t="shared" si="22"/>
        <v>9.9922178988326831</v>
      </c>
    </row>
    <row r="83" spans="1:40" s="13" customFormat="1" x14ac:dyDescent="0.25">
      <c r="A83" s="6" t="s">
        <v>167</v>
      </c>
      <c r="B83" s="13">
        <v>0.245</v>
      </c>
      <c r="D83" s="13">
        <v>13.808999999999999</v>
      </c>
      <c r="E83" s="13">
        <v>0.59599999999999997</v>
      </c>
      <c r="F83" s="13">
        <v>0.191</v>
      </c>
      <c r="G83" s="13">
        <v>0.29399999999999998</v>
      </c>
      <c r="H83" s="13">
        <v>1.476</v>
      </c>
      <c r="I83" s="13">
        <v>1E-3</v>
      </c>
      <c r="J83" s="13">
        <v>15.942</v>
      </c>
      <c r="K83" s="13">
        <v>0.495</v>
      </c>
      <c r="L83" s="13">
        <v>51.872</v>
      </c>
      <c r="M83" s="13">
        <v>15.644</v>
      </c>
      <c r="O83" s="13">
        <v>100.565</v>
      </c>
      <c r="Q83" s="9">
        <f t="shared" si="15"/>
        <v>0.19220544227155681</v>
      </c>
      <c r="R83" s="9">
        <f t="shared" si="16"/>
        <v>0.38814042922714304</v>
      </c>
      <c r="S83" s="9">
        <f t="shared" si="17"/>
        <v>0.28428260636969932</v>
      </c>
      <c r="T83" s="9">
        <f t="shared" si="18"/>
        <v>66.880880572958915</v>
      </c>
      <c r="U83" s="9">
        <f t="shared" si="19"/>
        <v>22.229830174621132</v>
      </c>
      <c r="V83" s="9">
        <f t="shared" si="20"/>
        <v>32.879162975356977</v>
      </c>
      <c r="W83" s="9">
        <f t="shared" si="21"/>
        <v>44.891006850021881</v>
      </c>
      <c r="X83" s="9"/>
      <c r="Y83" s="13">
        <v>2.75E-2</v>
      </c>
      <c r="AA83" s="13">
        <v>1.7258</v>
      </c>
      <c r="AB83" s="13">
        <v>7.0400000000000004E-2</v>
      </c>
      <c r="AC83" s="13">
        <v>5.5199999999999999E-2</v>
      </c>
      <c r="AD83" s="13">
        <v>3.7100000000000001E-2</v>
      </c>
      <c r="AE83" s="13">
        <v>0.2601</v>
      </c>
      <c r="AF83" s="13">
        <v>2.0000000000000001E-4</v>
      </c>
      <c r="AG83" s="13">
        <v>2.5526</v>
      </c>
      <c r="AH83" s="13">
        <v>6.2700000000000006E-2</v>
      </c>
      <c r="AI83" s="13">
        <v>7.7514000000000003</v>
      </c>
      <c r="AJ83" s="13">
        <v>3.4847999999999999</v>
      </c>
      <c r="AL83" s="13">
        <v>16.027799999999999</v>
      </c>
      <c r="AN83" s="9">
        <f t="shared" si="22"/>
        <v>9.4581818181818189</v>
      </c>
    </row>
    <row r="84" spans="1:40" s="13" customFormat="1" x14ac:dyDescent="0.25">
      <c r="A84" s="6" t="s">
        <v>263</v>
      </c>
      <c r="B84" s="13">
        <v>0.25800000000000001</v>
      </c>
      <c r="D84" s="13">
        <v>13.388</v>
      </c>
      <c r="E84" s="13">
        <v>0.59499999999999997</v>
      </c>
      <c r="F84" s="13">
        <v>0.20100000000000001</v>
      </c>
      <c r="G84" s="13">
        <v>0.33600000000000002</v>
      </c>
      <c r="H84" s="13">
        <v>1.48</v>
      </c>
      <c r="I84" s="13">
        <v>7.0000000000000001E-3</v>
      </c>
      <c r="J84" s="13">
        <v>17.599</v>
      </c>
      <c r="K84" s="13">
        <v>0.44800000000000001</v>
      </c>
      <c r="L84" s="13">
        <v>52.070999999999998</v>
      </c>
      <c r="M84" s="13">
        <v>15.087</v>
      </c>
      <c r="O84" s="13">
        <v>101.47</v>
      </c>
      <c r="Q84" s="9">
        <f t="shared" si="15"/>
        <v>0.18634560512213794</v>
      </c>
      <c r="R84" s="9">
        <f t="shared" si="16"/>
        <v>0.37432080387048755</v>
      </c>
      <c r="S84" s="9">
        <f t="shared" si="17"/>
        <v>0.31383073576090442</v>
      </c>
      <c r="T84" s="9">
        <f t="shared" si="18"/>
        <v>66.763550993369932</v>
      </c>
      <c r="U84" s="9">
        <f t="shared" si="19"/>
        <v>21.30888662588578</v>
      </c>
      <c r="V84" s="9">
        <f t="shared" si="20"/>
        <v>35.886993759065405</v>
      </c>
      <c r="W84" s="9">
        <f t="shared" si="21"/>
        <v>42.804119615048819</v>
      </c>
      <c r="X84" s="9"/>
      <c r="Y84" s="13">
        <v>2.8799999999999999E-2</v>
      </c>
      <c r="AA84" s="13">
        <v>1.6619999999999999</v>
      </c>
      <c r="AB84" s="13">
        <v>6.9900000000000004E-2</v>
      </c>
      <c r="AC84" s="13">
        <v>5.7799999999999997E-2</v>
      </c>
      <c r="AD84" s="13">
        <v>4.2299999999999997E-2</v>
      </c>
      <c r="AE84" s="13">
        <v>0.25890000000000002</v>
      </c>
      <c r="AF84" s="13">
        <v>1.1999999999999999E-3</v>
      </c>
      <c r="AG84" s="13">
        <v>2.7991000000000001</v>
      </c>
      <c r="AH84" s="13">
        <v>5.6300000000000003E-2</v>
      </c>
      <c r="AI84" s="13">
        <v>7.7290999999999999</v>
      </c>
      <c r="AJ84" s="13">
        <v>3.3382999999999998</v>
      </c>
      <c r="AL84" s="13">
        <v>16.043700000000001</v>
      </c>
      <c r="AN84" s="9">
        <f t="shared" si="22"/>
        <v>8.9895833333333339</v>
      </c>
    </row>
    <row r="85" spans="1:40" s="13" customFormat="1" x14ac:dyDescent="0.25">
      <c r="A85" s="6" t="s">
        <v>664</v>
      </c>
      <c r="B85" s="13">
        <v>0.26500000000000001</v>
      </c>
      <c r="D85" s="13">
        <v>14.592000000000001</v>
      </c>
      <c r="E85" s="13">
        <v>0.64200000000000002</v>
      </c>
      <c r="F85" s="13">
        <v>0.161</v>
      </c>
      <c r="G85" s="13">
        <v>0.221</v>
      </c>
      <c r="H85" s="13">
        <v>1.379</v>
      </c>
      <c r="I85" s="13">
        <v>2E-3</v>
      </c>
      <c r="J85" s="13">
        <v>14.882999999999999</v>
      </c>
      <c r="K85" s="13">
        <v>0.51400000000000001</v>
      </c>
      <c r="L85" s="13">
        <v>52.081000000000003</v>
      </c>
      <c r="M85" s="13">
        <v>16.317</v>
      </c>
      <c r="O85" s="13">
        <v>101.057</v>
      </c>
      <c r="Q85" s="9">
        <f t="shared" si="15"/>
        <v>0.20310390423829078</v>
      </c>
      <c r="R85" s="9">
        <f t="shared" si="16"/>
        <v>0.40483810941570525</v>
      </c>
      <c r="S85" s="9">
        <f t="shared" si="17"/>
        <v>0.26539819537073361</v>
      </c>
      <c r="T85" s="9">
        <f t="shared" si="18"/>
        <v>66.591566353911304</v>
      </c>
      <c r="U85" s="9">
        <f t="shared" si="19"/>
        <v>23.25598914827242</v>
      </c>
      <c r="V85" s="9">
        <f t="shared" si="20"/>
        <v>30.388867090764922</v>
      </c>
      <c r="W85" s="9">
        <f t="shared" si="21"/>
        <v>46.355143760962662</v>
      </c>
      <c r="X85" s="9"/>
      <c r="Y85" s="13">
        <v>2.9600000000000001E-2</v>
      </c>
      <c r="AA85" s="13">
        <v>1.8158000000000001</v>
      </c>
      <c r="AB85" s="13">
        <v>7.5499999999999998E-2</v>
      </c>
      <c r="AC85" s="13">
        <v>4.6600000000000003E-2</v>
      </c>
      <c r="AD85" s="13">
        <v>2.7799999999999998E-2</v>
      </c>
      <c r="AE85" s="13">
        <v>0.2419</v>
      </c>
      <c r="AF85" s="13">
        <v>5.0000000000000001E-4</v>
      </c>
      <c r="AG85" s="13">
        <v>2.3727999999999998</v>
      </c>
      <c r="AH85" s="13">
        <v>6.4799999999999996E-2</v>
      </c>
      <c r="AI85" s="13">
        <v>7.7493999999999996</v>
      </c>
      <c r="AJ85" s="13">
        <v>3.6192000000000002</v>
      </c>
      <c r="AL85" s="13">
        <v>16.043900000000001</v>
      </c>
      <c r="AN85" s="9">
        <f t="shared" si="22"/>
        <v>8.1722972972972965</v>
      </c>
    </row>
    <row r="86" spans="1:40" s="13" customFormat="1" x14ac:dyDescent="0.25">
      <c r="A86" s="6" t="s">
        <v>218</v>
      </c>
      <c r="B86" s="13">
        <v>0.27100000000000002</v>
      </c>
      <c r="D86" s="13">
        <v>14.561</v>
      </c>
      <c r="E86" s="13">
        <v>0.629</v>
      </c>
      <c r="F86" s="13">
        <v>0.17299999999999999</v>
      </c>
      <c r="G86" s="13">
        <v>0</v>
      </c>
      <c r="H86" s="13">
        <v>1.3080000000000001</v>
      </c>
      <c r="I86" s="13">
        <v>4.0000000000000001E-3</v>
      </c>
      <c r="J86" s="13">
        <v>15.106</v>
      </c>
      <c r="K86" s="13">
        <v>0.51100000000000001</v>
      </c>
      <c r="L86" s="13">
        <v>52.131999999999998</v>
      </c>
      <c r="M86" s="13">
        <v>16.157</v>
      </c>
      <c r="O86" s="13">
        <v>100.852</v>
      </c>
      <c r="Q86" s="9">
        <f t="shared" si="15"/>
        <v>0.20267241979260908</v>
      </c>
      <c r="R86" s="9">
        <f t="shared" si="16"/>
        <v>0.40086837861307528</v>
      </c>
      <c r="S86" s="9">
        <f t="shared" si="17"/>
        <v>0.26937479938656866</v>
      </c>
      <c r="T86" s="9">
        <f t="shared" si="18"/>
        <v>66.419433395722479</v>
      </c>
      <c r="U86" s="9">
        <f t="shared" si="19"/>
        <v>23.21787127016643</v>
      </c>
      <c r="V86" s="9">
        <f t="shared" si="20"/>
        <v>30.859203348853175</v>
      </c>
      <c r="W86" s="9">
        <f t="shared" si="21"/>
        <v>45.922925380980395</v>
      </c>
      <c r="X86" s="9"/>
      <c r="Y86" s="13">
        <v>3.04E-2</v>
      </c>
      <c r="AA86" s="13">
        <v>1.8178000000000001</v>
      </c>
      <c r="AB86" s="13">
        <v>7.4200000000000002E-2</v>
      </c>
      <c r="AC86" s="13">
        <v>5.0099999999999999E-2</v>
      </c>
      <c r="AD86" s="13">
        <v>0</v>
      </c>
      <c r="AE86" s="13">
        <v>0.2301</v>
      </c>
      <c r="AF86" s="13">
        <v>6.9999999999999999E-4</v>
      </c>
      <c r="AG86" s="13">
        <v>2.4161000000000001</v>
      </c>
      <c r="AH86" s="13">
        <v>6.4600000000000005E-2</v>
      </c>
      <c r="AI86" s="13">
        <v>7.7817999999999996</v>
      </c>
      <c r="AJ86" s="13">
        <v>3.5952000000000002</v>
      </c>
      <c r="AL86" s="13">
        <v>16.061</v>
      </c>
      <c r="AN86" s="9">
        <f t="shared" si="22"/>
        <v>7.5690789473684212</v>
      </c>
    </row>
    <row r="87" spans="1:40" s="13" customFormat="1" x14ac:dyDescent="0.25">
      <c r="A87" s="6" t="s">
        <v>179</v>
      </c>
      <c r="B87" s="13">
        <v>0.27</v>
      </c>
      <c r="D87" s="13">
        <v>13.459</v>
      </c>
      <c r="E87" s="13">
        <v>0.61699999999999999</v>
      </c>
      <c r="F87" s="13">
        <v>0.17</v>
      </c>
      <c r="G87" s="13">
        <v>0.314</v>
      </c>
      <c r="H87" s="13">
        <v>1.4470000000000001</v>
      </c>
      <c r="I87" s="13">
        <v>4.0000000000000001E-3</v>
      </c>
      <c r="J87" s="13">
        <v>17.574999999999999</v>
      </c>
      <c r="K87" s="13">
        <v>0.433</v>
      </c>
      <c r="L87" s="13">
        <v>51.872999999999998</v>
      </c>
      <c r="M87" s="13">
        <v>14.894</v>
      </c>
      <c r="O87" s="13">
        <v>101.056</v>
      </c>
      <c r="Q87" s="9">
        <f t="shared" si="15"/>
        <v>0.18733384369127984</v>
      </c>
      <c r="R87" s="9">
        <f t="shared" si="16"/>
        <v>0.36953231608981518</v>
      </c>
      <c r="S87" s="9">
        <f t="shared" si="17"/>
        <v>0.31340276044081455</v>
      </c>
      <c r="T87" s="9">
        <f t="shared" si="18"/>
        <v>66.359269565792772</v>
      </c>
      <c r="U87" s="9">
        <f t="shared" si="19"/>
        <v>21.525971953992297</v>
      </c>
      <c r="V87" s="9">
        <f t="shared" si="20"/>
        <v>36.012174301352744</v>
      </c>
      <c r="W87" s="9">
        <f t="shared" si="21"/>
        <v>42.46185374465496</v>
      </c>
      <c r="X87" s="9"/>
      <c r="Y87" s="13">
        <v>3.0300000000000001E-2</v>
      </c>
      <c r="AA87" s="13">
        <v>1.6787000000000001</v>
      </c>
      <c r="AB87" s="13">
        <v>7.2700000000000001E-2</v>
      </c>
      <c r="AC87" s="13">
        <v>4.9200000000000001E-2</v>
      </c>
      <c r="AD87" s="13">
        <v>3.9699999999999999E-2</v>
      </c>
      <c r="AE87" s="13">
        <v>0.25440000000000002</v>
      </c>
      <c r="AF87" s="13">
        <v>6.9999999999999999E-4</v>
      </c>
      <c r="AG87" s="13">
        <v>2.8083999999999998</v>
      </c>
      <c r="AH87" s="13">
        <v>5.4699999999999999E-2</v>
      </c>
      <c r="AI87" s="13">
        <v>7.7359</v>
      </c>
      <c r="AJ87" s="13">
        <v>3.3111000000000002</v>
      </c>
      <c r="AL87" s="13">
        <v>16.035799999999998</v>
      </c>
      <c r="AN87" s="9">
        <f t="shared" si="22"/>
        <v>8.3960396039603964</v>
      </c>
    </row>
    <row r="88" spans="1:40" s="13" customFormat="1" x14ac:dyDescent="0.25">
      <c r="A88" s="6" t="s">
        <v>38</v>
      </c>
      <c r="B88" s="13">
        <v>0.26600000000000001</v>
      </c>
      <c r="D88" s="13">
        <v>14.007</v>
      </c>
      <c r="E88" s="13">
        <v>0.65200000000000002</v>
      </c>
      <c r="F88" s="13">
        <v>0.20399999999999999</v>
      </c>
      <c r="G88" s="13">
        <v>0.33400000000000002</v>
      </c>
      <c r="H88" s="13">
        <v>1.4890000000000001</v>
      </c>
      <c r="I88" s="13">
        <v>5.0000000000000001E-3</v>
      </c>
      <c r="J88" s="13">
        <v>16.253</v>
      </c>
      <c r="K88" s="13">
        <v>0.49299999999999999</v>
      </c>
      <c r="L88" s="13">
        <v>51.927999999999997</v>
      </c>
      <c r="M88" s="13">
        <v>15.423999999999999</v>
      </c>
      <c r="O88" s="13">
        <v>101.05500000000001</v>
      </c>
      <c r="Q88" s="9">
        <f t="shared" si="15"/>
        <v>0.19496137518268494</v>
      </c>
      <c r="R88" s="9">
        <f t="shared" si="16"/>
        <v>0.38268204937352684</v>
      </c>
      <c r="S88" s="9">
        <f t="shared" si="17"/>
        <v>0.28982845322586398</v>
      </c>
      <c r="T88" s="9">
        <f t="shared" si="18"/>
        <v>66.248836757300822</v>
      </c>
      <c r="U88" s="9">
        <f t="shared" si="19"/>
        <v>22.474662311953665</v>
      </c>
      <c r="V88" s="9">
        <f t="shared" si="20"/>
        <v>33.410703061278255</v>
      </c>
      <c r="W88" s="9">
        <f t="shared" si="21"/>
        <v>44.114634626768073</v>
      </c>
      <c r="X88" s="9"/>
      <c r="Y88" s="13">
        <v>2.98E-2</v>
      </c>
      <c r="AA88" s="13">
        <v>1.7450000000000001</v>
      </c>
      <c r="AB88" s="13">
        <v>7.6799999999999993E-2</v>
      </c>
      <c r="AC88" s="13">
        <v>5.8900000000000001E-2</v>
      </c>
      <c r="AD88" s="13">
        <v>4.2099999999999999E-2</v>
      </c>
      <c r="AE88" s="13">
        <v>0.26150000000000001</v>
      </c>
      <c r="AF88" s="13">
        <v>1E-3</v>
      </c>
      <c r="AG88" s="13">
        <v>2.5943000000000001</v>
      </c>
      <c r="AH88" s="13">
        <v>6.2300000000000001E-2</v>
      </c>
      <c r="AI88" s="13">
        <v>7.7355999999999998</v>
      </c>
      <c r="AJ88" s="13">
        <v>3.4251999999999998</v>
      </c>
      <c r="AL88" s="13">
        <v>16.032499999999999</v>
      </c>
      <c r="AN88" s="9">
        <f t="shared" si="22"/>
        <v>8.775167785234899</v>
      </c>
    </row>
    <row r="89" spans="1:40" s="13" customFormat="1" x14ac:dyDescent="0.25">
      <c r="A89" s="6" t="s">
        <v>189</v>
      </c>
      <c r="B89" s="13">
        <v>0.191</v>
      </c>
      <c r="D89" s="13">
        <v>14.778</v>
      </c>
      <c r="E89" s="13">
        <v>0.58699999999999997</v>
      </c>
      <c r="F89" s="13">
        <v>0.15</v>
      </c>
      <c r="G89" s="13">
        <v>0.25700000000000001</v>
      </c>
      <c r="H89" s="13">
        <v>1.4630000000000001</v>
      </c>
      <c r="I89" s="13">
        <v>0</v>
      </c>
      <c r="J89" s="13">
        <v>15.022</v>
      </c>
      <c r="K89" s="13">
        <v>0.49399999999999999</v>
      </c>
      <c r="L89" s="13">
        <v>51.996000000000002</v>
      </c>
      <c r="M89" s="13">
        <v>16.087</v>
      </c>
      <c r="O89" s="13">
        <v>101.02500000000001</v>
      </c>
      <c r="Q89" s="9">
        <f t="shared" si="15"/>
        <v>0.20569281091238084</v>
      </c>
      <c r="R89" s="9">
        <f t="shared" si="16"/>
        <v>0.39913162138692471</v>
      </c>
      <c r="S89" s="9">
        <f t="shared" si="17"/>
        <v>0.26787688576625412</v>
      </c>
      <c r="T89" s="9">
        <f t="shared" si="18"/>
        <v>65.991319145224125</v>
      </c>
      <c r="U89" s="9">
        <f t="shared" si="19"/>
        <v>23.569668872314988</v>
      </c>
      <c r="V89" s="9">
        <f t="shared" si="20"/>
        <v>30.695139358793831</v>
      </c>
      <c r="W89" s="9">
        <f t="shared" si="21"/>
        <v>45.735191768891184</v>
      </c>
      <c r="X89" s="9"/>
      <c r="Y89" s="13">
        <v>2.1399999999999999E-2</v>
      </c>
      <c r="AA89" s="13">
        <v>1.8411</v>
      </c>
      <c r="AB89" s="13">
        <v>6.9099999999999995E-2</v>
      </c>
      <c r="AC89" s="13">
        <v>4.3200000000000002E-2</v>
      </c>
      <c r="AD89" s="13">
        <v>3.2399999999999998E-2</v>
      </c>
      <c r="AE89" s="13">
        <v>0.25690000000000002</v>
      </c>
      <c r="AF89" s="13">
        <v>0</v>
      </c>
      <c r="AG89" s="13">
        <v>2.3978999999999999</v>
      </c>
      <c r="AH89" s="13">
        <v>6.2399999999999997E-2</v>
      </c>
      <c r="AI89" s="13">
        <v>7.7458999999999998</v>
      </c>
      <c r="AJ89" s="13">
        <v>3.5724</v>
      </c>
      <c r="AL89" s="13">
        <v>16.0427</v>
      </c>
      <c r="AN89" s="9">
        <f t="shared" si="22"/>
        <v>12.004672897196263</v>
      </c>
    </row>
    <row r="90" spans="1:40" s="13" customFormat="1" x14ac:dyDescent="0.25">
      <c r="A90" s="6" t="s">
        <v>214</v>
      </c>
      <c r="B90" s="13">
        <v>0.219</v>
      </c>
      <c r="D90" s="13">
        <v>14.709</v>
      </c>
      <c r="E90" s="13">
        <v>0.56699999999999995</v>
      </c>
      <c r="F90" s="13">
        <v>0.156</v>
      </c>
      <c r="G90" s="13">
        <v>0</v>
      </c>
      <c r="H90" s="13">
        <v>1.3759999999999999</v>
      </c>
      <c r="I90" s="13">
        <v>4.0000000000000001E-3</v>
      </c>
      <c r="J90" s="13">
        <v>14.795</v>
      </c>
      <c r="K90" s="13">
        <v>0.52300000000000002</v>
      </c>
      <c r="L90" s="13">
        <v>52.070999999999998</v>
      </c>
      <c r="M90" s="13">
        <v>16.001000000000001</v>
      </c>
      <c r="O90" s="13">
        <v>100.42100000000001</v>
      </c>
      <c r="Q90" s="9">
        <f t="shared" si="15"/>
        <v>0.20473241004941192</v>
      </c>
      <c r="R90" s="9">
        <f t="shared" si="16"/>
        <v>0.39699789108051114</v>
      </c>
      <c r="S90" s="9">
        <f t="shared" si="17"/>
        <v>0.26382895253040406</v>
      </c>
      <c r="T90" s="9">
        <f t="shared" si="18"/>
        <v>65.976051120415988</v>
      </c>
      <c r="U90" s="9">
        <f t="shared" si="19"/>
        <v>23.653194068878317</v>
      </c>
      <c r="V90" s="9">
        <f t="shared" si="20"/>
        <v>30.480750037008892</v>
      </c>
      <c r="W90" s="9">
        <f t="shared" si="21"/>
        <v>45.86605589411279</v>
      </c>
      <c r="X90" s="9"/>
      <c r="Y90" s="13">
        <v>2.47E-2</v>
      </c>
      <c r="AA90" s="13">
        <v>1.8431999999999999</v>
      </c>
      <c r="AB90" s="13">
        <v>6.7100000000000007E-2</v>
      </c>
      <c r="AC90" s="13">
        <v>4.5400000000000003E-2</v>
      </c>
      <c r="AD90" s="13">
        <v>0</v>
      </c>
      <c r="AE90" s="13">
        <v>0.24299999999999999</v>
      </c>
      <c r="AF90" s="13">
        <v>8.0000000000000004E-4</v>
      </c>
      <c r="AG90" s="13">
        <v>2.3753000000000002</v>
      </c>
      <c r="AH90" s="13">
        <v>6.6299999999999998E-2</v>
      </c>
      <c r="AI90" s="13">
        <v>7.8018999999999998</v>
      </c>
      <c r="AJ90" s="13">
        <v>3.5739000000000001</v>
      </c>
      <c r="AL90" s="13">
        <v>16.041599999999999</v>
      </c>
      <c r="AN90" s="9">
        <f t="shared" si="22"/>
        <v>9.8380566801619427</v>
      </c>
    </row>
    <row r="91" spans="1:40" s="13" customFormat="1" x14ac:dyDescent="0.25">
      <c r="A91" s="6" t="s">
        <v>251</v>
      </c>
      <c r="B91" s="13">
        <v>0.192</v>
      </c>
      <c r="D91" s="13">
        <v>14.879</v>
      </c>
      <c r="E91" s="13">
        <v>0.45</v>
      </c>
      <c r="F91" s="13">
        <v>0.14799999999999999</v>
      </c>
      <c r="G91" s="13">
        <v>0.249</v>
      </c>
      <c r="H91" s="13">
        <v>1.105</v>
      </c>
      <c r="I91" s="13">
        <v>0</v>
      </c>
      <c r="J91" s="13">
        <v>15.307</v>
      </c>
      <c r="K91" s="13">
        <v>0.51</v>
      </c>
      <c r="L91" s="13">
        <v>52.537999999999997</v>
      </c>
      <c r="M91" s="13">
        <v>16.094000000000001</v>
      </c>
      <c r="O91" s="13">
        <v>101.47199999999999</v>
      </c>
      <c r="Q91" s="9">
        <f t="shared" si="15"/>
        <v>0.20709861507411789</v>
      </c>
      <c r="R91" s="9">
        <f t="shared" si="16"/>
        <v>0.39930529710953977</v>
      </c>
      <c r="S91" s="9">
        <f t="shared" si="17"/>
        <v>0.27295909269232138</v>
      </c>
      <c r="T91" s="9">
        <f t="shared" si="18"/>
        <v>65.848074045505953</v>
      </c>
      <c r="U91" s="9">
        <f t="shared" si="19"/>
        <v>23.55098109947507</v>
      </c>
      <c r="V91" s="9">
        <f t="shared" si="20"/>
        <v>31.040547666753181</v>
      </c>
      <c r="W91" s="9">
        <f t="shared" si="21"/>
        <v>45.408471233771742</v>
      </c>
      <c r="X91" s="9"/>
      <c r="Y91" s="13">
        <v>2.1399999999999999E-2</v>
      </c>
      <c r="AA91" s="13">
        <v>1.8459000000000001</v>
      </c>
      <c r="AB91" s="13">
        <v>5.28E-2</v>
      </c>
      <c r="AC91" s="13">
        <v>4.2500000000000003E-2</v>
      </c>
      <c r="AD91" s="13">
        <v>3.1199999999999999E-2</v>
      </c>
      <c r="AE91" s="13">
        <v>0.1933</v>
      </c>
      <c r="AF91" s="13">
        <v>0</v>
      </c>
      <c r="AG91" s="13">
        <v>2.4329999999999998</v>
      </c>
      <c r="AH91" s="13">
        <v>6.4100000000000004E-2</v>
      </c>
      <c r="AI91" s="13">
        <v>7.7934000000000001</v>
      </c>
      <c r="AJ91" s="13">
        <v>3.5589</v>
      </c>
      <c r="AL91" s="13">
        <v>16.0365</v>
      </c>
      <c r="AN91" s="9">
        <f t="shared" si="22"/>
        <v>9.0327102803738324</v>
      </c>
    </row>
    <row r="92" spans="1:40" s="13" customFormat="1" x14ac:dyDescent="0.25">
      <c r="A92" s="6" t="s">
        <v>199</v>
      </c>
      <c r="B92" s="13">
        <v>0.254</v>
      </c>
      <c r="D92" s="13">
        <v>14.196999999999999</v>
      </c>
      <c r="E92" s="13">
        <v>0.45400000000000001</v>
      </c>
      <c r="F92" s="13">
        <v>0.17899999999999999</v>
      </c>
      <c r="G92" s="13">
        <v>0.27400000000000002</v>
      </c>
      <c r="H92" s="13">
        <v>1.298</v>
      </c>
      <c r="I92" s="13">
        <v>0</v>
      </c>
      <c r="J92" s="13">
        <v>16.704000000000001</v>
      </c>
      <c r="K92" s="13">
        <v>0.46800000000000003</v>
      </c>
      <c r="L92" s="13">
        <v>52.207999999999998</v>
      </c>
      <c r="M92" s="13">
        <v>15.282</v>
      </c>
      <c r="O92" s="13">
        <v>101.318</v>
      </c>
      <c r="Q92" s="9">
        <f t="shared" si="15"/>
        <v>0.19760595726912103</v>
      </c>
      <c r="R92" s="9">
        <f t="shared" si="16"/>
        <v>0.37915891328619278</v>
      </c>
      <c r="S92" s="9">
        <f t="shared" si="17"/>
        <v>0.29787082278255289</v>
      </c>
      <c r="T92" s="9">
        <f t="shared" si="18"/>
        <v>65.738905512940761</v>
      </c>
      <c r="U92" s="9">
        <f t="shared" si="19"/>
        <v>22.592944556721513</v>
      </c>
      <c r="V92" s="9">
        <f t="shared" si="20"/>
        <v>34.056559211045958</v>
      </c>
      <c r="W92" s="9">
        <f t="shared" si="21"/>
        <v>43.35049623223253</v>
      </c>
      <c r="X92" s="9"/>
      <c r="Y92" s="13">
        <v>2.8500000000000001E-2</v>
      </c>
      <c r="AA92" s="13">
        <v>1.7663</v>
      </c>
      <c r="AB92" s="13">
        <v>5.3400000000000003E-2</v>
      </c>
      <c r="AC92" s="13">
        <v>5.1499999999999997E-2</v>
      </c>
      <c r="AD92" s="13">
        <v>3.4500000000000003E-2</v>
      </c>
      <c r="AE92" s="13">
        <v>0.2276</v>
      </c>
      <c r="AF92" s="13">
        <v>0</v>
      </c>
      <c r="AG92" s="13">
        <v>2.6625999999999999</v>
      </c>
      <c r="AH92" s="13">
        <v>5.8900000000000001E-2</v>
      </c>
      <c r="AI92" s="13">
        <v>7.7664</v>
      </c>
      <c r="AJ92" s="13">
        <v>3.3889</v>
      </c>
      <c r="AL92" s="13">
        <v>16.038599999999999</v>
      </c>
      <c r="AN92" s="9">
        <f t="shared" si="22"/>
        <v>7.9859649122807017</v>
      </c>
    </row>
    <row r="93" spans="1:40" s="13" customFormat="1" x14ac:dyDescent="0.25">
      <c r="A93" s="6" t="s">
        <v>665</v>
      </c>
      <c r="B93" s="13">
        <v>0.23</v>
      </c>
      <c r="D93" s="13">
        <v>15.266999999999999</v>
      </c>
      <c r="E93" s="13">
        <v>0.46400000000000002</v>
      </c>
      <c r="F93" s="13">
        <v>0.185</v>
      </c>
      <c r="G93" s="13">
        <v>0</v>
      </c>
      <c r="H93" s="13">
        <v>1.0620000000000001</v>
      </c>
      <c r="I93" s="13">
        <v>0.01</v>
      </c>
      <c r="J93" s="13">
        <v>14.698</v>
      </c>
      <c r="K93" s="13">
        <v>0.53900000000000003</v>
      </c>
      <c r="L93" s="13">
        <v>52.493000000000002</v>
      </c>
      <c r="M93" s="13">
        <v>16.335999999999999</v>
      </c>
      <c r="O93" s="13">
        <v>101.28400000000001</v>
      </c>
      <c r="Q93" s="9">
        <f t="shared" si="15"/>
        <v>0.21249913007168209</v>
      </c>
      <c r="R93" s="9">
        <f t="shared" si="16"/>
        <v>0.40530951494851752</v>
      </c>
      <c r="S93" s="9">
        <f t="shared" si="17"/>
        <v>0.26209921894504085</v>
      </c>
      <c r="T93" s="9">
        <f t="shared" si="18"/>
        <v>65.604377377280912</v>
      </c>
      <c r="U93" s="9">
        <f t="shared" si="19"/>
        <v>24.150156939622097</v>
      </c>
      <c r="V93" s="9">
        <f t="shared" si="20"/>
        <v>29.787120865576753</v>
      </c>
      <c r="W93" s="9">
        <f t="shared" si="21"/>
        <v>46.062722194801147</v>
      </c>
      <c r="X93" s="9"/>
      <c r="Y93" s="13">
        <v>2.5700000000000001E-2</v>
      </c>
      <c r="AA93" s="13">
        <v>1.9001999999999999</v>
      </c>
      <c r="AB93" s="13">
        <v>5.4600000000000003E-2</v>
      </c>
      <c r="AC93" s="13">
        <v>5.3400000000000003E-2</v>
      </c>
      <c r="AD93" s="13">
        <v>0</v>
      </c>
      <c r="AE93" s="13">
        <v>0.18629999999999999</v>
      </c>
      <c r="AF93" s="13">
        <v>1.9E-3</v>
      </c>
      <c r="AG93" s="13">
        <v>2.3437999999999999</v>
      </c>
      <c r="AH93" s="13">
        <v>6.7900000000000002E-2</v>
      </c>
      <c r="AI93" s="13">
        <v>7.8117999999999999</v>
      </c>
      <c r="AJ93" s="13">
        <v>3.6240000000000001</v>
      </c>
      <c r="AL93" s="13">
        <v>16.069600000000001</v>
      </c>
      <c r="AN93" s="9">
        <f t="shared" si="22"/>
        <v>7.2490272373540856</v>
      </c>
    </row>
    <row r="94" spans="1:40" s="13" customFormat="1" x14ac:dyDescent="0.25">
      <c r="A94" s="6" t="s">
        <v>259</v>
      </c>
      <c r="B94" s="13">
        <v>0.23599999999999999</v>
      </c>
      <c r="D94" s="13">
        <v>16.164999999999999</v>
      </c>
      <c r="E94" s="13">
        <v>0.60699999999999998</v>
      </c>
      <c r="F94" s="13">
        <v>0.16500000000000001</v>
      </c>
      <c r="G94" s="13">
        <v>0</v>
      </c>
      <c r="H94" s="13">
        <v>1.1970000000000001</v>
      </c>
      <c r="I94" s="13">
        <v>1E-3</v>
      </c>
      <c r="J94" s="13">
        <v>12.670999999999999</v>
      </c>
      <c r="K94" s="13">
        <v>0.59099999999999997</v>
      </c>
      <c r="L94" s="13">
        <v>52.276000000000003</v>
      </c>
      <c r="M94" s="13">
        <v>17.29</v>
      </c>
      <c r="O94" s="13">
        <v>101.199</v>
      </c>
      <c r="Q94" s="9">
        <f t="shared" si="15"/>
        <v>0.22499826014336419</v>
      </c>
      <c r="R94" s="9">
        <f t="shared" si="16"/>
        <v>0.42897903485919858</v>
      </c>
      <c r="S94" s="9">
        <f t="shared" si="17"/>
        <v>0.22595313670245012</v>
      </c>
      <c r="T94" s="9">
        <f t="shared" si="18"/>
        <v>65.595401879742255</v>
      </c>
      <c r="U94" s="9">
        <f t="shared" si="19"/>
        <v>25.570005540937174</v>
      </c>
      <c r="V94" s="9">
        <f t="shared" si="20"/>
        <v>25.678522819653821</v>
      </c>
      <c r="W94" s="9">
        <f t="shared" si="21"/>
        <v>48.751471639408997</v>
      </c>
      <c r="X94" s="9"/>
      <c r="Y94" s="13">
        <v>2.64E-2</v>
      </c>
      <c r="AA94" s="13">
        <v>2.0118999999999998</v>
      </c>
      <c r="AB94" s="13">
        <v>7.1400000000000005E-2</v>
      </c>
      <c r="AC94" s="13">
        <v>4.7699999999999999E-2</v>
      </c>
      <c r="AD94" s="13">
        <v>0</v>
      </c>
      <c r="AE94" s="13">
        <v>0.2099</v>
      </c>
      <c r="AF94" s="13">
        <v>2.9999999999999997E-4</v>
      </c>
      <c r="AG94" s="13">
        <v>2.0204</v>
      </c>
      <c r="AH94" s="13">
        <v>7.4499999999999997E-2</v>
      </c>
      <c r="AI94" s="13">
        <v>7.7794999999999996</v>
      </c>
      <c r="AJ94" s="13">
        <v>3.8355000000000001</v>
      </c>
      <c r="AL94" s="13">
        <v>16.077500000000001</v>
      </c>
      <c r="AN94" s="9">
        <f t="shared" si="22"/>
        <v>7.9507575757575761</v>
      </c>
    </row>
    <row r="95" spans="1:40" s="13" customFormat="1" x14ac:dyDescent="0.25">
      <c r="A95" s="6" t="s">
        <v>62</v>
      </c>
      <c r="B95" s="13">
        <v>0.27600000000000002</v>
      </c>
      <c r="D95" s="13">
        <v>14</v>
      </c>
      <c r="E95" s="13">
        <v>0.52200000000000002</v>
      </c>
      <c r="F95" s="13">
        <v>0.185</v>
      </c>
      <c r="G95" s="13">
        <v>0.32100000000000001</v>
      </c>
      <c r="H95" s="13">
        <v>1.3919999999999999</v>
      </c>
      <c r="I95" s="13">
        <v>8.0000000000000002E-3</v>
      </c>
      <c r="J95" s="13">
        <v>17.079999999999998</v>
      </c>
      <c r="K95" s="13">
        <v>0.42299999999999999</v>
      </c>
      <c r="L95" s="13">
        <v>50.781999999999996</v>
      </c>
      <c r="M95" s="13">
        <v>14.909000000000001</v>
      </c>
      <c r="O95" s="13">
        <v>99.897999999999996</v>
      </c>
      <c r="Q95" s="9">
        <f t="shared" si="15"/>
        <v>0.19486394321107942</v>
      </c>
      <c r="R95" s="9">
        <f t="shared" si="16"/>
        <v>0.36990447835256174</v>
      </c>
      <c r="S95" s="9">
        <f t="shared" si="17"/>
        <v>0.30457576946396087</v>
      </c>
      <c r="T95" s="9">
        <f t="shared" si="18"/>
        <v>65.49666451400185</v>
      </c>
      <c r="U95" s="9">
        <f t="shared" si="19"/>
        <v>22.41505093405431</v>
      </c>
      <c r="V95" s="9">
        <f t="shared" si="20"/>
        <v>35.035118725983459</v>
      </c>
      <c r="W95" s="9">
        <f t="shared" si="21"/>
        <v>42.54983033996222</v>
      </c>
      <c r="X95" s="9"/>
      <c r="Y95" s="13">
        <v>3.1399999999999997E-2</v>
      </c>
      <c r="AA95" s="13">
        <v>1.7727999999999999</v>
      </c>
      <c r="AB95" s="13">
        <v>6.25E-2</v>
      </c>
      <c r="AC95" s="13">
        <v>5.4399999999999997E-2</v>
      </c>
      <c r="AD95" s="13">
        <v>4.1099999999999998E-2</v>
      </c>
      <c r="AE95" s="13">
        <v>0.2485</v>
      </c>
      <c r="AF95" s="13">
        <v>1.6000000000000001E-3</v>
      </c>
      <c r="AG95" s="13">
        <v>2.7709000000000001</v>
      </c>
      <c r="AH95" s="13">
        <v>5.4199999999999998E-2</v>
      </c>
      <c r="AI95" s="13">
        <v>7.6886000000000001</v>
      </c>
      <c r="AJ95" s="13">
        <v>3.3650000000000002</v>
      </c>
      <c r="AL95" s="13">
        <v>16.091000000000001</v>
      </c>
      <c r="AN95" s="9">
        <f t="shared" si="22"/>
        <v>7.9140127388535042</v>
      </c>
    </row>
    <row r="96" spans="1:40" s="13" customFormat="1" x14ac:dyDescent="0.25">
      <c r="A96" s="6" t="s">
        <v>115</v>
      </c>
      <c r="B96" s="13">
        <v>0.24299999999999999</v>
      </c>
      <c r="D96" s="13">
        <v>14.933</v>
      </c>
      <c r="E96" s="13">
        <v>0.47</v>
      </c>
      <c r="F96" s="13">
        <v>0.184</v>
      </c>
      <c r="G96" s="13">
        <v>0</v>
      </c>
      <c r="H96" s="13">
        <v>1.3</v>
      </c>
      <c r="I96" s="13">
        <v>2E-3</v>
      </c>
      <c r="J96" s="13">
        <v>15.417999999999999</v>
      </c>
      <c r="K96" s="13">
        <v>0.53600000000000003</v>
      </c>
      <c r="L96" s="13">
        <v>52.412999999999997</v>
      </c>
      <c r="M96" s="13">
        <v>15.893000000000001</v>
      </c>
      <c r="O96" s="13">
        <v>101.392</v>
      </c>
      <c r="Q96" s="9">
        <f t="shared" si="15"/>
        <v>0.20785023314078921</v>
      </c>
      <c r="R96" s="9">
        <f t="shared" si="16"/>
        <v>0.39431832278873591</v>
      </c>
      <c r="S96" s="9">
        <f t="shared" si="17"/>
        <v>0.27493847854773706</v>
      </c>
      <c r="T96" s="9">
        <f t="shared" si="18"/>
        <v>65.483047712455615</v>
      </c>
      <c r="U96" s="9">
        <f t="shared" si="19"/>
        <v>23.697248450944606</v>
      </c>
      <c r="V96" s="9">
        <f t="shared" si="20"/>
        <v>31.346057863005822</v>
      </c>
      <c r="W96" s="9">
        <f t="shared" si="21"/>
        <v>44.956693686049562</v>
      </c>
      <c r="X96" s="9"/>
      <c r="Y96" s="13">
        <v>2.7199999999999998E-2</v>
      </c>
      <c r="AA96" s="13">
        <v>1.8573</v>
      </c>
      <c r="AB96" s="13">
        <v>5.5300000000000002E-2</v>
      </c>
      <c r="AC96" s="13">
        <v>5.2999999999999999E-2</v>
      </c>
      <c r="AD96" s="13">
        <v>0</v>
      </c>
      <c r="AE96" s="13">
        <v>0.22789999999999999</v>
      </c>
      <c r="AF96" s="13">
        <v>2.9999999999999997E-4</v>
      </c>
      <c r="AG96" s="13">
        <v>2.4569000000000001</v>
      </c>
      <c r="AH96" s="13">
        <v>6.7500000000000004E-2</v>
      </c>
      <c r="AI96" s="13">
        <v>7.7946</v>
      </c>
      <c r="AJ96" s="13">
        <v>3.5234000000000001</v>
      </c>
      <c r="AL96" s="13">
        <v>16.063400000000001</v>
      </c>
      <c r="AN96" s="9">
        <f t="shared" si="22"/>
        <v>8.3786764705882355</v>
      </c>
    </row>
    <row r="97" spans="1:40" s="13" customFormat="1" x14ac:dyDescent="0.25">
      <c r="A97" s="6" t="s">
        <v>173</v>
      </c>
      <c r="B97" s="13">
        <v>0.20399999999999999</v>
      </c>
      <c r="D97" s="13">
        <v>15.475</v>
      </c>
      <c r="E97" s="13">
        <v>0.39700000000000002</v>
      </c>
      <c r="F97" s="13">
        <v>0.14299999999999999</v>
      </c>
      <c r="G97" s="13">
        <v>0</v>
      </c>
      <c r="H97" s="13">
        <v>0.98199999999999998</v>
      </c>
      <c r="I97" s="13">
        <v>0</v>
      </c>
      <c r="J97" s="13">
        <v>14.433</v>
      </c>
      <c r="K97" s="13">
        <v>0.52900000000000003</v>
      </c>
      <c r="L97" s="13">
        <v>52.308</v>
      </c>
      <c r="M97" s="13">
        <v>16.457000000000001</v>
      </c>
      <c r="O97" s="13">
        <v>100.928</v>
      </c>
      <c r="Q97" s="9">
        <f t="shared" si="15"/>
        <v>0.21539425151367528</v>
      </c>
      <c r="R97" s="9">
        <f t="shared" si="16"/>
        <v>0.40831162386800646</v>
      </c>
      <c r="S97" s="9">
        <f t="shared" si="17"/>
        <v>0.25737365811904844</v>
      </c>
      <c r="T97" s="9">
        <f t="shared" si="18"/>
        <v>65.465412461945618</v>
      </c>
      <c r="U97" s="9">
        <f t="shared" si="19"/>
        <v>24.446629767674292</v>
      </c>
      <c r="V97" s="9">
        <f t="shared" si="20"/>
        <v>29.211172014908133</v>
      </c>
      <c r="W97" s="9">
        <f t="shared" si="21"/>
        <v>46.342198217417575</v>
      </c>
      <c r="X97" s="9"/>
      <c r="Y97" s="13">
        <v>2.3E-2</v>
      </c>
      <c r="AA97" s="13">
        <v>1.9334</v>
      </c>
      <c r="AB97" s="13">
        <v>4.6899999999999997E-2</v>
      </c>
      <c r="AC97" s="13">
        <v>4.1399999999999999E-2</v>
      </c>
      <c r="AD97" s="13">
        <v>0</v>
      </c>
      <c r="AE97" s="13">
        <v>0.1729</v>
      </c>
      <c r="AF97" s="13">
        <v>0</v>
      </c>
      <c r="AG97" s="13">
        <v>2.3102999999999998</v>
      </c>
      <c r="AH97" s="13">
        <v>6.7000000000000004E-2</v>
      </c>
      <c r="AI97" s="13">
        <v>7.8140999999999998</v>
      </c>
      <c r="AJ97" s="13">
        <v>3.6648999999999998</v>
      </c>
      <c r="AL97" s="13">
        <v>16.073899999999998</v>
      </c>
      <c r="AN97" s="9">
        <f t="shared" si="22"/>
        <v>7.517391304347826</v>
      </c>
    </row>
    <row r="98" spans="1:40" s="13" customFormat="1" x14ac:dyDescent="0.25">
      <c r="A98" s="6" t="s">
        <v>666</v>
      </c>
      <c r="B98" s="13">
        <v>0.19900000000000001</v>
      </c>
      <c r="D98" s="13">
        <v>14.644</v>
      </c>
      <c r="E98" s="13">
        <v>0.435</v>
      </c>
      <c r="F98" s="13">
        <v>0.2</v>
      </c>
      <c r="G98" s="13">
        <v>0.29599999999999999</v>
      </c>
      <c r="H98" s="13">
        <v>1.2090000000000001</v>
      </c>
      <c r="I98" s="13">
        <v>5.0000000000000001E-3</v>
      </c>
      <c r="J98" s="13">
        <v>16.021999999999998</v>
      </c>
      <c r="K98" s="13">
        <v>0.48599999999999999</v>
      </c>
      <c r="L98" s="13">
        <v>52.335999999999999</v>
      </c>
      <c r="M98" s="13">
        <v>15.443</v>
      </c>
      <c r="O98" s="13">
        <v>101.27500000000001</v>
      </c>
      <c r="Q98" s="9">
        <f t="shared" si="15"/>
        <v>0.20382768459878906</v>
      </c>
      <c r="R98" s="9">
        <f t="shared" si="16"/>
        <v>0.38315345490633917</v>
      </c>
      <c r="S98" s="9">
        <f t="shared" si="17"/>
        <v>0.2857091907699989</v>
      </c>
      <c r="T98" s="9">
        <f t="shared" si="18"/>
        <v>65.275258286725872</v>
      </c>
      <c r="U98" s="9">
        <f t="shared" si="19"/>
        <v>23.356244194264153</v>
      </c>
      <c r="V98" s="9">
        <f t="shared" si="20"/>
        <v>32.738897276417084</v>
      </c>
      <c r="W98" s="9">
        <f t="shared" si="21"/>
        <v>43.904858529318751</v>
      </c>
      <c r="X98" s="9"/>
      <c r="Y98" s="13">
        <v>2.2200000000000001E-2</v>
      </c>
      <c r="AA98" s="13">
        <v>1.8224</v>
      </c>
      <c r="AB98" s="13">
        <v>5.11E-2</v>
      </c>
      <c r="AC98" s="13">
        <v>5.7599999999999998E-2</v>
      </c>
      <c r="AD98" s="13">
        <v>3.7199999999999997E-2</v>
      </c>
      <c r="AE98" s="13">
        <v>0.21199999999999999</v>
      </c>
      <c r="AF98" s="13">
        <v>8.9999999999999998E-4</v>
      </c>
      <c r="AG98" s="13">
        <v>2.5546000000000002</v>
      </c>
      <c r="AH98" s="13">
        <v>6.1199999999999997E-2</v>
      </c>
      <c r="AI98" s="13">
        <v>7.7874999999999996</v>
      </c>
      <c r="AJ98" s="13">
        <v>3.4253999999999998</v>
      </c>
      <c r="AL98" s="13">
        <v>16.0321</v>
      </c>
      <c r="AN98" s="9">
        <f t="shared" si="22"/>
        <v>9.5495495495495497</v>
      </c>
    </row>
    <row r="99" spans="1:40" s="13" customFormat="1" x14ac:dyDescent="0.25">
      <c r="A99" s="6" t="s">
        <v>667</v>
      </c>
      <c r="B99" s="13">
        <v>0.20699999999999999</v>
      </c>
      <c r="D99" s="13">
        <v>15.359</v>
      </c>
      <c r="E99" s="13">
        <v>0.61399999999999999</v>
      </c>
      <c r="F99" s="13">
        <v>0.20100000000000001</v>
      </c>
      <c r="G99" s="13">
        <v>0.27</v>
      </c>
      <c r="H99" s="13">
        <v>1.3109999999999999</v>
      </c>
      <c r="I99" s="13">
        <v>0</v>
      </c>
      <c r="J99" s="13">
        <v>14.438000000000001</v>
      </c>
      <c r="K99" s="13">
        <v>0.52800000000000002</v>
      </c>
      <c r="L99" s="13">
        <v>51.975000000000001</v>
      </c>
      <c r="M99" s="13">
        <v>16.178000000000001</v>
      </c>
      <c r="O99" s="13">
        <v>101.081</v>
      </c>
      <c r="Q99" s="9">
        <f t="shared" si="15"/>
        <v>0.21377966455564062</v>
      </c>
      <c r="R99" s="9">
        <f t="shared" si="16"/>
        <v>0.40138940578092053</v>
      </c>
      <c r="S99" s="9">
        <f t="shared" si="17"/>
        <v>0.2574628196440672</v>
      </c>
      <c r="T99" s="9">
        <f t="shared" si="18"/>
        <v>65.248632471284523</v>
      </c>
      <c r="U99" s="9">
        <f t="shared" si="19"/>
        <v>24.498264045837971</v>
      </c>
      <c r="V99" s="9">
        <f t="shared" si="20"/>
        <v>29.504172675809805</v>
      </c>
      <c r="W99" s="9">
        <f t="shared" si="21"/>
        <v>45.997563278352224</v>
      </c>
      <c r="X99" s="9"/>
      <c r="Y99" s="13">
        <v>2.3199999999999998E-2</v>
      </c>
      <c r="AA99" s="13">
        <v>1.9153</v>
      </c>
      <c r="AB99" s="13">
        <v>7.2400000000000006E-2</v>
      </c>
      <c r="AC99" s="13">
        <v>5.8099999999999999E-2</v>
      </c>
      <c r="AD99" s="13">
        <v>3.4000000000000002E-2</v>
      </c>
      <c r="AE99" s="13">
        <v>0.23039999999999999</v>
      </c>
      <c r="AF99" s="13">
        <v>0</v>
      </c>
      <c r="AG99" s="13">
        <v>2.3068</v>
      </c>
      <c r="AH99" s="13">
        <v>6.6699999999999995E-2</v>
      </c>
      <c r="AI99" s="13">
        <v>7.7500999999999998</v>
      </c>
      <c r="AJ99" s="13">
        <v>3.5960999999999999</v>
      </c>
      <c r="AL99" s="13">
        <v>16.053100000000001</v>
      </c>
      <c r="AN99" s="9">
        <f t="shared" si="22"/>
        <v>9.931034482758621</v>
      </c>
    </row>
    <row r="100" spans="1:40" s="13" customFormat="1" x14ac:dyDescent="0.25">
      <c r="A100" s="6" t="s">
        <v>31</v>
      </c>
      <c r="B100" s="13">
        <v>0.23400000000000001</v>
      </c>
      <c r="D100" s="13">
        <v>14.047000000000001</v>
      </c>
      <c r="E100" s="13">
        <v>0.52700000000000002</v>
      </c>
      <c r="F100" s="13">
        <v>0.21199999999999999</v>
      </c>
      <c r="G100" s="13">
        <v>0.34</v>
      </c>
      <c r="H100" s="13">
        <v>1.389</v>
      </c>
      <c r="I100" s="13">
        <v>0</v>
      </c>
      <c r="J100" s="13">
        <v>17.446000000000002</v>
      </c>
      <c r="K100" s="13">
        <v>0.44900000000000001</v>
      </c>
      <c r="L100" s="13">
        <v>51.601999999999997</v>
      </c>
      <c r="M100" s="13">
        <v>14.722</v>
      </c>
      <c r="O100" s="13">
        <v>100.968</v>
      </c>
      <c r="Q100" s="9">
        <f t="shared" si="15"/>
        <v>0.19551812930614518</v>
      </c>
      <c r="R100" s="9">
        <f t="shared" si="16"/>
        <v>0.36526485547698795</v>
      </c>
      <c r="S100" s="9">
        <f t="shared" si="17"/>
        <v>0.3111023930953315</v>
      </c>
      <c r="T100" s="9">
        <f t="shared" si="18"/>
        <v>65.134796416521752</v>
      </c>
      <c r="U100" s="9">
        <f t="shared" si="19"/>
        <v>22.424751494501972</v>
      </c>
      <c r="V100" s="9">
        <f t="shared" si="20"/>
        <v>35.681570191293794</v>
      </c>
      <c r="W100" s="9">
        <f t="shared" si="21"/>
        <v>41.89367831420423</v>
      </c>
      <c r="X100" s="9"/>
      <c r="Y100" s="13">
        <v>2.64E-2</v>
      </c>
      <c r="AA100" s="13">
        <v>1.7585999999999999</v>
      </c>
      <c r="AB100" s="13">
        <v>6.2300000000000001E-2</v>
      </c>
      <c r="AC100" s="13">
        <v>6.1499999999999999E-2</v>
      </c>
      <c r="AD100" s="13">
        <v>4.3099999999999999E-2</v>
      </c>
      <c r="AE100" s="13">
        <v>0.245</v>
      </c>
      <c r="AF100" s="13">
        <v>0</v>
      </c>
      <c r="AG100" s="13">
        <v>2.7982999999999998</v>
      </c>
      <c r="AH100" s="13">
        <v>5.6899999999999999E-2</v>
      </c>
      <c r="AI100" s="13">
        <v>7.7244000000000002</v>
      </c>
      <c r="AJ100" s="13">
        <v>3.2852000000000001</v>
      </c>
      <c r="AL100" s="13">
        <v>16.061699999999998</v>
      </c>
      <c r="AN100" s="9">
        <f t="shared" si="22"/>
        <v>9.2803030303030294</v>
      </c>
    </row>
    <row r="101" spans="1:40" s="13" customFormat="1" x14ac:dyDescent="0.25">
      <c r="A101" s="6" t="s">
        <v>181</v>
      </c>
      <c r="B101" s="13">
        <v>0.23799999999999999</v>
      </c>
      <c r="D101" s="13">
        <v>14.317</v>
      </c>
      <c r="E101" s="13">
        <v>0.50900000000000001</v>
      </c>
      <c r="F101" s="13">
        <v>0.16400000000000001</v>
      </c>
      <c r="G101" s="13">
        <v>2.1000000000000001E-2</v>
      </c>
      <c r="H101" s="13">
        <v>1.347</v>
      </c>
      <c r="I101" s="13">
        <v>0</v>
      </c>
      <c r="J101" s="13">
        <v>16.733000000000001</v>
      </c>
      <c r="K101" s="13">
        <v>0.503</v>
      </c>
      <c r="L101" s="13">
        <v>51.963000000000001</v>
      </c>
      <c r="M101" s="13">
        <v>14.974</v>
      </c>
      <c r="O101" s="13">
        <v>100.76900000000001</v>
      </c>
      <c r="Q101" s="9">
        <f t="shared" si="15"/>
        <v>0.19927621963950171</v>
      </c>
      <c r="R101" s="9">
        <f t="shared" si="16"/>
        <v>0.37151718149113017</v>
      </c>
      <c r="S101" s="9">
        <f t="shared" si="17"/>
        <v>0.29838795962766146</v>
      </c>
      <c r="T101" s="9">
        <f t="shared" si="18"/>
        <v>65.087855037431424</v>
      </c>
      <c r="U101" s="9">
        <f t="shared" si="19"/>
        <v>22.926885991394091</v>
      </c>
      <c r="V101" s="9">
        <f t="shared" si="20"/>
        <v>34.329769723471877</v>
      </c>
      <c r="W101" s="9">
        <f t="shared" si="21"/>
        <v>42.743344285134029</v>
      </c>
      <c r="X101" s="9"/>
      <c r="Y101" s="13">
        <v>2.69E-2</v>
      </c>
      <c r="AA101" s="13">
        <v>1.7946</v>
      </c>
      <c r="AB101" s="13">
        <v>6.0299999999999999E-2</v>
      </c>
      <c r="AC101" s="13">
        <v>4.7699999999999999E-2</v>
      </c>
      <c r="AD101" s="13">
        <v>2.7000000000000001E-3</v>
      </c>
      <c r="AE101" s="13">
        <v>0.23799999999999999</v>
      </c>
      <c r="AF101" s="13">
        <v>0</v>
      </c>
      <c r="AG101" s="13">
        <v>2.6873</v>
      </c>
      <c r="AH101" s="13">
        <v>6.3899999999999998E-2</v>
      </c>
      <c r="AI101" s="13">
        <v>7.7884000000000002</v>
      </c>
      <c r="AJ101" s="13">
        <v>3.3456000000000001</v>
      </c>
      <c r="AL101" s="13">
        <v>16.055399999999999</v>
      </c>
      <c r="AN101" s="9">
        <f t="shared" si="22"/>
        <v>8.8475836431226753</v>
      </c>
    </row>
    <row r="102" spans="1:40" s="13" customFormat="1" x14ac:dyDescent="0.25">
      <c r="A102" s="6" t="s">
        <v>116</v>
      </c>
      <c r="B102" s="13">
        <v>0.25800000000000001</v>
      </c>
      <c r="D102" s="13">
        <v>14.878</v>
      </c>
      <c r="E102" s="13">
        <v>0.47299999999999998</v>
      </c>
      <c r="F102" s="13">
        <v>0.10199999999999999</v>
      </c>
      <c r="G102" s="13">
        <v>7.0000000000000001E-3</v>
      </c>
      <c r="H102" s="13">
        <v>1.3089999999999999</v>
      </c>
      <c r="I102" s="13">
        <v>0</v>
      </c>
      <c r="J102" s="13">
        <v>15.823</v>
      </c>
      <c r="K102" s="13">
        <v>0.496</v>
      </c>
      <c r="L102" s="13">
        <v>52.164000000000001</v>
      </c>
      <c r="M102" s="13">
        <v>15.515000000000001</v>
      </c>
      <c r="O102" s="13">
        <v>101.02500000000001</v>
      </c>
      <c r="Q102" s="9">
        <f t="shared" ref="Q102:Q127" si="23">D102/(55.845+16)</f>
        <v>0.2070846962210314</v>
      </c>
      <c r="R102" s="9">
        <f t="shared" ref="R102:R127" si="24">M102/(24.305+16)</f>
        <v>0.38493983376752267</v>
      </c>
      <c r="S102" s="9">
        <f t="shared" ref="S102:S127" si="25">J102/(40.078+16)</f>
        <v>0.28216056207425372</v>
      </c>
      <c r="T102" s="9">
        <f t="shared" si="18"/>
        <v>65.020926375291396</v>
      </c>
      <c r="U102" s="9">
        <f t="shared" si="19"/>
        <v>23.688884436632893</v>
      </c>
      <c r="V102" s="9">
        <f t="shared" si="20"/>
        <v>32.276981686846391</v>
      </c>
      <c r="W102" s="9">
        <f t="shared" si="21"/>
        <v>44.034133876520713</v>
      </c>
      <c r="X102" s="9"/>
      <c r="Y102" s="13">
        <v>2.9000000000000001E-2</v>
      </c>
      <c r="AA102" s="13">
        <v>1.8589</v>
      </c>
      <c r="AB102" s="13">
        <v>5.5899999999999998E-2</v>
      </c>
      <c r="AC102" s="13">
        <v>2.9499999999999998E-2</v>
      </c>
      <c r="AD102" s="13">
        <v>8.9999999999999998E-4</v>
      </c>
      <c r="AE102" s="13">
        <v>0.23050000000000001</v>
      </c>
      <c r="AF102" s="13">
        <v>0</v>
      </c>
      <c r="AG102" s="13">
        <v>2.5329000000000002</v>
      </c>
      <c r="AH102" s="13">
        <v>6.2799999999999995E-2</v>
      </c>
      <c r="AI102" s="13">
        <v>7.7929000000000004</v>
      </c>
      <c r="AJ102" s="13">
        <v>3.4550999999999998</v>
      </c>
      <c r="AL102" s="13">
        <v>16.048400000000001</v>
      </c>
      <c r="AN102" s="9">
        <f t="shared" si="22"/>
        <v>7.9482758620689653</v>
      </c>
    </row>
    <row r="103" spans="1:40" s="13" customFormat="1" x14ac:dyDescent="0.25">
      <c r="A103" s="6" t="s">
        <v>178</v>
      </c>
      <c r="B103" s="13">
        <v>0.24199999999999999</v>
      </c>
      <c r="D103" s="13">
        <v>15.19</v>
      </c>
      <c r="E103" s="13">
        <v>0.45</v>
      </c>
      <c r="F103" s="13">
        <v>0.17299999999999999</v>
      </c>
      <c r="G103" s="13">
        <v>0</v>
      </c>
      <c r="H103" s="13">
        <v>1.2370000000000001</v>
      </c>
      <c r="I103" s="13">
        <v>0</v>
      </c>
      <c r="J103" s="13">
        <v>15.278</v>
      </c>
      <c r="K103" s="13">
        <v>0.52200000000000002</v>
      </c>
      <c r="L103" s="13">
        <v>52.41</v>
      </c>
      <c r="M103" s="13">
        <v>15.808</v>
      </c>
      <c r="O103" s="13">
        <v>101.31</v>
      </c>
      <c r="Q103" s="9">
        <f t="shared" si="23"/>
        <v>0.21142737838402115</v>
      </c>
      <c r="R103" s="9">
        <f t="shared" si="24"/>
        <v>0.39220940329983872</v>
      </c>
      <c r="S103" s="9">
        <f t="shared" si="25"/>
        <v>0.27244195584721281</v>
      </c>
      <c r="T103" s="9">
        <f t="shared" si="18"/>
        <v>64.974404343910379</v>
      </c>
      <c r="U103" s="9">
        <f t="shared" si="19"/>
        <v>24.133376296730667</v>
      </c>
      <c r="V103" s="9">
        <f t="shared" si="20"/>
        <v>31.097884719243041</v>
      </c>
      <c r="W103" s="9">
        <f t="shared" si="21"/>
        <v>44.768738984026292</v>
      </c>
      <c r="X103" s="9"/>
      <c r="Y103" s="13">
        <v>2.7099999999999999E-2</v>
      </c>
      <c r="AA103" s="13">
        <v>1.8918999999999999</v>
      </c>
      <c r="AB103" s="13">
        <v>5.2999999999999999E-2</v>
      </c>
      <c r="AC103" s="13">
        <v>0.05</v>
      </c>
      <c r="AD103" s="13">
        <v>0</v>
      </c>
      <c r="AE103" s="13">
        <v>0.21709999999999999</v>
      </c>
      <c r="AF103" s="13">
        <v>0</v>
      </c>
      <c r="AG103" s="13">
        <v>2.4380000000000002</v>
      </c>
      <c r="AH103" s="13">
        <v>6.5799999999999997E-2</v>
      </c>
      <c r="AI103" s="13">
        <v>7.8052000000000001</v>
      </c>
      <c r="AJ103" s="13">
        <v>3.5095000000000001</v>
      </c>
      <c r="AL103" s="13">
        <v>16.057600000000001</v>
      </c>
      <c r="AN103" s="9">
        <f t="shared" si="22"/>
        <v>8.0110701107011071</v>
      </c>
    </row>
    <row r="104" spans="1:40" s="13" customFormat="1" x14ac:dyDescent="0.25">
      <c r="A104" s="6" t="s">
        <v>169</v>
      </c>
      <c r="B104" s="13">
        <v>0.24</v>
      </c>
      <c r="D104" s="13">
        <v>14.769</v>
      </c>
      <c r="E104" s="13">
        <v>0.46300000000000002</v>
      </c>
      <c r="F104" s="13">
        <v>0.193</v>
      </c>
      <c r="G104" s="13">
        <v>0.27</v>
      </c>
      <c r="H104" s="13">
        <v>1.3129999999999999</v>
      </c>
      <c r="I104" s="13">
        <v>2E-3</v>
      </c>
      <c r="J104" s="13">
        <v>16.018999999999998</v>
      </c>
      <c r="K104" s="13">
        <v>0.52700000000000002</v>
      </c>
      <c r="L104" s="13">
        <v>52.069000000000003</v>
      </c>
      <c r="M104" s="13">
        <v>15.364000000000001</v>
      </c>
      <c r="O104" s="13">
        <v>101.229</v>
      </c>
      <c r="Q104" s="9">
        <f t="shared" si="23"/>
        <v>0.20556754123460227</v>
      </c>
      <c r="R104" s="9">
        <f t="shared" si="24"/>
        <v>0.38119340032254068</v>
      </c>
      <c r="S104" s="9">
        <f t="shared" si="25"/>
        <v>0.28565569385498762</v>
      </c>
      <c r="T104" s="9">
        <f t="shared" si="18"/>
        <v>64.965708063480108</v>
      </c>
      <c r="U104" s="9">
        <f t="shared" si="19"/>
        <v>23.563001081185476</v>
      </c>
      <c r="V104" s="9">
        <f t="shared" si="20"/>
        <v>32.74303609766033</v>
      </c>
      <c r="W104" s="9">
        <f t="shared" si="21"/>
        <v>43.693962821154194</v>
      </c>
      <c r="X104" s="9"/>
      <c r="Y104" s="13">
        <v>2.69E-2</v>
      </c>
      <c r="AA104" s="13">
        <v>1.8411999999999999</v>
      </c>
      <c r="AB104" s="13">
        <v>5.4600000000000003E-2</v>
      </c>
      <c r="AC104" s="13">
        <v>5.5800000000000002E-2</v>
      </c>
      <c r="AD104" s="13">
        <v>3.4000000000000002E-2</v>
      </c>
      <c r="AE104" s="13">
        <v>0.23080000000000001</v>
      </c>
      <c r="AF104" s="13">
        <v>2.9999999999999997E-4</v>
      </c>
      <c r="AG104" s="13">
        <v>2.5588000000000002</v>
      </c>
      <c r="AH104" s="13">
        <v>6.6600000000000006E-2</v>
      </c>
      <c r="AI104" s="13">
        <v>7.7621000000000002</v>
      </c>
      <c r="AJ104" s="13">
        <v>3.4142000000000001</v>
      </c>
      <c r="AL104" s="13">
        <v>16.045300000000001</v>
      </c>
      <c r="AN104" s="9">
        <f t="shared" si="22"/>
        <v>8.5799256505576214</v>
      </c>
    </row>
    <row r="105" spans="1:40" s="13" customFormat="1" x14ac:dyDescent="0.25">
      <c r="A105" s="6" t="s">
        <v>129</v>
      </c>
      <c r="B105" s="13">
        <v>0.222</v>
      </c>
      <c r="D105" s="13">
        <v>14.37</v>
      </c>
      <c r="E105" s="13">
        <v>0.45800000000000002</v>
      </c>
      <c r="F105" s="13">
        <v>0.153</v>
      </c>
      <c r="G105" s="13">
        <v>1E-3</v>
      </c>
      <c r="H105" s="13">
        <v>1.5760000000000001</v>
      </c>
      <c r="I105" s="13">
        <v>5.0000000000000001E-3</v>
      </c>
      <c r="J105" s="13">
        <v>16.372</v>
      </c>
      <c r="K105" s="13">
        <v>0.42599999999999999</v>
      </c>
      <c r="L105" s="13">
        <v>51.683</v>
      </c>
      <c r="M105" s="13">
        <v>14.920999999999999</v>
      </c>
      <c r="O105" s="13">
        <v>100.187</v>
      </c>
      <c r="Q105" s="9">
        <f t="shared" si="23"/>
        <v>0.2000139188530865</v>
      </c>
      <c r="R105" s="9">
        <f t="shared" si="24"/>
        <v>0.37020220816275895</v>
      </c>
      <c r="S105" s="9">
        <f t="shared" si="25"/>
        <v>0.29195049752130958</v>
      </c>
      <c r="T105" s="9">
        <f t="shared" si="18"/>
        <v>64.923138898257008</v>
      </c>
      <c r="U105" s="9">
        <f t="shared" si="19"/>
        <v>23.198986502227665</v>
      </c>
      <c r="V105" s="9">
        <f t="shared" si="20"/>
        <v>33.862421626218726</v>
      </c>
      <c r="W105" s="9">
        <f t="shared" si="21"/>
        <v>42.938591871553605</v>
      </c>
      <c r="X105" s="9"/>
      <c r="Y105" s="13">
        <v>2.52E-2</v>
      </c>
      <c r="AA105" s="13">
        <v>1.8101</v>
      </c>
      <c r="AB105" s="13">
        <v>5.4600000000000003E-2</v>
      </c>
      <c r="AC105" s="13">
        <v>4.4699999999999997E-2</v>
      </c>
      <c r="AD105" s="13">
        <v>1E-4</v>
      </c>
      <c r="AE105" s="13">
        <v>0.2797</v>
      </c>
      <c r="AF105" s="13">
        <v>1E-3</v>
      </c>
      <c r="AG105" s="13">
        <v>2.6421999999999999</v>
      </c>
      <c r="AH105" s="13">
        <v>5.4300000000000001E-2</v>
      </c>
      <c r="AI105" s="13">
        <v>7.7843</v>
      </c>
      <c r="AJ105" s="13">
        <v>3.35</v>
      </c>
      <c r="AL105" s="13">
        <v>16.046199999999999</v>
      </c>
      <c r="AN105" s="9">
        <f t="shared" si="22"/>
        <v>11.09920634920635</v>
      </c>
    </row>
    <row r="106" spans="1:40" s="13" customFormat="1" x14ac:dyDescent="0.25">
      <c r="A106" s="6" t="s">
        <v>39</v>
      </c>
      <c r="B106" s="13">
        <v>0.2</v>
      </c>
      <c r="D106" s="13">
        <v>14.939</v>
      </c>
      <c r="E106" s="13">
        <v>0.45500000000000002</v>
      </c>
      <c r="F106" s="13">
        <v>0.15</v>
      </c>
      <c r="G106" s="13">
        <v>0.27600000000000002</v>
      </c>
      <c r="H106" s="13">
        <v>1.119</v>
      </c>
      <c r="I106" s="13">
        <v>0</v>
      </c>
      <c r="J106" s="13">
        <v>15.551</v>
      </c>
      <c r="K106" s="13">
        <v>0.50600000000000001</v>
      </c>
      <c r="L106" s="13">
        <v>52.054000000000002</v>
      </c>
      <c r="M106" s="13">
        <v>15.493</v>
      </c>
      <c r="O106" s="13">
        <v>100.74299999999999</v>
      </c>
      <c r="Q106" s="9">
        <f t="shared" si="23"/>
        <v>0.20793374625930824</v>
      </c>
      <c r="R106" s="9">
        <f t="shared" si="24"/>
        <v>0.38439399578216105</v>
      </c>
      <c r="S106" s="9">
        <f t="shared" si="25"/>
        <v>0.27731017511323514</v>
      </c>
      <c r="T106" s="9">
        <f t="shared" si="18"/>
        <v>64.895490874248026</v>
      </c>
      <c r="U106" s="9">
        <f t="shared" si="19"/>
        <v>23.91038179885593</v>
      </c>
      <c r="V106" s="9">
        <f t="shared" si="20"/>
        <v>31.888004150111477</v>
      </c>
      <c r="W106" s="9">
        <f t="shared" si="21"/>
        <v>44.2016140510326</v>
      </c>
      <c r="X106" s="9"/>
      <c r="Y106" s="13">
        <v>2.2599999999999999E-2</v>
      </c>
      <c r="AA106" s="13">
        <v>1.8702000000000001</v>
      </c>
      <c r="AB106" s="13">
        <v>5.3800000000000001E-2</v>
      </c>
      <c r="AC106" s="13">
        <v>4.3400000000000001E-2</v>
      </c>
      <c r="AD106" s="13">
        <v>3.5000000000000003E-2</v>
      </c>
      <c r="AE106" s="13">
        <v>0.19739999999999999</v>
      </c>
      <c r="AF106" s="13">
        <v>0</v>
      </c>
      <c r="AG106" s="13">
        <v>2.4941</v>
      </c>
      <c r="AH106" s="13">
        <v>6.4199999999999993E-2</v>
      </c>
      <c r="AI106" s="13">
        <v>7.7916999999999996</v>
      </c>
      <c r="AJ106" s="13">
        <v>3.4569000000000001</v>
      </c>
      <c r="AL106" s="13">
        <v>16.029299999999999</v>
      </c>
      <c r="AN106" s="9">
        <f t="shared" si="22"/>
        <v>8.7345132743362832</v>
      </c>
    </row>
    <row r="107" spans="1:40" s="13" customFormat="1" x14ac:dyDescent="0.25">
      <c r="A107" s="6" t="s">
        <v>123</v>
      </c>
      <c r="B107" s="13">
        <v>0.23200000000000001</v>
      </c>
      <c r="D107" s="13">
        <v>14.801</v>
      </c>
      <c r="E107" s="13">
        <v>0.47</v>
      </c>
      <c r="F107" s="13">
        <v>0.152</v>
      </c>
      <c r="G107" s="13">
        <v>0.29799999999999999</v>
      </c>
      <c r="H107" s="13">
        <v>1.2729999999999999</v>
      </c>
      <c r="I107" s="13">
        <v>0</v>
      </c>
      <c r="J107" s="13">
        <v>16.21</v>
      </c>
      <c r="K107" s="13">
        <v>0.53600000000000003</v>
      </c>
      <c r="L107" s="13">
        <v>52.143000000000001</v>
      </c>
      <c r="M107" s="13">
        <v>15.298999999999999</v>
      </c>
      <c r="O107" s="13">
        <v>101.414</v>
      </c>
      <c r="Q107" s="9">
        <f t="shared" si="23"/>
        <v>0.20601294453337046</v>
      </c>
      <c r="R107" s="9">
        <f t="shared" si="24"/>
        <v>0.37958069718397219</v>
      </c>
      <c r="S107" s="9">
        <f t="shared" si="25"/>
        <v>0.28906166411070294</v>
      </c>
      <c r="T107" s="9">
        <f t="shared" si="18"/>
        <v>64.819811921248657</v>
      </c>
      <c r="U107" s="9">
        <f t="shared" si="19"/>
        <v>23.553615139661883</v>
      </c>
      <c r="V107" s="9">
        <f t="shared" si="20"/>
        <v>33.048637810188005</v>
      </c>
      <c r="W107" s="9">
        <f t="shared" si="21"/>
        <v>43.397747050150123</v>
      </c>
      <c r="X107" s="9"/>
      <c r="Y107" s="13">
        <v>2.5999999999999999E-2</v>
      </c>
      <c r="AA107" s="13">
        <v>1.8426</v>
      </c>
      <c r="AB107" s="13">
        <v>5.5399999999999998E-2</v>
      </c>
      <c r="AC107" s="13">
        <v>4.3900000000000002E-2</v>
      </c>
      <c r="AD107" s="13">
        <v>3.7600000000000001E-2</v>
      </c>
      <c r="AE107" s="13">
        <v>0.2233</v>
      </c>
      <c r="AF107" s="13">
        <v>0</v>
      </c>
      <c r="AG107" s="13">
        <v>2.5855000000000001</v>
      </c>
      <c r="AH107" s="13">
        <v>6.7599999999999993E-2</v>
      </c>
      <c r="AI107" s="13">
        <v>7.7618</v>
      </c>
      <c r="AJ107" s="13">
        <v>3.3948</v>
      </c>
      <c r="AL107" s="13">
        <v>16.038499999999999</v>
      </c>
      <c r="AN107" s="9">
        <f t="shared" si="22"/>
        <v>8.588461538461539</v>
      </c>
    </row>
    <row r="108" spans="1:40" s="13" customFormat="1" x14ac:dyDescent="0.25">
      <c r="A108" s="6" t="s">
        <v>215</v>
      </c>
      <c r="B108" s="13">
        <v>0.245</v>
      </c>
      <c r="D108" s="13">
        <v>15.052</v>
      </c>
      <c r="E108" s="13">
        <v>0.40100000000000002</v>
      </c>
      <c r="F108" s="13">
        <v>0.186</v>
      </c>
      <c r="G108" s="13">
        <v>0.26</v>
      </c>
      <c r="H108" s="13">
        <v>1.24</v>
      </c>
      <c r="I108" s="13">
        <v>0</v>
      </c>
      <c r="J108" s="13">
        <v>15.776</v>
      </c>
      <c r="K108" s="13">
        <v>0.51200000000000001</v>
      </c>
      <c r="L108" s="13">
        <v>52.097999999999999</v>
      </c>
      <c r="M108" s="13">
        <v>15.436999999999999</v>
      </c>
      <c r="O108" s="13">
        <v>101.20699999999999</v>
      </c>
      <c r="Q108" s="9">
        <f t="shared" si="23"/>
        <v>0.20950657665808337</v>
      </c>
      <c r="R108" s="9">
        <f t="shared" si="24"/>
        <v>0.38300459000124054</v>
      </c>
      <c r="S108" s="9">
        <f t="shared" si="25"/>
        <v>0.28132244373907772</v>
      </c>
      <c r="T108" s="9">
        <f t="shared" si="18"/>
        <v>64.640906628086668</v>
      </c>
      <c r="U108" s="9">
        <f t="shared" si="19"/>
        <v>23.975568593952833</v>
      </c>
      <c r="V108" s="9">
        <f t="shared" si="20"/>
        <v>32.194051635392704</v>
      </c>
      <c r="W108" s="9">
        <f t="shared" si="21"/>
        <v>43.83037977065446</v>
      </c>
      <c r="X108" s="9"/>
      <c r="Y108" s="13">
        <v>2.75E-2</v>
      </c>
      <c r="AA108" s="13">
        <v>1.8776999999999999</v>
      </c>
      <c r="AB108" s="13">
        <v>4.7300000000000002E-2</v>
      </c>
      <c r="AC108" s="13">
        <v>5.3800000000000001E-2</v>
      </c>
      <c r="AD108" s="13">
        <v>3.2800000000000003E-2</v>
      </c>
      <c r="AE108" s="13">
        <v>0.218</v>
      </c>
      <c r="AF108" s="13">
        <v>0</v>
      </c>
      <c r="AG108" s="13">
        <v>2.5215000000000001</v>
      </c>
      <c r="AH108" s="13">
        <v>6.4600000000000005E-2</v>
      </c>
      <c r="AI108" s="13">
        <v>7.7709000000000001</v>
      </c>
      <c r="AJ108" s="13">
        <v>3.4323999999999999</v>
      </c>
      <c r="AL108" s="13">
        <v>16.046500000000002</v>
      </c>
      <c r="AN108" s="9">
        <f t="shared" si="22"/>
        <v>7.9272727272727268</v>
      </c>
    </row>
    <row r="109" spans="1:40" s="13" customFormat="1" x14ac:dyDescent="0.25">
      <c r="A109" s="6" t="s">
        <v>230</v>
      </c>
      <c r="B109" s="13">
        <v>0.223</v>
      </c>
      <c r="D109" s="13">
        <v>14.791</v>
      </c>
      <c r="E109" s="13">
        <v>0.432</v>
      </c>
      <c r="F109" s="13">
        <v>0.188</v>
      </c>
      <c r="G109" s="13">
        <v>0.315</v>
      </c>
      <c r="H109" s="13">
        <v>1.4039999999999999</v>
      </c>
      <c r="I109" s="13">
        <v>0</v>
      </c>
      <c r="J109" s="13">
        <v>16.454000000000001</v>
      </c>
      <c r="K109" s="13">
        <v>0.46500000000000002</v>
      </c>
      <c r="L109" s="13">
        <v>51.811</v>
      </c>
      <c r="M109" s="13">
        <v>15.065</v>
      </c>
      <c r="O109" s="13">
        <v>101.148</v>
      </c>
      <c r="Q109" s="9">
        <f t="shared" si="23"/>
        <v>0.2058737560025054</v>
      </c>
      <c r="R109" s="9">
        <f t="shared" si="24"/>
        <v>0.37377496588512593</v>
      </c>
      <c r="S109" s="9">
        <f t="shared" si="25"/>
        <v>0.2934127465316167</v>
      </c>
      <c r="T109" s="9">
        <f t="shared" si="18"/>
        <v>64.483013896403378</v>
      </c>
      <c r="U109" s="9">
        <f t="shared" si="19"/>
        <v>23.580671401666294</v>
      </c>
      <c r="V109" s="9">
        <f t="shared" si="20"/>
        <v>33.607341194757502</v>
      </c>
      <c r="W109" s="9">
        <f t="shared" si="21"/>
        <v>42.811987403576204</v>
      </c>
      <c r="X109" s="9"/>
      <c r="Y109" s="13">
        <v>2.5100000000000001E-2</v>
      </c>
      <c r="AA109" s="13">
        <v>1.8480000000000001</v>
      </c>
      <c r="AB109" s="13">
        <v>5.0999999999999997E-2</v>
      </c>
      <c r="AC109" s="13">
        <v>5.4600000000000003E-2</v>
      </c>
      <c r="AD109" s="13">
        <v>3.9899999999999998E-2</v>
      </c>
      <c r="AE109" s="13">
        <v>0.2472</v>
      </c>
      <c r="AF109" s="13">
        <v>0</v>
      </c>
      <c r="AG109" s="13">
        <v>2.6337999999999999</v>
      </c>
      <c r="AH109" s="13">
        <v>5.8799999999999998E-2</v>
      </c>
      <c r="AI109" s="13">
        <v>7.74</v>
      </c>
      <c r="AJ109" s="13">
        <v>3.3549000000000002</v>
      </c>
      <c r="AL109" s="13">
        <v>16.0533</v>
      </c>
      <c r="AN109" s="9">
        <f t="shared" si="22"/>
        <v>9.8486055776892432</v>
      </c>
    </row>
    <row r="110" spans="1:40" s="13" customFormat="1" x14ac:dyDescent="0.25">
      <c r="A110" s="6" t="s">
        <v>52</v>
      </c>
      <c r="B110" s="13">
        <v>0.255</v>
      </c>
      <c r="D110" s="13">
        <v>14.875</v>
      </c>
      <c r="E110" s="13">
        <v>0.56100000000000005</v>
      </c>
      <c r="F110" s="13">
        <v>0.20499999999999999</v>
      </c>
      <c r="G110" s="13">
        <v>0.28399999999999997</v>
      </c>
      <c r="H110" s="13">
        <v>1.306</v>
      </c>
      <c r="I110" s="13">
        <v>0.01</v>
      </c>
      <c r="J110" s="13">
        <v>15.907999999999999</v>
      </c>
      <c r="K110" s="13">
        <v>0.47699999999999998</v>
      </c>
      <c r="L110" s="13">
        <v>52.034999999999997</v>
      </c>
      <c r="M110" s="13">
        <v>15.122</v>
      </c>
      <c r="O110" s="13">
        <v>101.038</v>
      </c>
      <c r="Q110" s="9">
        <f t="shared" si="23"/>
        <v>0.20704293966177187</v>
      </c>
      <c r="R110" s="9">
        <f t="shared" si="24"/>
        <v>0.37518918248356281</v>
      </c>
      <c r="S110" s="9">
        <f t="shared" si="25"/>
        <v>0.283676307999572</v>
      </c>
      <c r="T110" s="9">
        <f t="shared" si="18"/>
        <v>64.439794407274121</v>
      </c>
      <c r="U110" s="9">
        <f t="shared" si="19"/>
        <v>23.910488967883587</v>
      </c>
      <c r="V110" s="9">
        <f t="shared" si="20"/>
        <v>32.760543508289871</v>
      </c>
      <c r="W110" s="9">
        <f t="shared" si="21"/>
        <v>43.328967523826535</v>
      </c>
      <c r="X110" s="9"/>
      <c r="Y110" s="13">
        <v>2.87E-2</v>
      </c>
      <c r="AA110" s="13">
        <v>1.8583000000000001</v>
      </c>
      <c r="AB110" s="13">
        <v>6.6199999999999995E-2</v>
      </c>
      <c r="AC110" s="13">
        <v>5.9200000000000003E-2</v>
      </c>
      <c r="AD110" s="13">
        <v>3.5900000000000001E-2</v>
      </c>
      <c r="AE110" s="13">
        <v>0.23</v>
      </c>
      <c r="AF110" s="13">
        <v>1.8E-3</v>
      </c>
      <c r="AG110" s="13">
        <v>2.5461999999999998</v>
      </c>
      <c r="AH110" s="13">
        <v>6.0400000000000002E-2</v>
      </c>
      <c r="AI110" s="13">
        <v>7.7728000000000002</v>
      </c>
      <c r="AJ110" s="13">
        <v>3.3673999999999999</v>
      </c>
      <c r="AL110" s="13">
        <v>16.026900000000001</v>
      </c>
      <c r="AN110" s="9">
        <f t="shared" si="22"/>
        <v>8.0139372822299659</v>
      </c>
    </row>
    <row r="111" spans="1:40" s="13" customFormat="1" x14ac:dyDescent="0.25">
      <c r="A111" s="6" t="s">
        <v>24</v>
      </c>
      <c r="B111" s="13">
        <v>0.25600000000000001</v>
      </c>
      <c r="D111" s="13">
        <v>15.728</v>
      </c>
      <c r="E111" s="13">
        <v>0.622</v>
      </c>
      <c r="F111" s="13">
        <v>0.161</v>
      </c>
      <c r="G111" s="13">
        <v>0</v>
      </c>
      <c r="H111" s="13">
        <v>1.286</v>
      </c>
      <c r="I111" s="13">
        <v>0</v>
      </c>
      <c r="J111" s="13">
        <v>14.801</v>
      </c>
      <c r="K111" s="13">
        <v>0.54500000000000004</v>
      </c>
      <c r="L111" s="13">
        <v>52.07</v>
      </c>
      <c r="M111" s="13">
        <v>15.948</v>
      </c>
      <c r="O111" s="13">
        <v>101.417</v>
      </c>
      <c r="Q111" s="9">
        <f t="shared" si="23"/>
        <v>0.21891572134456122</v>
      </c>
      <c r="R111" s="9">
        <f t="shared" si="24"/>
        <v>0.39568291775213993</v>
      </c>
      <c r="S111" s="9">
        <f t="shared" si="25"/>
        <v>0.26393594636042655</v>
      </c>
      <c r="T111" s="9">
        <f t="shared" si="18"/>
        <v>64.380701905505376</v>
      </c>
      <c r="U111" s="9">
        <f t="shared" si="19"/>
        <v>24.918281530220334</v>
      </c>
      <c r="V111" s="9">
        <f t="shared" si="20"/>
        <v>30.042749679922142</v>
      </c>
      <c r="W111" s="9">
        <f t="shared" si="21"/>
        <v>45.038968789857527</v>
      </c>
      <c r="X111" s="9"/>
      <c r="Y111" s="13">
        <v>2.87E-2</v>
      </c>
      <c r="AA111" s="13">
        <v>1.9616</v>
      </c>
      <c r="AB111" s="13">
        <v>7.3300000000000004E-2</v>
      </c>
      <c r="AC111" s="13">
        <v>4.6600000000000003E-2</v>
      </c>
      <c r="AD111" s="13">
        <v>0</v>
      </c>
      <c r="AE111" s="13">
        <v>0.2261</v>
      </c>
      <c r="AF111" s="13">
        <v>0</v>
      </c>
      <c r="AG111" s="13">
        <v>2.3650000000000002</v>
      </c>
      <c r="AH111" s="13">
        <v>6.8900000000000003E-2</v>
      </c>
      <c r="AI111" s="13">
        <v>7.7648000000000001</v>
      </c>
      <c r="AJ111" s="13">
        <v>3.5453000000000001</v>
      </c>
      <c r="AL111" s="13">
        <v>16.080300000000001</v>
      </c>
      <c r="AN111" s="9">
        <f t="shared" si="22"/>
        <v>7.8780487804878048</v>
      </c>
    </row>
    <row r="112" spans="1:40" s="13" customFormat="1" x14ac:dyDescent="0.25">
      <c r="A112" s="6" t="s">
        <v>668</v>
      </c>
      <c r="B112" s="13">
        <v>0.255</v>
      </c>
      <c r="D112" s="13">
        <v>14.718</v>
      </c>
      <c r="E112" s="13">
        <v>0.41599999999999998</v>
      </c>
      <c r="F112" s="13">
        <v>0.14799999999999999</v>
      </c>
      <c r="G112" s="13">
        <v>0.33200000000000002</v>
      </c>
      <c r="H112" s="13">
        <v>1.375</v>
      </c>
      <c r="I112" s="13">
        <v>0</v>
      </c>
      <c r="J112" s="13">
        <v>16.260999999999999</v>
      </c>
      <c r="K112" s="13">
        <v>0.52</v>
      </c>
      <c r="L112" s="13">
        <v>51.686999999999998</v>
      </c>
      <c r="M112" s="13">
        <v>14.896000000000001</v>
      </c>
      <c r="O112" s="13">
        <v>100.608</v>
      </c>
      <c r="Q112" s="9">
        <f t="shared" si="23"/>
        <v>0.20485767972719049</v>
      </c>
      <c r="R112" s="9">
        <f t="shared" si="24"/>
        <v>0.36958193772484804</v>
      </c>
      <c r="S112" s="9">
        <f t="shared" si="25"/>
        <v>0.2899711116658939</v>
      </c>
      <c r="T112" s="9">
        <f t="shared" si="18"/>
        <v>64.337821852216763</v>
      </c>
      <c r="U112" s="9">
        <f t="shared" si="19"/>
        <v>23.699113491595909</v>
      </c>
      <c r="V112" s="9">
        <f t="shared" si="20"/>
        <v>33.545524355278204</v>
      </c>
      <c r="W112" s="9">
        <f t="shared" si="21"/>
        <v>42.755362153125894</v>
      </c>
      <c r="X112" s="9"/>
      <c r="Y112" s="13">
        <v>2.8799999999999999E-2</v>
      </c>
      <c r="AA112" s="13">
        <v>1.8474999999999999</v>
      </c>
      <c r="AB112" s="13">
        <v>4.9399999999999999E-2</v>
      </c>
      <c r="AC112" s="13">
        <v>4.2999999999999997E-2</v>
      </c>
      <c r="AD112" s="13">
        <v>4.2200000000000001E-2</v>
      </c>
      <c r="AE112" s="13">
        <v>0.2432</v>
      </c>
      <c r="AF112" s="13">
        <v>0</v>
      </c>
      <c r="AG112" s="13">
        <v>2.6150000000000002</v>
      </c>
      <c r="AH112" s="13">
        <v>6.6100000000000006E-2</v>
      </c>
      <c r="AI112" s="13">
        <v>7.7575000000000003</v>
      </c>
      <c r="AJ112" s="13">
        <v>3.3328000000000002</v>
      </c>
      <c r="AL112" s="13">
        <v>16.025500000000001</v>
      </c>
      <c r="AN112" s="9">
        <f t="shared" si="22"/>
        <v>8.4444444444444446</v>
      </c>
    </row>
    <row r="113" spans="1:40" s="13" customFormat="1" x14ac:dyDescent="0.25">
      <c r="A113" s="6" t="s">
        <v>134</v>
      </c>
      <c r="B113" s="13">
        <v>0.25800000000000001</v>
      </c>
      <c r="D113" s="13">
        <v>15.548</v>
      </c>
      <c r="E113" s="13">
        <v>0.442</v>
      </c>
      <c r="F113" s="13">
        <v>0.19500000000000001</v>
      </c>
      <c r="G113" s="13">
        <v>0.23899999999999999</v>
      </c>
      <c r="H113" s="13">
        <v>1.1990000000000001</v>
      </c>
      <c r="I113" s="13">
        <v>5.0000000000000001E-3</v>
      </c>
      <c r="J113" s="13">
        <v>15.052</v>
      </c>
      <c r="K113" s="13">
        <v>0.52700000000000002</v>
      </c>
      <c r="L113" s="13">
        <v>52.204999999999998</v>
      </c>
      <c r="M113" s="13">
        <v>15.727</v>
      </c>
      <c r="O113" s="13">
        <v>101.39700000000001</v>
      </c>
      <c r="Q113" s="9">
        <f t="shared" si="23"/>
        <v>0.21641032778899019</v>
      </c>
      <c r="R113" s="9">
        <f t="shared" si="24"/>
        <v>0.39019972708100731</v>
      </c>
      <c r="S113" s="9">
        <f t="shared" si="25"/>
        <v>0.26841185491636649</v>
      </c>
      <c r="T113" s="9">
        <f t="shared" si="18"/>
        <v>64.324638859576922</v>
      </c>
      <c r="U113" s="9">
        <f t="shared" si="19"/>
        <v>24.731989607188993</v>
      </c>
      <c r="V113" s="9">
        <f t="shared" si="20"/>
        <v>30.674872470553225</v>
      </c>
      <c r="W113" s="9">
        <f t="shared" si="21"/>
        <v>44.593137922257768</v>
      </c>
      <c r="X113" s="9"/>
      <c r="Y113" s="13">
        <v>2.8899999999999999E-2</v>
      </c>
      <c r="AA113" s="13">
        <v>1.9363999999999999</v>
      </c>
      <c r="AB113" s="13">
        <v>5.21E-2</v>
      </c>
      <c r="AC113" s="13">
        <v>5.6300000000000003E-2</v>
      </c>
      <c r="AD113" s="13">
        <v>3.0099999999999998E-2</v>
      </c>
      <c r="AE113" s="13">
        <v>0.21049999999999999</v>
      </c>
      <c r="AF113" s="13">
        <v>8.9999999999999998E-4</v>
      </c>
      <c r="AG113" s="13">
        <v>2.4018000000000002</v>
      </c>
      <c r="AH113" s="13">
        <v>6.6500000000000004E-2</v>
      </c>
      <c r="AI113" s="13">
        <v>7.7742000000000004</v>
      </c>
      <c r="AJ113" s="13">
        <v>3.4912999999999998</v>
      </c>
      <c r="AL113" s="13">
        <v>16.048999999999999</v>
      </c>
      <c r="AN113" s="9">
        <f t="shared" si="22"/>
        <v>7.2837370242214536</v>
      </c>
    </row>
    <row r="114" spans="1:40" s="13" customFormat="1" x14ac:dyDescent="0.25">
      <c r="A114" s="6" t="s">
        <v>188</v>
      </c>
      <c r="B114" s="13">
        <v>0.23200000000000001</v>
      </c>
      <c r="D114" s="13">
        <v>15.028</v>
      </c>
      <c r="E114" s="13">
        <v>0.41699999999999998</v>
      </c>
      <c r="F114" s="13">
        <v>0.156</v>
      </c>
      <c r="G114" s="13">
        <v>0</v>
      </c>
      <c r="H114" s="13">
        <v>1.1859999999999999</v>
      </c>
      <c r="I114" s="13">
        <v>0</v>
      </c>
      <c r="J114" s="13">
        <v>15.925000000000001</v>
      </c>
      <c r="K114" s="13">
        <v>0.501</v>
      </c>
      <c r="L114" s="13">
        <v>51.780999999999999</v>
      </c>
      <c r="M114" s="13">
        <v>15.141</v>
      </c>
      <c r="O114" s="13">
        <v>100.367</v>
      </c>
      <c r="Q114" s="9">
        <f t="shared" si="23"/>
        <v>0.20917252418400725</v>
      </c>
      <c r="R114" s="9">
        <f t="shared" si="24"/>
        <v>0.37566058801637514</v>
      </c>
      <c r="S114" s="9">
        <f t="shared" si="25"/>
        <v>0.28397945718463569</v>
      </c>
      <c r="T114" s="9">
        <f t="shared" si="18"/>
        <v>64.233809642375704</v>
      </c>
      <c r="U114" s="9">
        <f t="shared" si="19"/>
        <v>24.075678869617221</v>
      </c>
      <c r="V114" s="9">
        <f t="shared" si="20"/>
        <v>32.685928725185029</v>
      </c>
      <c r="W114" s="9">
        <f t="shared" si="21"/>
        <v>43.238392405197757</v>
      </c>
      <c r="X114" s="9"/>
      <c r="Y114" s="13">
        <v>2.63E-2</v>
      </c>
      <c r="AA114" s="13">
        <v>1.8936999999999999</v>
      </c>
      <c r="AB114" s="13">
        <v>4.9700000000000001E-2</v>
      </c>
      <c r="AC114" s="13">
        <v>4.5499999999999999E-2</v>
      </c>
      <c r="AD114" s="13">
        <v>0</v>
      </c>
      <c r="AE114" s="13">
        <v>0.2107</v>
      </c>
      <c r="AF114" s="13">
        <v>0</v>
      </c>
      <c r="AG114" s="13">
        <v>2.5710999999999999</v>
      </c>
      <c r="AH114" s="13">
        <v>6.3899999999999998E-2</v>
      </c>
      <c r="AI114" s="13">
        <v>7.8022999999999998</v>
      </c>
      <c r="AJ114" s="13">
        <v>3.4007999999999998</v>
      </c>
      <c r="AL114" s="13">
        <v>16.064</v>
      </c>
      <c r="AN114" s="9">
        <f t="shared" si="22"/>
        <v>8.0114068441064639</v>
      </c>
    </row>
    <row r="115" spans="1:40" s="13" customFormat="1" x14ac:dyDescent="0.25">
      <c r="A115" s="6" t="s">
        <v>240</v>
      </c>
      <c r="B115" s="13">
        <v>0.24199999999999999</v>
      </c>
      <c r="D115" s="13">
        <v>14.724</v>
      </c>
      <c r="E115" s="13">
        <v>0.42299999999999999</v>
      </c>
      <c r="F115" s="13">
        <v>0.183</v>
      </c>
      <c r="G115" s="13">
        <v>0.34399999999999997</v>
      </c>
      <c r="H115" s="13">
        <v>1.345</v>
      </c>
      <c r="I115" s="13">
        <v>3.0000000000000001E-3</v>
      </c>
      <c r="J115" s="13">
        <v>16.8</v>
      </c>
      <c r="K115" s="13">
        <v>0.51500000000000001</v>
      </c>
      <c r="L115" s="13">
        <v>51.694000000000003</v>
      </c>
      <c r="M115" s="13">
        <v>14.8</v>
      </c>
      <c r="O115" s="13">
        <v>101.07299999999999</v>
      </c>
      <c r="Q115" s="9">
        <f t="shared" si="23"/>
        <v>0.20494119284570952</v>
      </c>
      <c r="R115" s="9">
        <f t="shared" si="24"/>
        <v>0.36720009924327007</v>
      </c>
      <c r="S115" s="9">
        <f t="shared" si="25"/>
        <v>0.29958272406291236</v>
      </c>
      <c r="T115" s="9">
        <f t="shared" si="18"/>
        <v>64.179968186278543</v>
      </c>
      <c r="U115" s="9">
        <f t="shared" si="19"/>
        <v>23.509871134489877</v>
      </c>
      <c r="V115" s="9">
        <f t="shared" si="20"/>
        <v>34.366693874671469</v>
      </c>
      <c r="W115" s="9">
        <f t="shared" si="21"/>
        <v>42.123434990838653</v>
      </c>
      <c r="X115" s="9"/>
      <c r="Y115" s="13">
        <v>2.7300000000000001E-2</v>
      </c>
      <c r="AA115" s="13">
        <v>1.843</v>
      </c>
      <c r="AB115" s="13">
        <v>5.0099999999999999E-2</v>
      </c>
      <c r="AC115" s="13">
        <v>5.3199999999999997E-2</v>
      </c>
      <c r="AD115" s="13">
        <v>4.36E-2</v>
      </c>
      <c r="AE115" s="13">
        <v>0.23730000000000001</v>
      </c>
      <c r="AF115" s="13">
        <v>5.0000000000000001E-4</v>
      </c>
      <c r="AG115" s="13">
        <v>2.6941999999999999</v>
      </c>
      <c r="AH115" s="13">
        <v>6.5199999999999994E-2</v>
      </c>
      <c r="AI115" s="13">
        <v>7.7370000000000001</v>
      </c>
      <c r="AJ115" s="13">
        <v>3.302</v>
      </c>
      <c r="AL115" s="13">
        <v>16.0534</v>
      </c>
      <c r="AN115" s="9">
        <f t="shared" si="22"/>
        <v>8.6923076923076916</v>
      </c>
    </row>
    <row r="116" spans="1:40" s="13" customFormat="1" x14ac:dyDescent="0.25">
      <c r="A116" s="6" t="s">
        <v>174</v>
      </c>
      <c r="B116" s="13">
        <v>0.24</v>
      </c>
      <c r="D116" s="13">
        <v>14.663</v>
      </c>
      <c r="E116" s="13">
        <v>0.44900000000000001</v>
      </c>
      <c r="F116" s="13">
        <v>0.192</v>
      </c>
      <c r="G116" s="13">
        <v>0</v>
      </c>
      <c r="H116" s="13">
        <v>1.516</v>
      </c>
      <c r="I116" s="13">
        <v>7.0000000000000001E-3</v>
      </c>
      <c r="J116" s="13">
        <v>16.058</v>
      </c>
      <c r="K116" s="13">
        <v>0.47</v>
      </c>
      <c r="L116" s="13">
        <v>51.786999999999999</v>
      </c>
      <c r="M116" s="13">
        <v>14.724</v>
      </c>
      <c r="O116" s="13">
        <v>100.10599999999999</v>
      </c>
      <c r="Q116" s="9">
        <f t="shared" si="23"/>
        <v>0.20409214280743268</v>
      </c>
      <c r="R116" s="9">
        <f t="shared" si="24"/>
        <v>0.36531447711202086</v>
      </c>
      <c r="S116" s="9">
        <f t="shared" si="25"/>
        <v>0.2863511537501337</v>
      </c>
      <c r="T116" s="9">
        <f t="shared" si="18"/>
        <v>64.157047763810169</v>
      </c>
      <c r="U116" s="9">
        <f t="shared" si="19"/>
        <v>23.8492887925823</v>
      </c>
      <c r="V116" s="9">
        <f t="shared" si="20"/>
        <v>33.461706403463594</v>
      </c>
      <c r="W116" s="9">
        <f t="shared" si="21"/>
        <v>42.68900480395412</v>
      </c>
      <c r="X116" s="9"/>
      <c r="Y116" s="13">
        <v>2.7199999999999998E-2</v>
      </c>
      <c r="AA116" s="13">
        <v>1.8492</v>
      </c>
      <c r="AB116" s="13">
        <v>5.3600000000000002E-2</v>
      </c>
      <c r="AC116" s="13">
        <v>5.62E-2</v>
      </c>
      <c r="AD116" s="13">
        <v>0</v>
      </c>
      <c r="AE116" s="13">
        <v>0.26939999999999997</v>
      </c>
      <c r="AF116" s="13">
        <v>1.4E-3</v>
      </c>
      <c r="AG116" s="13">
        <v>2.5945999999999998</v>
      </c>
      <c r="AH116" s="13">
        <v>0.06</v>
      </c>
      <c r="AI116" s="13">
        <v>7.8093000000000004</v>
      </c>
      <c r="AJ116" s="13">
        <v>3.3098999999999998</v>
      </c>
      <c r="AL116" s="13">
        <v>16.030799999999999</v>
      </c>
      <c r="AN116" s="9">
        <f t="shared" si="22"/>
        <v>9.9044117647058822</v>
      </c>
    </row>
    <row r="117" spans="1:40" s="13" customFormat="1" x14ac:dyDescent="0.25">
      <c r="A117" s="6" t="s">
        <v>135</v>
      </c>
      <c r="B117" s="13">
        <v>0.22900000000000001</v>
      </c>
      <c r="D117" s="13">
        <v>15.077999999999999</v>
      </c>
      <c r="E117" s="13">
        <v>0.47099999999999997</v>
      </c>
      <c r="F117" s="13">
        <v>0.156</v>
      </c>
      <c r="G117" s="13">
        <v>0.29599999999999999</v>
      </c>
      <c r="H117" s="13">
        <v>1.395</v>
      </c>
      <c r="I117" s="13">
        <v>0</v>
      </c>
      <c r="J117" s="13">
        <v>15.993</v>
      </c>
      <c r="K117" s="13">
        <v>0.44600000000000001</v>
      </c>
      <c r="L117" s="13">
        <v>51.661999999999999</v>
      </c>
      <c r="M117" s="13">
        <v>15.131</v>
      </c>
      <c r="O117" s="13">
        <v>100.857</v>
      </c>
      <c r="Q117" s="9">
        <f t="shared" si="23"/>
        <v>0.20986846683833252</v>
      </c>
      <c r="R117" s="9">
        <f t="shared" si="24"/>
        <v>0.37541247984121079</v>
      </c>
      <c r="S117" s="9">
        <f t="shared" si="25"/>
        <v>0.28519205392489033</v>
      </c>
      <c r="T117" s="9">
        <f t="shared" si="18"/>
        <v>64.142269105294986</v>
      </c>
      <c r="U117" s="9">
        <f t="shared" si="19"/>
        <v>24.109704343799905</v>
      </c>
      <c r="V117" s="9">
        <f t="shared" si="20"/>
        <v>32.7628833664985</v>
      </c>
      <c r="W117" s="9">
        <f t="shared" si="21"/>
        <v>43.127412289701603</v>
      </c>
      <c r="X117" s="9"/>
      <c r="Y117" s="13">
        <v>2.5899999999999999E-2</v>
      </c>
      <c r="AA117" s="13">
        <v>1.8897999999999999</v>
      </c>
      <c r="AB117" s="13">
        <v>5.5800000000000002E-2</v>
      </c>
      <c r="AC117" s="13">
        <v>4.5400000000000003E-2</v>
      </c>
      <c r="AD117" s="13">
        <v>3.7600000000000001E-2</v>
      </c>
      <c r="AE117" s="13">
        <v>0.24640000000000001</v>
      </c>
      <c r="AF117" s="13">
        <v>0</v>
      </c>
      <c r="AG117" s="13">
        <v>2.5680000000000001</v>
      </c>
      <c r="AH117" s="13">
        <v>5.6599999999999998E-2</v>
      </c>
      <c r="AI117" s="13">
        <v>7.7419000000000002</v>
      </c>
      <c r="AJ117" s="13">
        <v>3.3801999999999999</v>
      </c>
      <c r="AL117" s="13">
        <v>16.047599999999999</v>
      </c>
      <c r="AN117" s="9">
        <f t="shared" si="22"/>
        <v>9.513513513513514</v>
      </c>
    </row>
    <row r="118" spans="1:40" s="13" customFormat="1" x14ac:dyDescent="0.25">
      <c r="A118" s="6" t="s">
        <v>228</v>
      </c>
      <c r="B118" s="13">
        <v>0.20899999999999999</v>
      </c>
      <c r="D118" s="13">
        <v>15.619</v>
      </c>
      <c r="E118" s="13">
        <v>0.54500000000000004</v>
      </c>
      <c r="F118" s="13">
        <v>0.156</v>
      </c>
      <c r="G118" s="13">
        <v>0</v>
      </c>
      <c r="H118" s="13">
        <v>1.3380000000000001</v>
      </c>
      <c r="I118" s="13">
        <v>0</v>
      </c>
      <c r="J118" s="13">
        <v>14.699</v>
      </c>
      <c r="K118" s="13">
        <v>0.502</v>
      </c>
      <c r="L118" s="13">
        <v>51.616</v>
      </c>
      <c r="M118" s="13">
        <v>15.593</v>
      </c>
      <c r="O118" s="13">
        <v>100.277</v>
      </c>
      <c r="Q118" s="9">
        <f t="shared" si="23"/>
        <v>0.21739856635813209</v>
      </c>
      <c r="R118" s="9">
        <f t="shared" si="24"/>
        <v>0.38687507753380473</v>
      </c>
      <c r="S118" s="9">
        <f t="shared" si="25"/>
        <v>0.26211705125004459</v>
      </c>
      <c r="T118" s="9">
        <f t="shared" si="18"/>
        <v>64.023159282947333</v>
      </c>
      <c r="U118" s="9">
        <f t="shared" si="19"/>
        <v>25.092440117042752</v>
      </c>
      <c r="V118" s="9">
        <f t="shared" si="20"/>
        <v>30.253908856568419</v>
      </c>
      <c r="W118" s="9">
        <f t="shared" si="21"/>
        <v>44.653651026388836</v>
      </c>
      <c r="X118" s="9"/>
      <c r="Y118" s="13">
        <v>2.3699999999999999E-2</v>
      </c>
      <c r="AA118" s="13">
        <v>1.9694</v>
      </c>
      <c r="AB118" s="13">
        <v>6.5000000000000002E-2</v>
      </c>
      <c r="AC118" s="13">
        <v>4.5600000000000002E-2</v>
      </c>
      <c r="AD118" s="13">
        <v>0</v>
      </c>
      <c r="AE118" s="13">
        <v>0.23780000000000001</v>
      </c>
      <c r="AF118" s="13">
        <v>0</v>
      </c>
      <c r="AG118" s="13">
        <v>2.3744999999999998</v>
      </c>
      <c r="AH118" s="13">
        <v>6.4100000000000004E-2</v>
      </c>
      <c r="AI118" s="13">
        <v>7.7816999999999998</v>
      </c>
      <c r="AJ118" s="13">
        <v>3.5043000000000002</v>
      </c>
      <c r="AL118" s="13">
        <v>16.066099999999999</v>
      </c>
      <c r="AN118" s="9">
        <f t="shared" si="22"/>
        <v>10.033755274261605</v>
      </c>
    </row>
    <row r="119" spans="1:40" s="13" customFormat="1" x14ac:dyDescent="0.25">
      <c r="A119" s="6" t="s">
        <v>117</v>
      </c>
      <c r="B119" s="13">
        <v>0.20499999999999999</v>
      </c>
      <c r="D119" s="13">
        <v>14.712</v>
      </c>
      <c r="E119" s="13">
        <v>0.49</v>
      </c>
      <c r="F119" s="13">
        <v>0.253</v>
      </c>
      <c r="G119" s="13">
        <v>0</v>
      </c>
      <c r="H119" s="13">
        <v>1.516</v>
      </c>
      <c r="I119" s="13">
        <v>1.7000000000000001E-2</v>
      </c>
      <c r="J119" s="13">
        <v>16.155999999999999</v>
      </c>
      <c r="K119" s="13">
        <v>0.5</v>
      </c>
      <c r="L119" s="13">
        <v>52.14</v>
      </c>
      <c r="M119" s="13">
        <v>14.648</v>
      </c>
      <c r="O119" s="13">
        <v>100.637</v>
      </c>
      <c r="Q119" s="9">
        <f t="shared" si="23"/>
        <v>0.20477416660867145</v>
      </c>
      <c r="R119" s="9">
        <f t="shared" si="24"/>
        <v>0.3634288549807716</v>
      </c>
      <c r="S119" s="9">
        <f t="shared" si="25"/>
        <v>0.28809871964050071</v>
      </c>
      <c r="T119" s="9">
        <f t="shared" si="18"/>
        <v>63.961091576765369</v>
      </c>
      <c r="U119" s="9">
        <f t="shared" si="19"/>
        <v>23.91378608135788</v>
      </c>
      <c r="V119" s="9">
        <f t="shared" si="20"/>
        <v>33.644532735235586</v>
      </c>
      <c r="W119" s="9">
        <f t="shared" si="21"/>
        <v>42.441681183406544</v>
      </c>
      <c r="X119" s="9"/>
      <c r="Y119" s="13">
        <v>2.3099999999999999E-2</v>
      </c>
      <c r="AA119" s="13">
        <v>1.8458000000000001</v>
      </c>
      <c r="AB119" s="13">
        <v>5.8099999999999999E-2</v>
      </c>
      <c r="AC119" s="13">
        <v>7.3499999999999996E-2</v>
      </c>
      <c r="AD119" s="13">
        <v>0</v>
      </c>
      <c r="AE119" s="13">
        <v>0.26800000000000002</v>
      </c>
      <c r="AF119" s="13">
        <v>3.2000000000000002E-3</v>
      </c>
      <c r="AG119" s="13">
        <v>2.597</v>
      </c>
      <c r="AH119" s="13">
        <v>6.3600000000000004E-2</v>
      </c>
      <c r="AI119" s="13">
        <v>7.8220000000000001</v>
      </c>
      <c r="AJ119" s="13">
        <v>3.2759</v>
      </c>
      <c r="AL119" s="13">
        <v>16.030200000000001</v>
      </c>
      <c r="AN119" s="9">
        <f t="shared" si="22"/>
        <v>11.601731601731602</v>
      </c>
    </row>
    <row r="120" spans="1:40" s="13" customFormat="1" x14ac:dyDescent="0.25">
      <c r="A120" s="6" t="s">
        <v>254</v>
      </c>
      <c r="B120" s="13">
        <v>0.253</v>
      </c>
      <c r="D120" s="13">
        <v>15.505000000000001</v>
      </c>
      <c r="E120" s="13">
        <v>0.65100000000000002</v>
      </c>
      <c r="F120" s="13">
        <v>0.184</v>
      </c>
      <c r="G120" s="13">
        <v>0</v>
      </c>
      <c r="H120" s="13">
        <v>1.407</v>
      </c>
      <c r="I120" s="13">
        <v>0</v>
      </c>
      <c r="J120" s="13">
        <v>15.255000000000001</v>
      </c>
      <c r="K120" s="13">
        <v>0.54700000000000004</v>
      </c>
      <c r="L120" s="13">
        <v>51.591999999999999</v>
      </c>
      <c r="M120" s="13">
        <v>15.36</v>
      </c>
      <c r="O120" s="13">
        <v>100.754</v>
      </c>
      <c r="Q120" s="9">
        <f t="shared" si="23"/>
        <v>0.21581181710627045</v>
      </c>
      <c r="R120" s="9">
        <f t="shared" si="24"/>
        <v>0.38109415705247485</v>
      </c>
      <c r="S120" s="9">
        <f t="shared" si="25"/>
        <v>0.27203181283212668</v>
      </c>
      <c r="T120" s="9">
        <f t="shared" si="18"/>
        <v>63.844922575883636</v>
      </c>
      <c r="U120" s="9">
        <f t="shared" si="19"/>
        <v>24.83627945950261</v>
      </c>
      <c r="V120" s="9">
        <f t="shared" si="20"/>
        <v>31.306247340695325</v>
      </c>
      <c r="W120" s="9">
        <f t="shared" si="21"/>
        <v>43.857473199802065</v>
      </c>
      <c r="X120" s="9"/>
      <c r="Y120" s="13">
        <v>2.86E-2</v>
      </c>
      <c r="AA120" s="13">
        <v>1.9490000000000001</v>
      </c>
      <c r="AB120" s="13">
        <v>7.7399999999999997E-2</v>
      </c>
      <c r="AC120" s="13">
        <v>5.3600000000000002E-2</v>
      </c>
      <c r="AD120" s="13">
        <v>0</v>
      </c>
      <c r="AE120" s="13">
        <v>0.24929999999999999</v>
      </c>
      <c r="AF120" s="13">
        <v>0</v>
      </c>
      <c r="AG120" s="13">
        <v>2.4567999999999999</v>
      </c>
      <c r="AH120" s="13">
        <v>6.9599999999999995E-2</v>
      </c>
      <c r="AI120" s="13">
        <v>7.7545000000000002</v>
      </c>
      <c r="AJ120" s="13">
        <v>3.4415</v>
      </c>
      <c r="AL120" s="13">
        <v>16.080300000000001</v>
      </c>
      <c r="AN120" s="9">
        <f t="shared" si="22"/>
        <v>8.7167832167832167</v>
      </c>
    </row>
    <row r="121" spans="1:40" s="13" customFormat="1" x14ac:dyDescent="0.25">
      <c r="A121" s="6" t="s">
        <v>255</v>
      </c>
      <c r="B121" s="13">
        <v>0.23799999999999999</v>
      </c>
      <c r="D121" s="13">
        <v>15.824</v>
      </c>
      <c r="E121" s="13">
        <v>0.68799999999999994</v>
      </c>
      <c r="F121" s="13">
        <v>0.19500000000000001</v>
      </c>
      <c r="G121" s="13">
        <v>0</v>
      </c>
      <c r="H121" s="13">
        <v>1.329</v>
      </c>
      <c r="I121" s="13">
        <v>0</v>
      </c>
      <c r="J121" s="13">
        <v>14.978999999999999</v>
      </c>
      <c r="K121" s="13">
        <v>0.54300000000000004</v>
      </c>
      <c r="L121" s="13">
        <v>52.015999999999998</v>
      </c>
      <c r="M121" s="13">
        <v>15.577999999999999</v>
      </c>
      <c r="O121" s="13">
        <v>101.39</v>
      </c>
      <c r="Q121" s="9">
        <f t="shared" si="23"/>
        <v>0.22025193124086576</v>
      </c>
      <c r="R121" s="9">
        <f t="shared" si="24"/>
        <v>0.38650291527105818</v>
      </c>
      <c r="S121" s="9">
        <f t="shared" si="25"/>
        <v>0.26711009665109309</v>
      </c>
      <c r="T121" s="9">
        <f t="shared" si="18"/>
        <v>63.700012862355052</v>
      </c>
      <c r="U121" s="9">
        <f t="shared" si="19"/>
        <v>25.20434455736925</v>
      </c>
      <c r="V121" s="9">
        <f t="shared" si="20"/>
        <v>30.566519316391027</v>
      </c>
      <c r="W121" s="9">
        <f t="shared" si="21"/>
        <v>44.229136126239723</v>
      </c>
      <c r="X121" s="9"/>
      <c r="Y121" s="13">
        <v>2.6800000000000001E-2</v>
      </c>
      <c r="AA121" s="13">
        <v>1.9763999999999999</v>
      </c>
      <c r="AB121" s="13">
        <v>8.1299999999999997E-2</v>
      </c>
      <c r="AC121" s="13">
        <v>5.6399999999999999E-2</v>
      </c>
      <c r="AD121" s="13">
        <v>0</v>
      </c>
      <c r="AE121" s="13">
        <v>0.2339</v>
      </c>
      <c r="AF121" s="13">
        <v>0</v>
      </c>
      <c r="AG121" s="13">
        <v>2.3967999999999998</v>
      </c>
      <c r="AH121" s="13">
        <v>6.8699999999999997E-2</v>
      </c>
      <c r="AI121" s="13">
        <v>7.7678000000000003</v>
      </c>
      <c r="AJ121" s="13">
        <v>3.4679000000000002</v>
      </c>
      <c r="AL121" s="13">
        <v>16.076000000000001</v>
      </c>
      <c r="AN121" s="9">
        <f t="shared" si="22"/>
        <v>8.7276119402985071</v>
      </c>
    </row>
    <row r="122" spans="1:40" s="13" customFormat="1" x14ac:dyDescent="0.25">
      <c r="A122" s="6" t="s">
        <v>669</v>
      </c>
      <c r="B122" s="13">
        <v>0.20399999999999999</v>
      </c>
      <c r="D122" s="13">
        <v>15.555999999999999</v>
      </c>
      <c r="E122" s="13">
        <v>0.44700000000000001</v>
      </c>
      <c r="F122" s="13">
        <v>0.19900000000000001</v>
      </c>
      <c r="G122" s="13">
        <v>0</v>
      </c>
      <c r="H122" s="13">
        <v>1.38</v>
      </c>
      <c r="I122" s="13">
        <v>0</v>
      </c>
      <c r="J122" s="13">
        <v>15.856999999999999</v>
      </c>
      <c r="K122" s="13">
        <v>0.51300000000000001</v>
      </c>
      <c r="L122" s="13">
        <v>51.798000000000002</v>
      </c>
      <c r="M122" s="13">
        <v>15.138999999999999</v>
      </c>
      <c r="O122" s="13">
        <v>101.093</v>
      </c>
      <c r="Q122" s="9">
        <f t="shared" si="23"/>
        <v>0.21652167861368221</v>
      </c>
      <c r="R122" s="9">
        <f t="shared" si="24"/>
        <v>0.37561096638134223</v>
      </c>
      <c r="S122" s="9">
        <f t="shared" si="25"/>
        <v>0.28276686044438104</v>
      </c>
      <c r="T122" s="9">
        <f t="shared" si="18"/>
        <v>63.433585288056271</v>
      </c>
      <c r="U122" s="9">
        <f t="shared" si="19"/>
        <v>24.748177049767257</v>
      </c>
      <c r="V122" s="9">
        <f t="shared" si="20"/>
        <v>32.319924595495742</v>
      </c>
      <c r="W122" s="9">
        <f t="shared" si="21"/>
        <v>42.931898354736994</v>
      </c>
      <c r="X122" s="9"/>
      <c r="Y122" s="13">
        <v>2.3099999999999999E-2</v>
      </c>
      <c r="AA122" s="13">
        <v>1.9505999999999999</v>
      </c>
      <c r="AB122" s="13">
        <v>5.2999999999999999E-2</v>
      </c>
      <c r="AC122" s="13">
        <v>5.79E-2</v>
      </c>
      <c r="AD122" s="13">
        <v>0</v>
      </c>
      <c r="AE122" s="13">
        <v>0.24390000000000001</v>
      </c>
      <c r="AF122" s="13">
        <v>0</v>
      </c>
      <c r="AG122" s="13">
        <v>2.5476000000000001</v>
      </c>
      <c r="AH122" s="13">
        <v>6.5199999999999994E-2</v>
      </c>
      <c r="AI122" s="13">
        <v>7.7662000000000004</v>
      </c>
      <c r="AJ122" s="13">
        <v>3.3837000000000002</v>
      </c>
      <c r="AL122" s="13">
        <v>16.091200000000001</v>
      </c>
      <c r="AN122" s="9">
        <f t="shared" si="22"/>
        <v>10.55844155844156</v>
      </c>
    </row>
    <row r="123" spans="1:40" s="13" customFormat="1" x14ac:dyDescent="0.25">
      <c r="A123" s="6" t="s">
        <v>118</v>
      </c>
      <c r="B123" s="13">
        <v>0.28699999999999998</v>
      </c>
      <c r="D123" s="13">
        <v>15.234999999999999</v>
      </c>
      <c r="E123" s="13">
        <v>0.44700000000000001</v>
      </c>
      <c r="F123" s="13">
        <v>0.154</v>
      </c>
      <c r="G123" s="13">
        <v>0.309</v>
      </c>
      <c r="H123" s="13">
        <v>1.4119999999999999</v>
      </c>
      <c r="I123" s="13">
        <v>0</v>
      </c>
      <c r="J123" s="13">
        <v>16.867999999999999</v>
      </c>
      <c r="K123" s="13">
        <v>0.48399999999999999</v>
      </c>
      <c r="L123" s="13">
        <v>51.026000000000003</v>
      </c>
      <c r="M123" s="13">
        <v>14.631</v>
      </c>
      <c r="O123" s="13">
        <v>100.85299999999999</v>
      </c>
      <c r="Q123" s="9">
        <f t="shared" si="23"/>
        <v>0.2120537267729139</v>
      </c>
      <c r="R123" s="9">
        <f t="shared" si="24"/>
        <v>0.36300707108299218</v>
      </c>
      <c r="S123" s="9">
        <f t="shared" si="25"/>
        <v>0.30079532080316695</v>
      </c>
      <c r="T123" s="9">
        <f t="shared" si="18"/>
        <v>63.124989990006483</v>
      </c>
      <c r="U123" s="9">
        <f t="shared" si="19"/>
        <v>24.21102304994638</v>
      </c>
      <c r="V123" s="9">
        <f t="shared" si="20"/>
        <v>34.343006162208653</v>
      </c>
      <c r="W123" s="9">
        <f t="shared" si="21"/>
        <v>41.445970787844971</v>
      </c>
      <c r="X123" s="9"/>
      <c r="Y123" s="13">
        <v>3.2500000000000001E-2</v>
      </c>
      <c r="AA123" s="13">
        <v>1.9191</v>
      </c>
      <c r="AB123" s="13">
        <v>5.3199999999999997E-2</v>
      </c>
      <c r="AC123" s="13">
        <v>4.4999999999999998E-2</v>
      </c>
      <c r="AD123" s="13">
        <v>3.9300000000000002E-2</v>
      </c>
      <c r="AE123" s="13">
        <v>0.25059999999999999</v>
      </c>
      <c r="AF123" s="13">
        <v>0</v>
      </c>
      <c r="AG123" s="13">
        <v>2.7223000000000002</v>
      </c>
      <c r="AH123" s="13">
        <v>6.1699999999999998E-2</v>
      </c>
      <c r="AI123" s="13">
        <v>7.6852</v>
      </c>
      <c r="AJ123" s="13">
        <v>3.2850000000000001</v>
      </c>
      <c r="AL123" s="13">
        <v>16.093900000000001</v>
      </c>
      <c r="AN123" s="9">
        <f t="shared" si="22"/>
        <v>7.7107692307692304</v>
      </c>
    </row>
    <row r="124" spans="1:40" s="13" customFormat="1" x14ac:dyDescent="0.25">
      <c r="A124" s="6" t="s">
        <v>202</v>
      </c>
      <c r="B124" s="13">
        <v>0.24199999999999999</v>
      </c>
      <c r="D124" s="13">
        <v>16.838000000000001</v>
      </c>
      <c r="E124" s="13">
        <v>0.53500000000000003</v>
      </c>
      <c r="F124" s="13">
        <v>0.14399999999999999</v>
      </c>
      <c r="G124" s="13">
        <v>0.22</v>
      </c>
      <c r="H124" s="13">
        <v>1.4159999999999999</v>
      </c>
      <c r="I124" s="13">
        <v>1.4999999999999999E-2</v>
      </c>
      <c r="J124" s="13">
        <v>13.388999999999999</v>
      </c>
      <c r="K124" s="13">
        <v>0.51300000000000001</v>
      </c>
      <c r="L124" s="13">
        <v>51.656999999999996</v>
      </c>
      <c r="M124" s="13">
        <v>16.134</v>
      </c>
      <c r="O124" s="13">
        <v>101.10299999999999</v>
      </c>
      <c r="Q124" s="9">
        <f t="shared" si="23"/>
        <v>0.23436564827058251</v>
      </c>
      <c r="R124" s="9">
        <f t="shared" si="24"/>
        <v>0.40029772981019723</v>
      </c>
      <c r="S124" s="9">
        <f t="shared" si="25"/>
        <v>0.23875673169513889</v>
      </c>
      <c r="T124" s="9">
        <f t="shared" si="18"/>
        <v>63.07244810953113</v>
      </c>
      <c r="U124" s="9">
        <f t="shared" si="19"/>
        <v>26.833095053274015</v>
      </c>
      <c r="V124" s="9">
        <f t="shared" si="20"/>
        <v>27.335840911241831</v>
      </c>
      <c r="W124" s="9">
        <f t="shared" si="21"/>
        <v>45.831064035484147</v>
      </c>
      <c r="X124" s="9"/>
      <c r="Y124" s="13">
        <v>2.7300000000000001E-2</v>
      </c>
      <c r="AA124" s="13">
        <v>2.1078000000000001</v>
      </c>
      <c r="AB124" s="13">
        <v>6.3299999999999995E-2</v>
      </c>
      <c r="AC124" s="13">
        <v>4.1799999999999997E-2</v>
      </c>
      <c r="AD124" s="13">
        <v>2.7900000000000001E-2</v>
      </c>
      <c r="AE124" s="13">
        <v>0.24970000000000001</v>
      </c>
      <c r="AF124" s="13">
        <v>2.8999999999999998E-3</v>
      </c>
      <c r="AG124" s="13">
        <v>2.1473</v>
      </c>
      <c r="AH124" s="13">
        <v>6.5000000000000002E-2</v>
      </c>
      <c r="AI124" s="13">
        <v>7.7319000000000004</v>
      </c>
      <c r="AJ124" s="13">
        <v>3.5998000000000001</v>
      </c>
      <c r="AL124" s="13">
        <v>16.064699999999998</v>
      </c>
      <c r="AN124" s="9">
        <f t="shared" si="22"/>
        <v>9.146520146520146</v>
      </c>
    </row>
    <row r="125" spans="1:40" s="13" customFormat="1" x14ac:dyDescent="0.25">
      <c r="A125" s="6" t="s">
        <v>256</v>
      </c>
      <c r="B125" s="13">
        <v>0.23699999999999999</v>
      </c>
      <c r="D125" s="13">
        <v>14.831</v>
      </c>
      <c r="E125" s="13">
        <v>0.48599999999999999</v>
      </c>
      <c r="F125" s="13">
        <v>0.17399999999999999</v>
      </c>
      <c r="G125" s="13">
        <v>0.33400000000000002</v>
      </c>
      <c r="H125" s="13">
        <v>1.4179999999999999</v>
      </c>
      <c r="I125" s="13">
        <v>1.0999999999999999E-2</v>
      </c>
      <c r="J125" s="13">
        <v>17.349</v>
      </c>
      <c r="K125" s="13">
        <v>0.48299999999999998</v>
      </c>
      <c r="L125" s="13">
        <v>51.726999999999997</v>
      </c>
      <c r="M125" s="13">
        <v>14.191000000000001</v>
      </c>
      <c r="O125" s="13">
        <v>101.241</v>
      </c>
      <c r="Q125" s="9">
        <f t="shared" si="23"/>
        <v>0.20643051012596561</v>
      </c>
      <c r="R125" s="9">
        <f t="shared" si="24"/>
        <v>0.35209031137575986</v>
      </c>
      <c r="S125" s="9">
        <f t="shared" si="25"/>
        <v>0.30937265950996823</v>
      </c>
      <c r="T125" s="9">
        <f t="shared" si="18"/>
        <v>63.039782550823332</v>
      </c>
      <c r="U125" s="9">
        <f t="shared" si="19"/>
        <v>23.785235704885334</v>
      </c>
      <c r="V125" s="9">
        <f t="shared" si="20"/>
        <v>35.646385907788591</v>
      </c>
      <c r="W125" s="9">
        <f t="shared" si="21"/>
        <v>40.568378387326071</v>
      </c>
      <c r="X125" s="9"/>
      <c r="Y125" s="13">
        <v>2.6700000000000002E-2</v>
      </c>
      <c r="AA125" s="13">
        <v>1.8566</v>
      </c>
      <c r="AB125" s="13">
        <v>5.7500000000000002E-2</v>
      </c>
      <c r="AC125" s="13">
        <v>5.0500000000000003E-2</v>
      </c>
      <c r="AD125" s="13">
        <v>4.2299999999999997E-2</v>
      </c>
      <c r="AE125" s="13">
        <v>0.25030000000000002</v>
      </c>
      <c r="AF125" s="13">
        <v>2.0999999999999999E-3</v>
      </c>
      <c r="AG125" s="13">
        <v>2.7826</v>
      </c>
      <c r="AH125" s="13">
        <v>6.13E-2</v>
      </c>
      <c r="AI125" s="13">
        <v>7.7428999999999997</v>
      </c>
      <c r="AJ125" s="13">
        <v>3.1665999999999999</v>
      </c>
      <c r="AL125" s="13">
        <v>16.039400000000001</v>
      </c>
      <c r="AN125" s="9">
        <f t="shared" si="22"/>
        <v>9.3745318352059925</v>
      </c>
    </row>
    <row r="126" spans="1:40" s="13" customFormat="1" x14ac:dyDescent="0.25">
      <c r="A126" s="6" t="s">
        <v>216</v>
      </c>
      <c r="B126" s="13">
        <v>0.26600000000000001</v>
      </c>
      <c r="D126" s="13">
        <v>15.454000000000001</v>
      </c>
      <c r="E126" s="13">
        <v>0.46800000000000003</v>
      </c>
      <c r="F126" s="13">
        <v>0.157</v>
      </c>
      <c r="G126" s="13">
        <v>0.33600000000000002</v>
      </c>
      <c r="H126" s="13">
        <v>1.266</v>
      </c>
      <c r="I126" s="13">
        <v>6.0000000000000001E-3</v>
      </c>
      <c r="J126" s="13">
        <v>16.016999999999999</v>
      </c>
      <c r="K126" s="13">
        <v>0.46500000000000002</v>
      </c>
      <c r="L126" s="13">
        <v>51.942</v>
      </c>
      <c r="M126" s="13">
        <v>14.654999999999999</v>
      </c>
      <c r="O126" s="13">
        <v>101.032</v>
      </c>
      <c r="Q126" s="9">
        <f t="shared" si="23"/>
        <v>0.21510195559885867</v>
      </c>
      <c r="R126" s="9">
        <f t="shared" si="24"/>
        <v>0.36360253070338666</v>
      </c>
      <c r="S126" s="9">
        <f t="shared" si="25"/>
        <v>0.2856200292449802</v>
      </c>
      <c r="T126" s="9">
        <f t="shared" si="18"/>
        <v>62.830432338049057</v>
      </c>
      <c r="U126" s="9">
        <f t="shared" si="19"/>
        <v>24.886712308822133</v>
      </c>
      <c r="V126" s="9">
        <f t="shared" si="20"/>
        <v>33.045461988793292</v>
      </c>
      <c r="W126" s="9">
        <f t="shared" si="21"/>
        <v>42.067825702384567</v>
      </c>
      <c r="X126" s="9"/>
      <c r="Y126" s="13">
        <v>0.03</v>
      </c>
      <c r="AA126" s="13">
        <v>1.9354</v>
      </c>
      <c r="AB126" s="13">
        <v>5.5399999999999998E-2</v>
      </c>
      <c r="AC126" s="13">
        <v>4.5499999999999999E-2</v>
      </c>
      <c r="AD126" s="13">
        <v>4.2599999999999999E-2</v>
      </c>
      <c r="AE126" s="13">
        <v>0.22339999999999999</v>
      </c>
      <c r="AF126" s="13">
        <v>1.1000000000000001E-3</v>
      </c>
      <c r="AG126" s="13">
        <v>2.57</v>
      </c>
      <c r="AH126" s="13">
        <v>5.8999999999999997E-2</v>
      </c>
      <c r="AI126" s="13">
        <v>7.7781000000000002</v>
      </c>
      <c r="AJ126" s="13">
        <v>3.2715000000000001</v>
      </c>
      <c r="AL126" s="13">
        <v>16.012</v>
      </c>
      <c r="AN126" s="9">
        <f t="shared" ref="AN126" si="26">AE126/Y126</f>
        <v>7.4466666666666663</v>
      </c>
    </row>
    <row r="127" spans="1:40" s="15" customFormat="1" x14ac:dyDescent="0.25">
      <c r="A127" s="15" t="s">
        <v>108</v>
      </c>
      <c r="B127" s="16">
        <f>AVERAGE(B3:B126)</f>
        <v>0.2344919354838709</v>
      </c>
      <c r="C127" s="16">
        <f>AVERAGE(C3:C126)</f>
        <v>1.6313432835820901E-2</v>
      </c>
      <c r="D127" s="16">
        <f>AVERAGE(D3:D126)</f>
        <v>14.24812903225806</v>
      </c>
      <c r="E127" s="16">
        <f>AVERAGE(E3:E126)</f>
        <v>0.53254032258064521</v>
      </c>
      <c r="F127" s="16">
        <f>AVERAGE(F3:F126)</f>
        <v>0.17498387096774193</v>
      </c>
      <c r="G127" s="16">
        <f>AVERAGE(G3:G126)</f>
        <v>0.24262096774193551</v>
      </c>
      <c r="H127" s="16">
        <f>AVERAGE(H3:H126)</f>
        <v>1.3327419354838714</v>
      </c>
      <c r="I127" s="16">
        <f>AVERAGE(I3:I126)</f>
        <v>4.2580645161290342E-3</v>
      </c>
      <c r="J127" s="16">
        <f>AVERAGE(J3:J126)</f>
        <v>15.853959677419352</v>
      </c>
      <c r="K127" s="16">
        <f>AVERAGE(K3:K126)</f>
        <v>0.46425000000000022</v>
      </c>
      <c r="L127" s="16">
        <f>AVERAGE(L3:L126)</f>
        <v>51.825016129032235</v>
      </c>
      <c r="M127" s="16">
        <f>AVERAGE(M3:M126)</f>
        <v>15.124516129032262</v>
      </c>
      <c r="N127" s="16">
        <f>AVERAGE(N3:N126)</f>
        <v>0.13549253731343283</v>
      </c>
      <c r="O127" s="16">
        <f>AVERAGE(O3:O126)</f>
        <v>100.11953225806454</v>
      </c>
      <c r="P127" s="16"/>
      <c r="Q127" s="16">
        <f t="shared" si="23"/>
        <v>0.19831761475757617</v>
      </c>
      <c r="R127" s="16">
        <f t="shared" si="24"/>
        <v>0.37525160970183008</v>
      </c>
      <c r="S127" s="16">
        <f t="shared" si="25"/>
        <v>0.28271264448481315</v>
      </c>
      <c r="T127" s="16">
        <f t="shared" si="18"/>
        <v>65.42394425982458</v>
      </c>
      <c r="U127" s="16">
        <f t="shared" si="19"/>
        <v>23.160319276886984</v>
      </c>
      <c r="V127" s="16">
        <f t="shared" si="20"/>
        <v>33.016306281644489</v>
      </c>
      <c r="W127" s="16">
        <f t="shared" si="21"/>
        <v>43.82337444146853</v>
      </c>
      <c r="X127" s="16"/>
      <c r="AN127" s="16"/>
    </row>
    <row r="128" spans="1:40" x14ac:dyDescent="0.25">
      <c r="A128" s="2" t="s">
        <v>109</v>
      </c>
      <c r="B128" s="9">
        <f>MAX(B3:B126)</f>
        <v>0.32</v>
      </c>
      <c r="C128" s="9">
        <f>MAX(C3:C126)</f>
        <v>7.9000000000000001E-2</v>
      </c>
      <c r="D128" s="9">
        <f>MAX(D3:D126)</f>
        <v>16.838000000000001</v>
      </c>
      <c r="E128" s="9">
        <f>MAX(E3:E126)</f>
        <v>0.78600000000000003</v>
      </c>
      <c r="F128" s="9">
        <f>MAX(F3:F126)</f>
        <v>0.253</v>
      </c>
      <c r="G128" s="9">
        <f>MAX(G3:G126)</f>
        <v>0.41299999999999998</v>
      </c>
      <c r="H128" s="9">
        <f>MAX(H3:H126)</f>
        <v>2.052</v>
      </c>
      <c r="I128" s="9">
        <f>MAX(I3:I126)</f>
        <v>3.6999999999999998E-2</v>
      </c>
      <c r="J128" s="9">
        <f>MAX(J3:J126)</f>
        <v>18.134</v>
      </c>
      <c r="K128" s="9">
        <f>MAX(K3:K126)</f>
        <v>0.59099999999999997</v>
      </c>
      <c r="L128" s="9">
        <f>MAX(L3:L126)</f>
        <v>52.537999999999997</v>
      </c>
      <c r="M128" s="9">
        <f>MAX(M3:M126)</f>
        <v>17.29</v>
      </c>
      <c r="N128" s="9">
        <f>MAX(N3:N126)</f>
        <v>0.68300000000000005</v>
      </c>
      <c r="O128" s="9">
        <f>MAX(O3:O126)</f>
        <v>101.47199999999999</v>
      </c>
      <c r="P128" s="9"/>
      <c r="Q128" s="9">
        <f>MAX(Q3:Q126)</f>
        <v>0.23436564827058251</v>
      </c>
      <c r="R128" s="9">
        <f>MAX(R3:R126)</f>
        <v>0.42897903485919858</v>
      </c>
      <c r="S128" s="9">
        <f>MAX(S3:S126)</f>
        <v>0.32337101893790793</v>
      </c>
      <c r="T128" s="17">
        <f>MAX(T3:T126)</f>
        <v>68.978653759256119</v>
      </c>
      <c r="U128" s="12">
        <f>MAX(U3:U126)</f>
        <v>27.051823192993218</v>
      </c>
      <c r="V128" s="12">
        <f>MAX(V3:V126)</f>
        <v>38.562996240646946</v>
      </c>
      <c r="W128" s="12">
        <f>MAX(W3:W126)</f>
        <v>48.751471639408997</v>
      </c>
      <c r="X128" s="12"/>
      <c r="AN128" s="9"/>
    </row>
    <row r="129" spans="1:40" x14ac:dyDescent="0.25">
      <c r="A129" s="2" t="s">
        <v>110</v>
      </c>
      <c r="B129" s="9">
        <f>MIN(B3:B126)</f>
        <v>0.13200000000000001</v>
      </c>
      <c r="C129" s="9">
        <f>MIN(C3:C126)</f>
        <v>0</v>
      </c>
      <c r="D129" s="9">
        <f>MIN(D3:D126)</f>
        <v>11.481999999999999</v>
      </c>
      <c r="E129" s="9">
        <f>MIN(E3:E126)</f>
        <v>0.39700000000000002</v>
      </c>
      <c r="F129" s="9">
        <f>MIN(F3:F126)</f>
        <v>0.10199999999999999</v>
      </c>
      <c r="G129" s="9">
        <f>MIN(G3:G126)</f>
        <v>0</v>
      </c>
      <c r="H129" s="9">
        <f>MIN(H3:H126)</f>
        <v>0.98199999999999998</v>
      </c>
      <c r="I129" s="9">
        <f>MIN(I3:I126)</f>
        <v>0</v>
      </c>
      <c r="J129" s="9">
        <f>MIN(J3:J126)</f>
        <v>12.670999999999999</v>
      </c>
      <c r="K129" s="9">
        <f>MIN(K3:K126)</f>
        <v>0.34300000000000003</v>
      </c>
      <c r="L129" s="9">
        <f>MIN(L3:L126)</f>
        <v>50.761000000000003</v>
      </c>
      <c r="M129" s="9">
        <f>MIN(M3:M126)</f>
        <v>13.944000000000001</v>
      </c>
      <c r="N129" s="9">
        <f>MIN(N3:N126)</f>
        <v>0</v>
      </c>
      <c r="O129" s="9">
        <f>MIN(O3:O126)</f>
        <v>98.545000000000002</v>
      </c>
      <c r="P129" s="9"/>
      <c r="Q129" s="9">
        <f>MIN(Q3:Q126)</f>
        <v>0.15981627113925811</v>
      </c>
      <c r="R129" s="9">
        <f>MIN(R3:R126)</f>
        <v>0.3459620394491999</v>
      </c>
      <c r="S129" s="9">
        <f>MIN(S3:S126)</f>
        <v>0.22595313670245012</v>
      </c>
      <c r="T129" s="17">
        <f>MIN(T3:T126)</f>
        <v>62.28061451883422</v>
      </c>
      <c r="U129" s="12">
        <f>MIN(U3:U126)</f>
        <v>19.05858565612774</v>
      </c>
      <c r="V129" s="12">
        <f>MIN(V3:V126)</f>
        <v>25.678522819653821</v>
      </c>
      <c r="W129" s="12">
        <f>MIN(W3:W126)</f>
        <v>40.568378387326071</v>
      </c>
      <c r="X129" s="12"/>
    </row>
    <row r="130" spans="1:40" x14ac:dyDescent="0.25">
      <c r="J130" s="9">
        <f>STDEV(J3:J126)/SQRT(145)</f>
        <v>8.8442583935113256E-2</v>
      </c>
    </row>
    <row r="131" spans="1:40" s="5" customFormat="1" x14ac:dyDescent="0.25">
      <c r="A131" s="18" t="s">
        <v>111</v>
      </c>
    </row>
    <row r="132" spans="1:40" s="32" customFormat="1" x14ac:dyDescent="0.25">
      <c r="A132" s="11" t="s">
        <v>659</v>
      </c>
      <c r="B132" s="11">
        <v>0.42599999999999999</v>
      </c>
      <c r="C132" s="11">
        <v>0</v>
      </c>
      <c r="D132" s="11">
        <v>25.41</v>
      </c>
      <c r="E132" s="11">
        <v>8.7999999999999995E-2</v>
      </c>
      <c r="F132" s="11">
        <v>0.126</v>
      </c>
      <c r="G132" s="11">
        <v>0.26</v>
      </c>
      <c r="H132" s="11">
        <v>0.89100000000000001</v>
      </c>
      <c r="I132" s="11">
        <v>0.105</v>
      </c>
      <c r="J132" s="11">
        <v>13.433</v>
      </c>
      <c r="K132" s="11">
        <v>0.59399999999999997</v>
      </c>
      <c r="L132" s="11">
        <v>49.174999999999997</v>
      </c>
      <c r="M132" s="11">
        <v>8.8829999999999991</v>
      </c>
      <c r="N132" s="11">
        <v>0</v>
      </c>
      <c r="O132" s="11">
        <v>99.391000000000005</v>
      </c>
      <c r="P132" s="11"/>
      <c r="Q132" s="34">
        <f t="shared" ref="Q132:Q169" si="27">D132/(55.845+16)</f>
        <v>0.35367805692810911</v>
      </c>
      <c r="R132" s="34">
        <f t="shared" ref="R132:R169" si="28">M132/(24.305+16)</f>
        <v>0.22039449199851133</v>
      </c>
      <c r="S132" s="34">
        <f t="shared" ref="S132:S169" si="29">J132/(40.078+16)</f>
        <v>0.23954135311530367</v>
      </c>
      <c r="T132" s="34">
        <f t="shared" ref="T132:T142" si="30">R132/(Q132+R132)*100</f>
        <v>38.391400600951357</v>
      </c>
      <c r="U132" s="34">
        <f t="shared" ref="U132:U142" si="31">Q132/(Q132+R132+S132)*100</f>
        <v>43.470011517807706</v>
      </c>
      <c r="V132" s="34">
        <f t="shared" ref="V132:V142" si="32">S132/(Q132+R132+S132)*100</f>
        <v>29.441649474539155</v>
      </c>
      <c r="W132" s="34">
        <f t="shared" ref="W132:W142" si="33">R132/(Q132+R132+S132)*100</f>
        <v>27.08833900765314</v>
      </c>
      <c r="X132" s="34"/>
      <c r="Y132" s="11">
        <v>5.0999999999999997E-2</v>
      </c>
      <c r="Z132" s="11">
        <v>0</v>
      </c>
      <c r="AA132" s="11">
        <v>3.3820999999999999</v>
      </c>
      <c r="AB132" s="11">
        <v>1.0999999999999999E-2</v>
      </c>
      <c r="AC132" s="11">
        <v>3.8800000000000001E-2</v>
      </c>
      <c r="AD132" s="11">
        <v>3.5000000000000003E-2</v>
      </c>
      <c r="AE132" s="11">
        <v>0.16719999999999999</v>
      </c>
      <c r="AF132" s="11">
        <v>2.12E-2</v>
      </c>
      <c r="AG132" s="11">
        <v>2.2907999999999999</v>
      </c>
      <c r="AH132" s="11">
        <v>8.0100000000000005E-2</v>
      </c>
      <c r="AI132" s="11">
        <v>7.8262999999999998</v>
      </c>
      <c r="AJ132" s="11">
        <v>2.1074999999999999</v>
      </c>
      <c r="AK132" s="11">
        <v>0</v>
      </c>
      <c r="AL132" s="11">
        <v>16.010999999999999</v>
      </c>
      <c r="AM132" s="11"/>
      <c r="AN132" s="34">
        <f t="shared" ref="AN132:AN143" si="34">AE132/Y132</f>
        <v>3.2784313725490195</v>
      </c>
    </row>
    <row r="133" spans="1:40" s="32" customFormat="1" x14ac:dyDescent="0.25">
      <c r="A133" s="11" t="s">
        <v>654</v>
      </c>
      <c r="B133" s="11">
        <v>0.45800000000000002</v>
      </c>
      <c r="C133" s="11">
        <v>0</v>
      </c>
      <c r="D133" s="11">
        <v>20.962</v>
      </c>
      <c r="E133" s="11">
        <v>0.30499999999999999</v>
      </c>
      <c r="F133" s="11">
        <v>0.189</v>
      </c>
      <c r="G133" s="11">
        <v>0.23899999999999999</v>
      </c>
      <c r="H133" s="11">
        <v>1.048</v>
      </c>
      <c r="I133" s="11">
        <v>6.0000000000000001E-3</v>
      </c>
      <c r="J133" s="11">
        <v>14.689</v>
      </c>
      <c r="K133" s="11">
        <v>0.52800000000000002</v>
      </c>
      <c r="L133" s="11">
        <v>49.997</v>
      </c>
      <c r="M133" s="11">
        <v>10.661</v>
      </c>
      <c r="N133" s="11">
        <v>0.378</v>
      </c>
      <c r="O133" s="11">
        <v>99.46</v>
      </c>
      <c r="P133" s="11"/>
      <c r="Q133" s="34">
        <f t="shared" si="27"/>
        <v>0.2917669983993319</v>
      </c>
      <c r="R133" s="34">
        <f t="shared" si="28"/>
        <v>0.26450812554273662</v>
      </c>
      <c r="S133" s="34">
        <f t="shared" si="29"/>
        <v>0.26193872820000713</v>
      </c>
      <c r="T133" s="34">
        <f t="shared" si="30"/>
        <v>47.549874901521392</v>
      </c>
      <c r="U133" s="34">
        <f t="shared" si="31"/>
        <v>35.659014771686991</v>
      </c>
      <c r="V133" s="34">
        <f t="shared" si="32"/>
        <v>32.013480035109914</v>
      </c>
      <c r="W133" s="34">
        <f t="shared" si="33"/>
        <v>32.327505193203102</v>
      </c>
      <c r="X133" s="34"/>
      <c r="Y133" s="11">
        <v>5.3800000000000001E-2</v>
      </c>
      <c r="Z133" s="11">
        <v>0</v>
      </c>
      <c r="AA133" s="11">
        <v>2.7408999999999999</v>
      </c>
      <c r="AB133" s="11">
        <v>3.7699999999999997E-2</v>
      </c>
      <c r="AC133" s="11">
        <v>5.74E-2</v>
      </c>
      <c r="AD133" s="11">
        <v>3.1600000000000003E-2</v>
      </c>
      <c r="AE133" s="11">
        <v>0.19309999999999999</v>
      </c>
      <c r="AF133" s="11">
        <v>1.2999999999999999E-3</v>
      </c>
      <c r="AG133" s="11">
        <v>2.4609000000000001</v>
      </c>
      <c r="AH133" s="11">
        <v>6.9900000000000004E-2</v>
      </c>
      <c r="AI133" s="11">
        <v>7.8170000000000002</v>
      </c>
      <c r="AJ133" s="11">
        <v>2.4847999999999999</v>
      </c>
      <c r="AK133" s="11">
        <v>4.7300000000000002E-2</v>
      </c>
      <c r="AL133" s="11">
        <v>15.995699999999999</v>
      </c>
      <c r="AM133" s="11"/>
      <c r="AN133" s="34">
        <f t="shared" si="34"/>
        <v>3.5892193308550184</v>
      </c>
    </row>
    <row r="134" spans="1:40" s="32" customFormat="1" x14ac:dyDescent="0.25">
      <c r="A134" s="11" t="s">
        <v>580</v>
      </c>
      <c r="B134" s="11">
        <v>0.32300000000000001</v>
      </c>
      <c r="C134" s="11">
        <v>1.7000000000000001E-2</v>
      </c>
      <c r="D134" s="11">
        <v>19.321000000000002</v>
      </c>
      <c r="E134" s="11">
        <v>0.46600000000000003</v>
      </c>
      <c r="F134" s="11">
        <v>0.159</v>
      </c>
      <c r="G134" s="11">
        <v>0.35099999999999998</v>
      </c>
      <c r="H134" s="11">
        <v>1.248</v>
      </c>
      <c r="I134" s="11">
        <v>1.0999999999999999E-2</v>
      </c>
      <c r="J134" s="11">
        <v>13.388999999999999</v>
      </c>
      <c r="K134" s="11">
        <v>0.53</v>
      </c>
      <c r="L134" s="11">
        <v>50.61</v>
      </c>
      <c r="M134" s="11">
        <v>13.057</v>
      </c>
      <c r="N134" s="11">
        <v>0.255</v>
      </c>
      <c r="O134" s="11">
        <v>99.736999999999995</v>
      </c>
      <c r="P134" s="11"/>
      <c r="Q134" s="34">
        <f t="shared" si="27"/>
        <v>0.26892616048437612</v>
      </c>
      <c r="R134" s="34">
        <f t="shared" si="28"/>
        <v>0.32395484431212007</v>
      </c>
      <c r="S134" s="34">
        <f t="shared" si="29"/>
        <v>0.23875673169513889</v>
      </c>
      <c r="T134" s="34">
        <f t="shared" si="30"/>
        <v>54.640786547600086</v>
      </c>
      <c r="U134" s="34">
        <f t="shared" si="31"/>
        <v>32.336935745469397</v>
      </c>
      <c r="V134" s="34">
        <f t="shared" si="32"/>
        <v>28.7092229246791</v>
      </c>
      <c r="W134" s="34">
        <f t="shared" si="33"/>
        <v>38.9538413298515</v>
      </c>
      <c r="X134" s="34"/>
      <c r="Y134" s="11">
        <v>3.7400000000000003E-2</v>
      </c>
      <c r="Z134" s="11">
        <v>2.0999999999999999E-3</v>
      </c>
      <c r="AA134" s="11">
        <v>2.4859</v>
      </c>
      <c r="AB134" s="11">
        <v>5.67E-2</v>
      </c>
      <c r="AC134" s="11">
        <v>4.7500000000000001E-2</v>
      </c>
      <c r="AD134" s="11">
        <v>4.5699999999999998E-2</v>
      </c>
      <c r="AE134" s="11">
        <v>0.2263</v>
      </c>
      <c r="AF134" s="11">
        <v>2.0999999999999999E-3</v>
      </c>
      <c r="AG134" s="11">
        <v>2.2069999999999999</v>
      </c>
      <c r="AH134" s="11">
        <v>6.9099999999999995E-2</v>
      </c>
      <c r="AI134" s="11">
        <v>7.7858999999999998</v>
      </c>
      <c r="AJ134" s="11">
        <v>2.9943</v>
      </c>
      <c r="AK134" s="11">
        <v>3.1399999999999997E-2</v>
      </c>
      <c r="AL134" s="11">
        <v>15.991400000000001</v>
      </c>
      <c r="AM134" s="11"/>
      <c r="AN134" s="34">
        <f t="shared" si="34"/>
        <v>6.0508021390374331</v>
      </c>
    </row>
    <row r="135" spans="1:40" s="32" customFormat="1" x14ac:dyDescent="0.25">
      <c r="A135" s="11" t="s">
        <v>655</v>
      </c>
      <c r="B135" s="11">
        <v>0.34899999999999998</v>
      </c>
      <c r="C135" s="11">
        <v>3.4000000000000002E-2</v>
      </c>
      <c r="D135" s="11">
        <v>19.100999999999999</v>
      </c>
      <c r="E135" s="11">
        <v>0.28100000000000003</v>
      </c>
      <c r="F135" s="11">
        <v>0.17199999999999999</v>
      </c>
      <c r="G135" s="11">
        <v>0.30499999999999999</v>
      </c>
      <c r="H135" s="11">
        <v>1.127</v>
      </c>
      <c r="I135" s="11">
        <v>1.2E-2</v>
      </c>
      <c r="J135" s="11">
        <v>14.276999999999999</v>
      </c>
      <c r="K135" s="11">
        <v>0.49</v>
      </c>
      <c r="L135" s="11">
        <v>50.991</v>
      </c>
      <c r="M135" s="11">
        <v>12.879</v>
      </c>
      <c r="N135" s="11">
        <v>0</v>
      </c>
      <c r="O135" s="11">
        <v>100.018</v>
      </c>
      <c r="P135" s="11"/>
      <c r="Q135" s="34">
        <f t="shared" si="27"/>
        <v>0.26586401280534483</v>
      </c>
      <c r="R135" s="34">
        <f t="shared" si="28"/>
        <v>0.31953851879419426</v>
      </c>
      <c r="S135" s="34">
        <f t="shared" si="29"/>
        <v>0.25459181853846424</v>
      </c>
      <c r="T135" s="34">
        <f t="shared" si="30"/>
        <v>54.584410135893215</v>
      </c>
      <c r="U135" s="34">
        <f t="shared" si="31"/>
        <v>31.650690598295789</v>
      </c>
      <c r="V135" s="34">
        <f t="shared" si="32"/>
        <v>30.308753683478606</v>
      </c>
      <c r="W135" s="34">
        <f t="shared" si="33"/>
        <v>38.040555718225612</v>
      </c>
      <c r="X135" s="34"/>
      <c r="Y135" s="11">
        <v>4.02E-2</v>
      </c>
      <c r="Z135" s="11">
        <v>4.1000000000000003E-3</v>
      </c>
      <c r="AA135" s="11">
        <v>2.4487999999999999</v>
      </c>
      <c r="AB135" s="11">
        <v>3.4000000000000002E-2</v>
      </c>
      <c r="AC135" s="11">
        <v>5.1200000000000002E-2</v>
      </c>
      <c r="AD135" s="11">
        <v>3.9600000000000003E-2</v>
      </c>
      <c r="AE135" s="11">
        <v>0.20369999999999999</v>
      </c>
      <c r="AF135" s="11">
        <v>2.3E-3</v>
      </c>
      <c r="AG135" s="11">
        <v>2.3451</v>
      </c>
      <c r="AH135" s="11">
        <v>6.3600000000000004E-2</v>
      </c>
      <c r="AI135" s="11">
        <v>7.8163999999999998</v>
      </c>
      <c r="AJ135" s="11">
        <v>2.9428999999999998</v>
      </c>
      <c r="AK135" s="11">
        <v>0</v>
      </c>
      <c r="AL135" s="11">
        <v>15.991899999999999</v>
      </c>
      <c r="AM135" s="11"/>
      <c r="AN135" s="34">
        <f t="shared" si="34"/>
        <v>5.067164179104477</v>
      </c>
    </row>
    <row r="136" spans="1:40" s="32" customFormat="1" x14ac:dyDescent="0.25">
      <c r="A136" s="11" t="s">
        <v>581</v>
      </c>
      <c r="B136" s="11">
        <v>0.23200000000000001</v>
      </c>
      <c r="C136" s="11">
        <v>3.5999999999999997E-2</v>
      </c>
      <c r="D136" s="11">
        <v>20.056999999999999</v>
      </c>
      <c r="E136" s="11">
        <v>0.40799999999999997</v>
      </c>
      <c r="F136" s="11">
        <v>0.186</v>
      </c>
      <c r="G136" s="11">
        <v>0.217</v>
      </c>
      <c r="H136" s="11">
        <v>1.077</v>
      </c>
      <c r="I136" s="11">
        <v>5.0000000000000001E-3</v>
      </c>
      <c r="J136" s="11">
        <v>14.587999999999999</v>
      </c>
      <c r="K136" s="11">
        <v>0.51200000000000001</v>
      </c>
      <c r="L136" s="11">
        <v>50.63</v>
      </c>
      <c r="M136" s="11">
        <v>11.881</v>
      </c>
      <c r="N136" s="11">
        <v>0</v>
      </c>
      <c r="O136" s="11">
        <v>99.828999999999994</v>
      </c>
      <c r="P136" s="11"/>
      <c r="Q136" s="34">
        <f t="shared" si="27"/>
        <v>0.27917043635604427</v>
      </c>
      <c r="R136" s="34">
        <f t="shared" si="28"/>
        <v>0.29477732291278996</v>
      </c>
      <c r="S136" s="34">
        <f t="shared" si="29"/>
        <v>0.2601376653946289</v>
      </c>
      <c r="T136" s="34">
        <f t="shared" si="30"/>
        <v>51.359608632031915</v>
      </c>
      <c r="U136" s="34">
        <f t="shared" si="31"/>
        <v>33.470245145295998</v>
      </c>
      <c r="V136" s="34">
        <f t="shared" si="32"/>
        <v>31.188372042298816</v>
      </c>
      <c r="W136" s="34">
        <f t="shared" si="33"/>
        <v>35.341382812405186</v>
      </c>
      <c r="X136" s="34"/>
      <c r="Y136" s="11">
        <v>2.7E-2</v>
      </c>
      <c r="Z136" s="11">
        <v>4.4999999999999997E-3</v>
      </c>
      <c r="AA136" s="11">
        <v>2.5935999999999999</v>
      </c>
      <c r="AB136" s="11">
        <v>4.99E-2</v>
      </c>
      <c r="AC136" s="11">
        <v>5.5800000000000002E-2</v>
      </c>
      <c r="AD136" s="11">
        <v>2.8500000000000001E-2</v>
      </c>
      <c r="AE136" s="11">
        <v>0.1963</v>
      </c>
      <c r="AF136" s="11">
        <v>1E-3</v>
      </c>
      <c r="AG136" s="11">
        <v>2.4169</v>
      </c>
      <c r="AH136" s="11">
        <v>6.7000000000000004E-2</v>
      </c>
      <c r="AI136" s="11">
        <v>7.8284000000000002</v>
      </c>
      <c r="AJ136" s="11">
        <v>2.7385000000000002</v>
      </c>
      <c r="AK136" s="11">
        <v>0</v>
      </c>
      <c r="AL136" s="11">
        <v>16.007400000000001</v>
      </c>
      <c r="AM136" s="11"/>
      <c r="AN136" s="34">
        <f t="shared" si="34"/>
        <v>7.2703703703703706</v>
      </c>
    </row>
    <row r="137" spans="1:40" s="32" customFormat="1" x14ac:dyDescent="0.25">
      <c r="A137" s="11" t="s">
        <v>656</v>
      </c>
      <c r="B137" s="11">
        <v>0.34899999999999998</v>
      </c>
      <c r="C137" s="11">
        <v>2.7E-2</v>
      </c>
      <c r="D137" s="11">
        <v>19.995999999999999</v>
      </c>
      <c r="E137" s="11">
        <v>0.253</v>
      </c>
      <c r="F137" s="11">
        <v>0.17699999999999999</v>
      </c>
      <c r="G137" s="11">
        <v>2.7E-2</v>
      </c>
      <c r="H137" s="11">
        <v>1.0329999999999999</v>
      </c>
      <c r="I137" s="11">
        <v>0</v>
      </c>
      <c r="J137" s="11">
        <v>15.236000000000001</v>
      </c>
      <c r="K137" s="11">
        <v>0.57299999999999995</v>
      </c>
      <c r="L137" s="11">
        <v>50.531999999999996</v>
      </c>
      <c r="M137" s="11">
        <v>11.538</v>
      </c>
      <c r="N137" s="11">
        <v>0</v>
      </c>
      <c r="O137" s="11">
        <v>99.741</v>
      </c>
      <c r="P137" s="11"/>
      <c r="Q137" s="34">
        <f t="shared" si="27"/>
        <v>0.27832138631776743</v>
      </c>
      <c r="R137" s="34">
        <f t="shared" si="28"/>
        <v>0.28626721250465204</v>
      </c>
      <c r="S137" s="34">
        <f t="shared" si="29"/>
        <v>0.27169299903705552</v>
      </c>
      <c r="T137" s="34">
        <f t="shared" si="30"/>
        <v>50.703682841227881</v>
      </c>
      <c r="U137" s="34">
        <f t="shared" si="31"/>
        <v>33.280821559406746</v>
      </c>
      <c r="V137" s="34">
        <f t="shared" si="32"/>
        <v>32.488219247257618</v>
      </c>
      <c r="W137" s="34">
        <f t="shared" si="33"/>
        <v>34.230959193335622</v>
      </c>
      <c r="X137" s="34"/>
      <c r="Y137" s="11">
        <v>4.07E-2</v>
      </c>
      <c r="Z137" s="11">
        <v>3.3999999999999998E-3</v>
      </c>
      <c r="AA137" s="11">
        <v>2.5943999999999998</v>
      </c>
      <c r="AB137" s="11">
        <v>3.1099999999999999E-2</v>
      </c>
      <c r="AC137" s="11">
        <v>5.3199999999999997E-2</v>
      </c>
      <c r="AD137" s="11">
        <v>3.5999999999999999E-3</v>
      </c>
      <c r="AE137" s="11">
        <v>0.1888</v>
      </c>
      <c r="AF137" s="11">
        <v>0</v>
      </c>
      <c r="AG137" s="11">
        <v>2.5327999999999999</v>
      </c>
      <c r="AH137" s="11">
        <v>7.5300000000000006E-2</v>
      </c>
      <c r="AI137" s="11">
        <v>7.8395000000000001</v>
      </c>
      <c r="AJ137" s="11">
        <v>2.6682999999999999</v>
      </c>
      <c r="AK137" s="11">
        <v>0</v>
      </c>
      <c r="AL137" s="11">
        <v>16.031099999999999</v>
      </c>
      <c r="AM137" s="11"/>
      <c r="AN137" s="34">
        <f t="shared" si="34"/>
        <v>4.638820638820639</v>
      </c>
    </row>
    <row r="138" spans="1:40" s="32" customFormat="1" x14ac:dyDescent="0.25">
      <c r="A138" s="11" t="s">
        <v>657</v>
      </c>
      <c r="B138" s="11">
        <v>0.56200000000000006</v>
      </c>
      <c r="C138" s="11">
        <v>0.01</v>
      </c>
      <c r="D138" s="11">
        <v>23.9</v>
      </c>
      <c r="E138" s="11">
        <v>0.246</v>
      </c>
      <c r="F138" s="11">
        <v>0.16200000000000001</v>
      </c>
      <c r="G138" s="11">
        <v>0.249</v>
      </c>
      <c r="H138" s="11">
        <v>0.89700000000000002</v>
      </c>
      <c r="I138" s="11">
        <v>8.9999999999999993E-3</v>
      </c>
      <c r="J138" s="11">
        <v>13.544</v>
      </c>
      <c r="K138" s="11">
        <v>0.57099999999999995</v>
      </c>
      <c r="L138" s="11">
        <v>49.368000000000002</v>
      </c>
      <c r="M138" s="11">
        <v>9.8800000000000008</v>
      </c>
      <c r="N138" s="11">
        <v>0.29399999999999998</v>
      </c>
      <c r="O138" s="11">
        <v>99.691999999999993</v>
      </c>
      <c r="P138" s="11"/>
      <c r="Q138" s="34">
        <f t="shared" si="27"/>
        <v>0.33266058876748555</v>
      </c>
      <c r="R138" s="34">
        <f t="shared" si="28"/>
        <v>0.24513087706239922</v>
      </c>
      <c r="S138" s="34">
        <f t="shared" si="29"/>
        <v>0.24152073897071935</v>
      </c>
      <c r="T138" s="34">
        <f t="shared" si="30"/>
        <v>42.425492856720631</v>
      </c>
      <c r="U138" s="34">
        <f t="shared" si="31"/>
        <v>40.602420764431926</v>
      </c>
      <c r="V138" s="34">
        <f t="shared" si="32"/>
        <v>29.478474451567362</v>
      </c>
      <c r="W138" s="34">
        <f t="shared" si="33"/>
        <v>29.919104784000705</v>
      </c>
      <c r="X138" s="34"/>
      <c r="Y138" s="11">
        <v>6.6699999999999995E-2</v>
      </c>
      <c r="Z138" s="11">
        <v>1.1999999999999999E-3</v>
      </c>
      <c r="AA138" s="11">
        <v>3.1537999999999999</v>
      </c>
      <c r="AB138" s="11">
        <v>3.0700000000000002E-2</v>
      </c>
      <c r="AC138" s="11">
        <v>4.9599999999999998E-2</v>
      </c>
      <c r="AD138" s="11">
        <v>3.3300000000000003E-2</v>
      </c>
      <c r="AE138" s="11">
        <v>0.1668</v>
      </c>
      <c r="AF138" s="11">
        <v>1.9E-3</v>
      </c>
      <c r="AG138" s="11">
        <v>2.2898000000000001</v>
      </c>
      <c r="AH138" s="11">
        <v>7.6300000000000007E-2</v>
      </c>
      <c r="AI138" s="11">
        <v>7.7896000000000001</v>
      </c>
      <c r="AJ138" s="11">
        <v>2.3237999999999999</v>
      </c>
      <c r="AK138" s="11">
        <v>3.7199999999999997E-2</v>
      </c>
      <c r="AL138" s="11">
        <v>16.020700000000001</v>
      </c>
      <c r="AM138" s="11"/>
      <c r="AN138" s="34">
        <f t="shared" si="34"/>
        <v>2.5007496251874066</v>
      </c>
    </row>
    <row r="139" spans="1:40" s="32" customFormat="1" x14ac:dyDescent="0.25">
      <c r="A139" s="11" t="s">
        <v>658</v>
      </c>
      <c r="B139" s="11">
        <v>0.46</v>
      </c>
      <c r="C139" s="11">
        <v>1.7000000000000001E-2</v>
      </c>
      <c r="D139" s="11">
        <v>18.75</v>
      </c>
      <c r="E139" s="11">
        <v>0.46600000000000003</v>
      </c>
      <c r="F139" s="11">
        <v>0.157</v>
      </c>
      <c r="G139" s="11">
        <v>0.29499999999999998</v>
      </c>
      <c r="H139" s="11">
        <v>1.2929999999999999</v>
      </c>
      <c r="I139" s="11">
        <v>4.0000000000000001E-3</v>
      </c>
      <c r="J139" s="11">
        <v>15.613</v>
      </c>
      <c r="K139" s="11">
        <v>0.54100000000000004</v>
      </c>
      <c r="L139" s="11">
        <v>50.225999999999999</v>
      </c>
      <c r="M139" s="11">
        <v>11.837</v>
      </c>
      <c r="N139" s="11">
        <v>0.34100000000000003</v>
      </c>
      <c r="O139" s="11">
        <v>100</v>
      </c>
      <c r="P139" s="11"/>
      <c r="Q139" s="34">
        <f t="shared" si="27"/>
        <v>0.26097849537198137</v>
      </c>
      <c r="R139" s="34">
        <f t="shared" si="28"/>
        <v>0.29368564694206672</v>
      </c>
      <c r="S139" s="34">
        <f t="shared" si="29"/>
        <v>0.27841577802346729</v>
      </c>
      <c r="T139" s="34">
        <f t="shared" si="30"/>
        <v>52.94837443733352</v>
      </c>
      <c r="U139" s="34">
        <f t="shared" si="31"/>
        <v>31.326945830869157</v>
      </c>
      <c r="V139" s="34">
        <f t="shared" si="32"/>
        <v>33.420056254707163</v>
      </c>
      <c r="W139" s="34">
        <f t="shared" si="33"/>
        <v>35.252997914423673</v>
      </c>
      <c r="X139" s="34"/>
      <c r="Y139" s="11">
        <v>5.3400000000000003E-2</v>
      </c>
      <c r="Z139" s="11">
        <v>2.0999999999999999E-3</v>
      </c>
      <c r="AA139" s="11">
        <v>2.4192999999999998</v>
      </c>
      <c r="AB139" s="11">
        <v>5.6800000000000003E-2</v>
      </c>
      <c r="AC139" s="11">
        <v>4.6899999999999997E-2</v>
      </c>
      <c r="AD139" s="11">
        <v>3.85E-2</v>
      </c>
      <c r="AE139" s="11">
        <v>0.23499999999999999</v>
      </c>
      <c r="AF139" s="11">
        <v>6.9999999999999999E-4</v>
      </c>
      <c r="AG139" s="11">
        <v>2.581</v>
      </c>
      <c r="AH139" s="11">
        <v>7.0699999999999999E-2</v>
      </c>
      <c r="AI139" s="11">
        <v>7.7488999999999999</v>
      </c>
      <c r="AJ139" s="11">
        <v>2.7223999999999999</v>
      </c>
      <c r="AK139" s="11">
        <v>4.2200000000000001E-2</v>
      </c>
      <c r="AL139" s="11">
        <v>16.017900000000001</v>
      </c>
      <c r="AM139" s="11"/>
      <c r="AN139" s="34">
        <f t="shared" si="34"/>
        <v>4.4007490636704114</v>
      </c>
    </row>
    <row r="140" spans="1:40" s="32" customFormat="1" x14ac:dyDescent="0.25">
      <c r="A140" s="11" t="s">
        <v>582</v>
      </c>
      <c r="B140" s="11">
        <v>0.52700000000000002</v>
      </c>
      <c r="C140" s="11">
        <v>6.0000000000000001E-3</v>
      </c>
      <c r="D140" s="11">
        <v>24.843</v>
      </c>
      <c r="E140" s="11">
        <v>0.158</v>
      </c>
      <c r="F140" s="11">
        <v>0.13600000000000001</v>
      </c>
      <c r="G140" s="11">
        <v>0.22800000000000001</v>
      </c>
      <c r="H140" s="11">
        <v>0.84799999999999998</v>
      </c>
      <c r="I140" s="11">
        <v>0</v>
      </c>
      <c r="J140" s="11">
        <v>12.757999999999999</v>
      </c>
      <c r="K140" s="11">
        <v>0.61099999999999999</v>
      </c>
      <c r="L140" s="11">
        <v>49.356999999999999</v>
      </c>
      <c r="M140" s="11">
        <v>9.3559999999999999</v>
      </c>
      <c r="N140" s="11">
        <v>0</v>
      </c>
      <c r="O140" s="11">
        <v>98.828000000000003</v>
      </c>
      <c r="P140" s="11"/>
      <c r="Q140" s="34">
        <f t="shared" si="27"/>
        <v>0.34578606722806043</v>
      </c>
      <c r="R140" s="34">
        <f t="shared" si="28"/>
        <v>0.23213000868378614</v>
      </c>
      <c r="S140" s="34">
        <f t="shared" si="29"/>
        <v>0.22750454723777594</v>
      </c>
      <c r="T140" s="34">
        <f t="shared" si="30"/>
        <v>40.166733260971696</v>
      </c>
      <c r="U140" s="34">
        <f t="shared" si="31"/>
        <v>42.932358234862825</v>
      </c>
      <c r="V140" s="34">
        <f t="shared" si="32"/>
        <v>28.24667517800976</v>
      </c>
      <c r="W140" s="34">
        <f t="shared" si="33"/>
        <v>28.820966587127415</v>
      </c>
      <c r="X140" s="34"/>
      <c r="Y140" s="11">
        <v>6.3100000000000003E-2</v>
      </c>
      <c r="Z140" s="11">
        <v>8.0000000000000004E-4</v>
      </c>
      <c r="AA140" s="11">
        <v>3.3083</v>
      </c>
      <c r="AB140" s="11">
        <v>1.9900000000000001E-2</v>
      </c>
      <c r="AC140" s="11">
        <v>4.19E-2</v>
      </c>
      <c r="AD140" s="11">
        <v>3.0800000000000001E-2</v>
      </c>
      <c r="AE140" s="11">
        <v>0.15920000000000001</v>
      </c>
      <c r="AF140" s="11">
        <v>0</v>
      </c>
      <c r="AG140" s="11">
        <v>2.1768000000000001</v>
      </c>
      <c r="AH140" s="11">
        <v>8.2500000000000004E-2</v>
      </c>
      <c r="AI140" s="11">
        <v>7.8590999999999998</v>
      </c>
      <c r="AJ140" s="11">
        <v>2.2206999999999999</v>
      </c>
      <c r="AK140" s="11">
        <v>0</v>
      </c>
      <c r="AL140" s="11">
        <v>15.963100000000001</v>
      </c>
      <c r="AM140" s="11"/>
      <c r="AN140" s="34">
        <f t="shared" si="34"/>
        <v>2.5229793977812993</v>
      </c>
    </row>
    <row r="141" spans="1:40" s="32" customFormat="1" x14ac:dyDescent="0.25">
      <c r="A141" s="11" t="s">
        <v>213</v>
      </c>
      <c r="B141" s="11">
        <v>0.42699999999999999</v>
      </c>
      <c r="C141" s="11">
        <v>1.7000000000000001E-2</v>
      </c>
      <c r="D141" s="11">
        <v>20.314</v>
      </c>
      <c r="E141" s="11">
        <v>0.23300000000000001</v>
      </c>
      <c r="F141" s="11">
        <v>0.17899999999999999</v>
      </c>
      <c r="G141" s="11">
        <v>0.249</v>
      </c>
      <c r="H141" s="11">
        <v>1.044</v>
      </c>
      <c r="I141" s="11">
        <v>0</v>
      </c>
      <c r="J141" s="11">
        <v>15.303000000000001</v>
      </c>
      <c r="K141" s="11">
        <v>0.56899999999999995</v>
      </c>
      <c r="L141" s="11">
        <v>50.329000000000001</v>
      </c>
      <c r="M141" s="11">
        <v>10.887</v>
      </c>
      <c r="N141" s="11">
        <v>0.20100000000000001</v>
      </c>
      <c r="O141" s="11">
        <v>99.751999999999995</v>
      </c>
      <c r="P141" s="11"/>
      <c r="Q141" s="34">
        <f t="shared" si="27"/>
        <v>0.28274758159927621</v>
      </c>
      <c r="R141" s="34">
        <f t="shared" si="28"/>
        <v>0.27011537030145144</v>
      </c>
      <c r="S141" s="34">
        <f t="shared" si="29"/>
        <v>0.27288776347230642</v>
      </c>
      <c r="T141" s="34">
        <f t="shared" si="30"/>
        <v>48.857563953743366</v>
      </c>
      <c r="U141" s="34">
        <f t="shared" si="31"/>
        <v>34.241276009254747</v>
      </c>
      <c r="V141" s="34">
        <f t="shared" si="32"/>
        <v>33.047233068278842</v>
      </c>
      <c r="W141" s="34">
        <f t="shared" si="33"/>
        <v>32.711490922466403</v>
      </c>
      <c r="X141" s="34"/>
      <c r="Y141" s="11">
        <v>4.99E-2</v>
      </c>
      <c r="Z141" s="11">
        <v>2.0999999999999999E-3</v>
      </c>
      <c r="AA141" s="11">
        <v>2.6408999999999998</v>
      </c>
      <c r="AB141" s="11">
        <v>2.86E-2</v>
      </c>
      <c r="AC141" s="11">
        <v>5.3999999999999999E-2</v>
      </c>
      <c r="AD141" s="11">
        <v>3.2800000000000003E-2</v>
      </c>
      <c r="AE141" s="11">
        <v>0.1913</v>
      </c>
      <c r="AF141" s="11">
        <v>0</v>
      </c>
      <c r="AG141" s="11">
        <v>2.5489000000000002</v>
      </c>
      <c r="AH141" s="11">
        <v>7.4899999999999994E-2</v>
      </c>
      <c r="AI141" s="11">
        <v>7.8234000000000004</v>
      </c>
      <c r="AJ141" s="11">
        <v>2.5226000000000002</v>
      </c>
      <c r="AK141" s="11">
        <v>2.5100000000000001E-2</v>
      </c>
      <c r="AL141" s="11">
        <v>15.9945</v>
      </c>
      <c r="AM141" s="11"/>
      <c r="AN141" s="34">
        <f t="shared" si="34"/>
        <v>3.8336673346693386</v>
      </c>
    </row>
    <row r="142" spans="1:40" s="32" customFormat="1" x14ac:dyDescent="0.25">
      <c r="A142" s="11" t="s">
        <v>467</v>
      </c>
      <c r="B142" s="11">
        <v>0.41899999999999998</v>
      </c>
      <c r="C142" s="11">
        <v>0</v>
      </c>
      <c r="D142" s="11">
        <v>18.835999999999999</v>
      </c>
      <c r="E142" s="11">
        <v>0.437</v>
      </c>
      <c r="F142" s="11">
        <v>0.18</v>
      </c>
      <c r="G142" s="11">
        <v>0.255</v>
      </c>
      <c r="H142" s="11">
        <v>1.2589999999999999</v>
      </c>
      <c r="I142" s="11">
        <v>8.9999999999999993E-3</v>
      </c>
      <c r="J142" s="11">
        <v>14.541</v>
      </c>
      <c r="K142" s="11">
        <v>0.496</v>
      </c>
      <c r="L142" s="11">
        <v>50.24</v>
      </c>
      <c r="M142" s="11">
        <v>11.936</v>
      </c>
      <c r="N142" s="11">
        <v>0</v>
      </c>
      <c r="O142" s="11">
        <v>98.608000000000004</v>
      </c>
      <c r="P142" s="11"/>
      <c r="Q142" s="34">
        <f t="shared" si="27"/>
        <v>0.26217551673742084</v>
      </c>
      <c r="R142" s="34">
        <f t="shared" si="28"/>
        <v>0.29614191787619404</v>
      </c>
      <c r="S142" s="34">
        <f t="shared" si="29"/>
        <v>0.25929954705945291</v>
      </c>
      <c r="T142" s="34">
        <f t="shared" si="30"/>
        <v>53.041853883918186</v>
      </c>
      <c r="U142" s="34">
        <f t="shared" si="31"/>
        <v>32.065811084419757</v>
      </c>
      <c r="V142" s="34">
        <f t="shared" si="32"/>
        <v>31.714060846541521</v>
      </c>
      <c r="W142" s="34">
        <f t="shared" si="33"/>
        <v>36.220128069038729</v>
      </c>
      <c r="X142" s="34"/>
      <c r="Y142" s="11">
        <v>4.9099999999999998E-2</v>
      </c>
      <c r="Z142" s="11">
        <v>0</v>
      </c>
      <c r="AA142" s="11">
        <v>2.4531000000000001</v>
      </c>
      <c r="AB142" s="11">
        <v>5.3800000000000001E-2</v>
      </c>
      <c r="AC142" s="11">
        <v>5.4199999999999998E-2</v>
      </c>
      <c r="AD142" s="11">
        <v>3.3700000000000001E-2</v>
      </c>
      <c r="AE142" s="11">
        <v>0.23100000000000001</v>
      </c>
      <c r="AF142" s="11">
        <v>1.8E-3</v>
      </c>
      <c r="AG142" s="11">
        <v>2.4262000000000001</v>
      </c>
      <c r="AH142" s="11">
        <v>6.54E-2</v>
      </c>
      <c r="AI142" s="11">
        <v>7.8235000000000001</v>
      </c>
      <c r="AJ142" s="11">
        <v>2.7707999999999999</v>
      </c>
      <c r="AK142" s="11">
        <v>0</v>
      </c>
      <c r="AL142" s="11">
        <v>15.9626</v>
      </c>
      <c r="AM142" s="11"/>
      <c r="AN142" s="34">
        <f t="shared" si="34"/>
        <v>4.7046843177189412</v>
      </c>
    </row>
    <row r="143" spans="1:40" s="32" customFormat="1" x14ac:dyDescent="0.25">
      <c r="A143" s="11" t="s">
        <v>482</v>
      </c>
      <c r="B143" s="11">
        <v>0.41299999999999998</v>
      </c>
      <c r="C143" s="11">
        <v>6.0000000000000001E-3</v>
      </c>
      <c r="D143" s="11">
        <v>24.515999999999998</v>
      </c>
      <c r="E143" s="11">
        <v>0.23300000000000001</v>
      </c>
      <c r="F143" s="11">
        <v>0.10199999999999999</v>
      </c>
      <c r="G143" s="11">
        <v>3.7999999999999999E-2</v>
      </c>
      <c r="H143" s="11">
        <v>0.98699999999999999</v>
      </c>
      <c r="I143" s="11">
        <v>5.0000000000000001E-3</v>
      </c>
      <c r="J143" s="11">
        <v>13.507</v>
      </c>
      <c r="K143" s="11">
        <v>0.57399999999999995</v>
      </c>
      <c r="L143" s="11">
        <v>49.509</v>
      </c>
      <c r="M143" s="11">
        <v>9.4480000000000004</v>
      </c>
      <c r="N143" s="11">
        <v>8.8999999999999996E-2</v>
      </c>
      <c r="O143" s="11">
        <v>99.427000000000007</v>
      </c>
      <c r="P143" s="11"/>
      <c r="Q143" s="34">
        <f t="shared" si="27"/>
        <v>0.34123460226877306</v>
      </c>
      <c r="R143" s="34">
        <f t="shared" si="28"/>
        <v>0.23441260389529836</v>
      </c>
      <c r="S143" s="34">
        <f t="shared" si="29"/>
        <v>0.24086094368558078</v>
      </c>
      <c r="T143" s="34">
        <f>R143/(Q143+R143)*100</f>
        <v>40.721574149095389</v>
      </c>
      <c r="U143" s="34">
        <f>Q143/(Q143+R143+S143)*100</f>
        <v>41.791940757922177</v>
      </c>
      <c r="V143" s="34">
        <f>S143/(Q143+R143+S143)*100</f>
        <v>29.498902580449656</v>
      </c>
      <c r="W143" s="34">
        <f>R143/(Q143+R143+S143)*100</f>
        <v>28.709156661628171</v>
      </c>
      <c r="X143" s="34"/>
      <c r="Y143" s="11">
        <v>4.9200000000000001E-2</v>
      </c>
      <c r="Z143" s="11">
        <v>8.0000000000000004E-4</v>
      </c>
      <c r="AA143" s="11">
        <v>3.2488999999999999</v>
      </c>
      <c r="AB143" s="11">
        <v>2.92E-2</v>
      </c>
      <c r="AC143" s="11">
        <v>3.1199999999999999E-2</v>
      </c>
      <c r="AD143" s="11">
        <v>5.0000000000000001E-3</v>
      </c>
      <c r="AE143" s="11">
        <v>0.18440000000000001</v>
      </c>
      <c r="AF143" s="11">
        <v>1E-3</v>
      </c>
      <c r="AG143" s="11">
        <v>2.2932000000000001</v>
      </c>
      <c r="AH143" s="11">
        <v>7.6999999999999999E-2</v>
      </c>
      <c r="AI143" s="11">
        <v>7.8448000000000002</v>
      </c>
      <c r="AJ143" s="11">
        <v>2.2315999999999998</v>
      </c>
      <c r="AK143" s="11">
        <v>1.1299999999999999E-2</v>
      </c>
      <c r="AL143" s="11">
        <v>16.0076</v>
      </c>
      <c r="AM143" s="11"/>
      <c r="AN143" s="34">
        <f t="shared" si="34"/>
        <v>3.7479674796747968</v>
      </c>
    </row>
    <row r="144" spans="1:40" s="32" customFormat="1" x14ac:dyDescent="0.25">
      <c r="A144" s="11" t="s">
        <v>190</v>
      </c>
      <c r="B144" s="11">
        <v>0.59699999999999998</v>
      </c>
      <c r="C144" s="11">
        <v>0</v>
      </c>
      <c r="D144" s="11">
        <v>24.946000000000002</v>
      </c>
      <c r="E144" s="11">
        <v>3.2000000000000001E-2</v>
      </c>
      <c r="F144" s="11">
        <v>0.19</v>
      </c>
      <c r="G144" s="11">
        <v>0.27100000000000002</v>
      </c>
      <c r="H144" s="11">
        <v>0.92900000000000005</v>
      </c>
      <c r="I144" s="11">
        <v>0</v>
      </c>
      <c r="J144" s="11">
        <v>14.430999999999999</v>
      </c>
      <c r="K144" s="11">
        <v>0.57699999999999996</v>
      </c>
      <c r="L144" s="11">
        <v>49.481000000000002</v>
      </c>
      <c r="M144" s="11">
        <v>8.8010000000000002</v>
      </c>
      <c r="N144" s="11">
        <v>0</v>
      </c>
      <c r="O144" s="11">
        <v>100.255</v>
      </c>
      <c r="P144" s="11"/>
      <c r="Q144" s="34">
        <f t="shared" si="27"/>
        <v>0.3472197090959705</v>
      </c>
      <c r="R144" s="34">
        <f t="shared" si="28"/>
        <v>0.21836000496216351</v>
      </c>
      <c r="S144" s="34">
        <f t="shared" si="29"/>
        <v>0.25733799350904096</v>
      </c>
      <c r="T144" s="34">
        <f t="shared" ref="T144:T169" si="35">R144/(Q144+R144)*100</f>
        <v>38.608174857508956</v>
      </c>
      <c r="U144" s="34">
        <f t="shared" ref="U144:U169" si="36">Q144/(Q144+R144+S144)*100</f>
        <v>42.193734063940639</v>
      </c>
      <c r="V144" s="34">
        <f t="shared" ref="V144:V169" si="37">S144/(Q144+R144+S144)*100</f>
        <v>31.271412820829887</v>
      </c>
      <c r="W144" s="34">
        <f t="shared" ref="W144:W169" si="38">R144/(Q144+R144+S144)*100</f>
        <v>26.534853115229474</v>
      </c>
      <c r="X144" s="34"/>
      <c r="Y144" s="11">
        <v>7.0699999999999999E-2</v>
      </c>
      <c r="Z144" s="11">
        <v>0</v>
      </c>
      <c r="AA144" s="11">
        <v>3.2890999999999999</v>
      </c>
      <c r="AB144" s="11">
        <v>4.0000000000000001E-3</v>
      </c>
      <c r="AC144" s="11">
        <v>5.8000000000000003E-2</v>
      </c>
      <c r="AD144" s="11">
        <v>3.6200000000000003E-2</v>
      </c>
      <c r="AE144" s="11">
        <v>0.17269999999999999</v>
      </c>
      <c r="AF144" s="11">
        <v>0</v>
      </c>
      <c r="AG144" s="11">
        <v>2.4377</v>
      </c>
      <c r="AH144" s="11">
        <v>7.7100000000000002E-2</v>
      </c>
      <c r="AI144" s="11">
        <v>7.8009000000000004</v>
      </c>
      <c r="AJ144" s="11">
        <v>2.0682999999999998</v>
      </c>
      <c r="AK144" s="11">
        <v>0</v>
      </c>
      <c r="AL144" s="11">
        <v>16.014700000000001</v>
      </c>
      <c r="AM144" s="11"/>
      <c r="AN144" s="34">
        <f t="shared" ref="AN144:AN145" si="39">AE144/Y144</f>
        <v>2.4427157001414428</v>
      </c>
    </row>
    <row r="145" spans="1:40" s="32" customFormat="1" x14ac:dyDescent="0.25">
      <c r="A145" s="11" t="s">
        <v>483</v>
      </c>
      <c r="B145" s="11">
        <v>0.38700000000000001</v>
      </c>
      <c r="C145" s="11">
        <v>0</v>
      </c>
      <c r="D145" s="11">
        <v>21.968</v>
      </c>
      <c r="E145" s="11">
        <v>0.219</v>
      </c>
      <c r="F145" s="11">
        <v>0.182</v>
      </c>
      <c r="G145" s="11">
        <v>0.246</v>
      </c>
      <c r="H145" s="11">
        <v>1.018</v>
      </c>
      <c r="I145" s="11">
        <v>0</v>
      </c>
      <c r="J145" s="11">
        <v>14.986000000000001</v>
      </c>
      <c r="K145" s="11">
        <v>0.53800000000000003</v>
      </c>
      <c r="L145" s="11">
        <v>49.420999999999999</v>
      </c>
      <c r="M145" s="11">
        <v>9.9049999999999994</v>
      </c>
      <c r="N145" s="11">
        <v>0.17599999999999999</v>
      </c>
      <c r="O145" s="11">
        <v>99.046000000000006</v>
      </c>
      <c r="P145" s="11"/>
      <c r="Q145" s="34">
        <f t="shared" si="27"/>
        <v>0.30576936460435661</v>
      </c>
      <c r="R145" s="34">
        <f t="shared" si="28"/>
        <v>0.24575114750031013</v>
      </c>
      <c r="S145" s="34">
        <f t="shared" si="29"/>
        <v>0.26723492278611932</v>
      </c>
      <c r="T145" s="34">
        <f t="shared" si="35"/>
        <v>44.55884089650538</v>
      </c>
      <c r="U145" s="34">
        <f t="shared" si="36"/>
        <v>37.345628691325054</v>
      </c>
      <c r="V145" s="34">
        <f t="shared" si="37"/>
        <v>32.639163222381036</v>
      </c>
      <c r="W145" s="34">
        <f t="shared" si="38"/>
        <v>30.015208086293921</v>
      </c>
      <c r="X145" s="34"/>
      <c r="Y145" s="11">
        <v>4.5999999999999999E-2</v>
      </c>
      <c r="Z145" s="11">
        <v>0</v>
      </c>
      <c r="AA145" s="11">
        <v>2.9014000000000002</v>
      </c>
      <c r="AB145" s="11">
        <v>2.7300000000000001E-2</v>
      </c>
      <c r="AC145" s="11">
        <v>5.5800000000000002E-2</v>
      </c>
      <c r="AD145" s="11">
        <v>3.2899999999999999E-2</v>
      </c>
      <c r="AE145" s="11">
        <v>0.1895</v>
      </c>
      <c r="AF145" s="11">
        <v>0</v>
      </c>
      <c r="AG145" s="11">
        <v>2.5358999999999998</v>
      </c>
      <c r="AH145" s="11">
        <v>7.1999999999999995E-2</v>
      </c>
      <c r="AI145" s="11">
        <v>7.8045999999999998</v>
      </c>
      <c r="AJ145" s="11">
        <v>2.3319000000000001</v>
      </c>
      <c r="AK145" s="11">
        <v>2.23E-2</v>
      </c>
      <c r="AL145" s="11">
        <v>16.019600000000001</v>
      </c>
      <c r="AM145" s="11"/>
      <c r="AN145" s="34">
        <f t="shared" si="39"/>
        <v>4.1195652173913047</v>
      </c>
    </row>
    <row r="146" spans="1:40" s="32" customFormat="1" x14ac:dyDescent="0.25">
      <c r="A146" s="11" t="s">
        <v>232</v>
      </c>
      <c r="B146" s="11">
        <v>0.56399999999999995</v>
      </c>
      <c r="C146" s="11">
        <v>1.2E-2</v>
      </c>
      <c r="D146" s="11">
        <v>24.126000000000001</v>
      </c>
      <c r="E146" s="11">
        <v>7.0000000000000007E-2</v>
      </c>
      <c r="F146" s="11">
        <v>0.152</v>
      </c>
      <c r="G146" s="11">
        <v>0.248</v>
      </c>
      <c r="H146" s="11">
        <v>0.88900000000000001</v>
      </c>
      <c r="I146" s="11">
        <v>1.2E-2</v>
      </c>
      <c r="J146" s="11">
        <v>14.339</v>
      </c>
      <c r="K146" s="11">
        <v>0.59599999999999997</v>
      </c>
      <c r="L146" s="11">
        <v>48.88</v>
      </c>
      <c r="M146" s="11">
        <v>8.8659999999999997</v>
      </c>
      <c r="N146" s="11">
        <v>0.11899999999999999</v>
      </c>
      <c r="O146" s="11">
        <v>98.873000000000005</v>
      </c>
      <c r="P146" s="11"/>
      <c r="Q146" s="34">
        <f t="shared" si="27"/>
        <v>0.33580624956503585</v>
      </c>
      <c r="R146" s="34">
        <f t="shared" si="28"/>
        <v>0.21997270810073191</v>
      </c>
      <c r="S146" s="34">
        <f t="shared" si="29"/>
        <v>0.25569742144869645</v>
      </c>
      <c r="T146" s="34">
        <f t="shared" si="35"/>
        <v>39.579171731258356</v>
      </c>
      <c r="U146" s="34">
        <f t="shared" si="36"/>
        <v>41.382134860350398</v>
      </c>
      <c r="V146" s="34">
        <f t="shared" si="37"/>
        <v>31.510149651888831</v>
      </c>
      <c r="W146" s="34">
        <f t="shared" si="38"/>
        <v>27.107715487760771</v>
      </c>
      <c r="X146" s="34"/>
      <c r="Y146" s="11">
        <v>6.7799999999999999E-2</v>
      </c>
      <c r="Z146" s="11">
        <v>1.5E-3</v>
      </c>
      <c r="AA146" s="11">
        <v>3.2216</v>
      </c>
      <c r="AB146" s="11">
        <v>8.8000000000000005E-3</v>
      </c>
      <c r="AC146" s="11">
        <v>4.6899999999999997E-2</v>
      </c>
      <c r="AD146" s="11">
        <v>3.3599999999999998E-2</v>
      </c>
      <c r="AE146" s="11">
        <v>0.1673</v>
      </c>
      <c r="AF146" s="11">
        <v>2.5000000000000001E-3</v>
      </c>
      <c r="AG146" s="11">
        <v>2.4531999999999998</v>
      </c>
      <c r="AH146" s="11">
        <v>8.0500000000000002E-2</v>
      </c>
      <c r="AI146" s="11">
        <v>7.8045999999999998</v>
      </c>
      <c r="AJ146" s="11">
        <v>2.1103000000000001</v>
      </c>
      <c r="AK146" s="11">
        <v>1.52E-2</v>
      </c>
      <c r="AL146" s="11">
        <v>16.0138</v>
      </c>
      <c r="AM146" s="11"/>
      <c r="AN146" s="33">
        <v>2.4675516224188789</v>
      </c>
    </row>
    <row r="147" spans="1:40" s="32" customFormat="1" x14ac:dyDescent="0.25">
      <c r="A147" s="11" t="s">
        <v>26</v>
      </c>
      <c r="B147" s="11">
        <v>0.68500000000000005</v>
      </c>
      <c r="C147" s="11">
        <v>0</v>
      </c>
      <c r="D147" s="11">
        <v>24.536999999999999</v>
      </c>
      <c r="E147" s="11">
        <v>6.3E-2</v>
      </c>
      <c r="F147" s="11">
        <v>0.16600000000000001</v>
      </c>
      <c r="G147" s="11">
        <v>0.25900000000000001</v>
      </c>
      <c r="H147" s="11">
        <v>0.88300000000000001</v>
      </c>
      <c r="I147" s="11">
        <v>0</v>
      </c>
      <c r="J147" s="11">
        <v>15.617000000000001</v>
      </c>
      <c r="K147" s="11">
        <v>0.64900000000000002</v>
      </c>
      <c r="L147" s="11">
        <v>49.02</v>
      </c>
      <c r="M147" s="11">
        <v>7.74</v>
      </c>
      <c r="N147" s="11">
        <v>0</v>
      </c>
      <c r="O147" s="11">
        <v>99.619</v>
      </c>
      <c r="P147" s="11"/>
      <c r="Q147" s="34">
        <f t="shared" si="27"/>
        <v>0.34152689818358967</v>
      </c>
      <c r="R147" s="34">
        <f t="shared" si="28"/>
        <v>0.19203572757722367</v>
      </c>
      <c r="S147" s="34">
        <f t="shared" si="29"/>
        <v>0.2784871072434823</v>
      </c>
      <c r="T147" s="34">
        <f t="shared" si="35"/>
        <v>35.991225454256217</v>
      </c>
      <c r="U147" s="34">
        <f t="shared" si="36"/>
        <v>42.057386918909685</v>
      </c>
      <c r="V147" s="34">
        <f t="shared" si="37"/>
        <v>34.294341334634623</v>
      </c>
      <c r="W147" s="34">
        <f t="shared" si="38"/>
        <v>23.648271746455681</v>
      </c>
      <c r="X147" s="34"/>
      <c r="Y147" s="11">
        <v>8.2000000000000003E-2</v>
      </c>
      <c r="Z147" s="11">
        <v>0</v>
      </c>
      <c r="AA147" s="11">
        <v>3.2667999999999999</v>
      </c>
      <c r="AB147" s="11">
        <v>7.9000000000000008E-3</v>
      </c>
      <c r="AC147" s="11">
        <v>5.1299999999999998E-2</v>
      </c>
      <c r="AD147" s="11">
        <v>3.5000000000000003E-2</v>
      </c>
      <c r="AE147" s="11">
        <v>0.16569999999999999</v>
      </c>
      <c r="AF147" s="11">
        <v>0</v>
      </c>
      <c r="AG147" s="11">
        <v>2.6640000000000001</v>
      </c>
      <c r="AH147" s="11">
        <v>8.7599999999999997E-2</v>
      </c>
      <c r="AI147" s="11">
        <v>7.8037000000000001</v>
      </c>
      <c r="AJ147" s="11">
        <v>1.8368</v>
      </c>
      <c r="AK147" s="11">
        <v>0</v>
      </c>
      <c r="AL147" s="11">
        <v>16.000800000000002</v>
      </c>
      <c r="AM147" s="11"/>
      <c r="AN147" s="33">
        <v>2.020731707317073</v>
      </c>
    </row>
    <row r="148" spans="1:40" s="32" customFormat="1" x14ac:dyDescent="0.25">
      <c r="A148" s="11" t="s">
        <v>220</v>
      </c>
      <c r="B148" s="11">
        <v>0.46300000000000002</v>
      </c>
      <c r="C148" s="11">
        <v>6.0000000000000001E-3</v>
      </c>
      <c r="D148" s="11">
        <v>20.948</v>
      </c>
      <c r="E148" s="11">
        <v>0.26300000000000001</v>
      </c>
      <c r="F148" s="11">
        <v>0.17499999999999999</v>
      </c>
      <c r="G148" s="11">
        <v>0.27700000000000002</v>
      </c>
      <c r="H148" s="11">
        <v>1.2669999999999999</v>
      </c>
      <c r="I148" s="11">
        <v>0</v>
      </c>
      <c r="J148" s="11">
        <v>15.125</v>
      </c>
      <c r="K148" s="11">
        <v>0.55400000000000005</v>
      </c>
      <c r="L148" s="11">
        <v>49.529000000000003</v>
      </c>
      <c r="M148" s="11">
        <v>10.425000000000001</v>
      </c>
      <c r="N148" s="11">
        <v>0</v>
      </c>
      <c r="O148" s="11">
        <v>99.031999999999996</v>
      </c>
      <c r="P148" s="11"/>
      <c r="Q148" s="34">
        <f t="shared" si="27"/>
        <v>0.29157213445612085</v>
      </c>
      <c r="R148" s="34">
        <f t="shared" si="28"/>
        <v>0.2586527726088575</v>
      </c>
      <c r="S148" s="34">
        <f t="shared" si="29"/>
        <v>0.26971361318163983</v>
      </c>
      <c r="T148" s="34">
        <f t="shared" si="35"/>
        <v>47.008554009044914</v>
      </c>
      <c r="U148" s="34">
        <f t="shared" si="36"/>
        <v>35.560243512943245</v>
      </c>
      <c r="V148" s="34">
        <f t="shared" si="37"/>
        <v>32.894370312120031</v>
      </c>
      <c r="W148" s="34">
        <f t="shared" si="38"/>
        <v>31.545386174936734</v>
      </c>
      <c r="X148" s="34"/>
      <c r="Y148" s="11">
        <v>5.4699999999999999E-2</v>
      </c>
      <c r="Z148" s="11">
        <v>8.0000000000000004E-4</v>
      </c>
      <c r="AA148" s="11">
        <v>2.7517</v>
      </c>
      <c r="AB148" s="11">
        <v>3.2599999999999997E-2</v>
      </c>
      <c r="AC148" s="11">
        <v>5.33E-2</v>
      </c>
      <c r="AD148" s="11">
        <v>3.6799999999999999E-2</v>
      </c>
      <c r="AE148" s="11">
        <v>0.23449999999999999</v>
      </c>
      <c r="AF148" s="11">
        <v>0</v>
      </c>
      <c r="AG148" s="11">
        <v>2.5455000000000001</v>
      </c>
      <c r="AH148" s="11">
        <v>7.3700000000000002E-2</v>
      </c>
      <c r="AI148" s="11">
        <v>7.7793999999999999</v>
      </c>
      <c r="AJ148" s="11">
        <v>2.4409000000000001</v>
      </c>
      <c r="AK148" s="11">
        <v>0</v>
      </c>
      <c r="AL148" s="11">
        <v>16.003900000000002</v>
      </c>
      <c r="AM148" s="11"/>
      <c r="AN148" s="33">
        <v>4.2870201096892133</v>
      </c>
    </row>
    <row r="149" spans="1:40" s="32" customFormat="1" x14ac:dyDescent="0.25">
      <c r="A149" s="11" t="s">
        <v>484</v>
      </c>
      <c r="B149" s="11">
        <v>0.309</v>
      </c>
      <c r="C149" s="11">
        <v>0</v>
      </c>
      <c r="D149" s="11">
        <v>22.035</v>
      </c>
      <c r="E149" s="11">
        <v>0.316</v>
      </c>
      <c r="F149" s="11">
        <v>0.13800000000000001</v>
      </c>
      <c r="G149" s="11">
        <v>0.31900000000000001</v>
      </c>
      <c r="H149" s="11">
        <v>1.2629999999999999</v>
      </c>
      <c r="I149" s="11">
        <v>3.2000000000000001E-2</v>
      </c>
      <c r="J149" s="11">
        <v>14.682</v>
      </c>
      <c r="K149" s="11">
        <v>0.57799999999999996</v>
      </c>
      <c r="L149" s="11">
        <v>49.62</v>
      </c>
      <c r="M149" s="11">
        <v>9.9410000000000007</v>
      </c>
      <c r="N149" s="11">
        <v>0</v>
      </c>
      <c r="O149" s="11">
        <v>99.233000000000004</v>
      </c>
      <c r="P149" s="11"/>
      <c r="Q149" s="34">
        <f t="shared" si="27"/>
        <v>0.30670192776115252</v>
      </c>
      <c r="R149" s="34">
        <f t="shared" si="28"/>
        <v>0.2466443369309019</v>
      </c>
      <c r="S149" s="34">
        <f t="shared" si="29"/>
        <v>0.2618139020649809</v>
      </c>
      <c r="T149" s="34">
        <f t="shared" si="35"/>
        <v>44.573236085394605</v>
      </c>
      <c r="U149" s="34">
        <f t="shared" si="36"/>
        <v>37.624744224354053</v>
      </c>
      <c r="V149" s="34">
        <f t="shared" si="37"/>
        <v>32.118093197139316</v>
      </c>
      <c r="W149" s="34">
        <f t="shared" si="38"/>
        <v>30.25716257850663</v>
      </c>
      <c r="X149" s="34"/>
      <c r="Y149" s="11">
        <v>3.6499999999999998E-2</v>
      </c>
      <c r="Z149" s="11">
        <v>0</v>
      </c>
      <c r="AA149" s="11">
        <v>2.8980999999999999</v>
      </c>
      <c r="AB149" s="11">
        <v>3.9300000000000002E-2</v>
      </c>
      <c r="AC149" s="11">
        <v>4.2000000000000003E-2</v>
      </c>
      <c r="AD149" s="11">
        <v>4.2500000000000003E-2</v>
      </c>
      <c r="AE149" s="11">
        <v>0.23400000000000001</v>
      </c>
      <c r="AF149" s="11">
        <v>6.4000000000000003E-3</v>
      </c>
      <c r="AG149" s="11">
        <v>2.4741</v>
      </c>
      <c r="AH149" s="11">
        <v>7.7100000000000002E-2</v>
      </c>
      <c r="AI149" s="11">
        <v>7.8033999999999999</v>
      </c>
      <c r="AJ149" s="11">
        <v>2.3304</v>
      </c>
      <c r="AK149" s="11">
        <v>0</v>
      </c>
      <c r="AL149" s="11">
        <v>15.9838</v>
      </c>
      <c r="AM149" s="11"/>
      <c r="AN149" s="33">
        <v>6.4109589041095898</v>
      </c>
    </row>
    <row r="150" spans="1:40" s="32" customFormat="1" x14ac:dyDescent="0.25">
      <c r="A150" s="11" t="s">
        <v>262</v>
      </c>
      <c r="B150" s="11">
        <v>0.60599999999999998</v>
      </c>
      <c r="C150" s="11">
        <v>1.9E-2</v>
      </c>
      <c r="D150" s="11">
        <v>23.835999999999999</v>
      </c>
      <c r="E150" s="11">
        <v>0.2</v>
      </c>
      <c r="F150" s="11">
        <v>0.16700000000000001</v>
      </c>
      <c r="G150" s="11">
        <v>0.25600000000000001</v>
      </c>
      <c r="H150" s="11">
        <v>1.0660000000000001</v>
      </c>
      <c r="I150" s="11">
        <v>2E-3</v>
      </c>
      <c r="J150" s="11">
        <v>14.513</v>
      </c>
      <c r="K150" s="11">
        <v>0.57599999999999996</v>
      </c>
      <c r="L150" s="11">
        <v>49.198999999999998</v>
      </c>
      <c r="M150" s="11">
        <v>8.7100000000000009</v>
      </c>
      <c r="N150" s="11">
        <v>0.35399999999999998</v>
      </c>
      <c r="O150" s="11">
        <v>99.504000000000005</v>
      </c>
      <c r="P150" s="11"/>
      <c r="Q150" s="34">
        <f t="shared" si="27"/>
        <v>0.33176978216994918</v>
      </c>
      <c r="R150" s="34">
        <f t="shared" si="28"/>
        <v>0.21610222056816775</v>
      </c>
      <c r="S150" s="34">
        <f t="shared" si="29"/>
        <v>0.25880024251934802</v>
      </c>
      <c r="T150" s="34">
        <f t="shared" si="35"/>
        <v>39.44392476493541</v>
      </c>
      <c r="U150" s="34">
        <f t="shared" si="36"/>
        <v>41.128200966435685</v>
      </c>
      <c r="V150" s="34">
        <f t="shared" si="37"/>
        <v>32.082452822800036</v>
      </c>
      <c r="W150" s="34">
        <f t="shared" si="38"/>
        <v>26.789346210764265</v>
      </c>
      <c r="X150" s="34"/>
      <c r="Y150" s="11">
        <v>7.22E-2</v>
      </c>
      <c r="Z150" s="11">
        <v>2.3999999999999998E-3</v>
      </c>
      <c r="AA150" s="11">
        <v>3.1602000000000001</v>
      </c>
      <c r="AB150" s="11">
        <v>2.5100000000000001E-2</v>
      </c>
      <c r="AC150" s="11">
        <v>5.1200000000000002E-2</v>
      </c>
      <c r="AD150" s="11">
        <v>3.4299999999999997E-2</v>
      </c>
      <c r="AE150" s="11">
        <v>0.19919999999999999</v>
      </c>
      <c r="AF150" s="11">
        <v>4.0000000000000002E-4</v>
      </c>
      <c r="AG150" s="11">
        <v>2.4651999999999998</v>
      </c>
      <c r="AH150" s="11">
        <v>7.7399999999999997E-2</v>
      </c>
      <c r="AI150" s="11">
        <v>7.7994000000000003</v>
      </c>
      <c r="AJ150" s="11">
        <v>2.0583999999999998</v>
      </c>
      <c r="AK150" s="11">
        <v>4.4999999999999998E-2</v>
      </c>
      <c r="AL150" s="11">
        <v>15.990399999999999</v>
      </c>
      <c r="AM150" s="11"/>
      <c r="AN150" s="33">
        <v>2.7590027700831024</v>
      </c>
    </row>
    <row r="151" spans="1:40" s="32" customFormat="1" x14ac:dyDescent="0.25">
      <c r="A151" s="11" t="s">
        <v>120</v>
      </c>
      <c r="B151" s="11">
        <v>0.33200000000000002</v>
      </c>
      <c r="C151" s="11">
        <v>1.7999999999999999E-2</v>
      </c>
      <c r="D151" s="11">
        <v>22.132999999999999</v>
      </c>
      <c r="E151" s="11">
        <v>0.219</v>
      </c>
      <c r="F151" s="11">
        <v>0.16300000000000001</v>
      </c>
      <c r="G151" s="11">
        <v>1.2999999999999999E-2</v>
      </c>
      <c r="H151" s="11">
        <v>1.0609999999999999</v>
      </c>
      <c r="I151" s="11">
        <v>1.0999999999999999E-2</v>
      </c>
      <c r="J151" s="11">
        <v>14.48</v>
      </c>
      <c r="K151" s="11">
        <v>0.60299999999999998</v>
      </c>
      <c r="L151" s="11">
        <v>50.008000000000003</v>
      </c>
      <c r="M151" s="11">
        <v>10.132999999999999</v>
      </c>
      <c r="N151" s="11">
        <v>0.11700000000000001</v>
      </c>
      <c r="O151" s="11">
        <v>99.290999999999997</v>
      </c>
      <c r="P151" s="11"/>
      <c r="Q151" s="34">
        <f t="shared" si="27"/>
        <v>0.30806597536363001</v>
      </c>
      <c r="R151" s="34">
        <f t="shared" si="28"/>
        <v>0.25140801389405781</v>
      </c>
      <c r="S151" s="34">
        <f t="shared" si="29"/>
        <v>0.25821177645422444</v>
      </c>
      <c r="T151" s="34">
        <f t="shared" si="35"/>
        <v>44.936497267304041</v>
      </c>
      <c r="U151" s="34">
        <f t="shared" si="36"/>
        <v>37.675350150606398</v>
      </c>
      <c r="V151" s="34">
        <f t="shared" si="37"/>
        <v>31.578362652481079</v>
      </c>
      <c r="W151" s="34">
        <f t="shared" si="38"/>
        <v>30.746287196912519</v>
      </c>
      <c r="X151" s="34"/>
      <c r="Y151" s="11">
        <v>3.9199999999999999E-2</v>
      </c>
      <c r="Z151" s="11">
        <v>2.3E-3</v>
      </c>
      <c r="AA151" s="11">
        <v>2.9114</v>
      </c>
      <c r="AB151" s="11">
        <v>2.7199999999999998E-2</v>
      </c>
      <c r="AC151" s="11">
        <v>4.9700000000000001E-2</v>
      </c>
      <c r="AD151" s="11">
        <v>1.6999999999999999E-3</v>
      </c>
      <c r="AE151" s="11">
        <v>0.19670000000000001</v>
      </c>
      <c r="AF151" s="11">
        <v>2.2000000000000001E-3</v>
      </c>
      <c r="AG151" s="11">
        <v>2.4403000000000001</v>
      </c>
      <c r="AH151" s="11">
        <v>8.0299999999999996E-2</v>
      </c>
      <c r="AI151" s="11">
        <v>7.8653000000000004</v>
      </c>
      <c r="AJ151" s="11">
        <v>2.3757999999999999</v>
      </c>
      <c r="AK151" s="11">
        <v>1.47E-2</v>
      </c>
      <c r="AL151" s="11">
        <v>16.006799999999998</v>
      </c>
      <c r="AM151" s="11"/>
      <c r="AN151" s="33">
        <v>5.0178571428571432</v>
      </c>
    </row>
    <row r="152" spans="1:40" s="32" customFormat="1" x14ac:dyDescent="0.25">
      <c r="A152" s="11" t="s">
        <v>163</v>
      </c>
      <c r="B152" s="11">
        <v>0.39900000000000002</v>
      </c>
      <c r="C152" s="11">
        <v>0</v>
      </c>
      <c r="D152" s="11">
        <v>22.875</v>
      </c>
      <c r="E152" s="11">
        <v>0.221</v>
      </c>
      <c r="F152" s="11">
        <v>0.14899999999999999</v>
      </c>
      <c r="G152" s="11">
        <v>0.36299999999999999</v>
      </c>
      <c r="H152" s="11">
        <v>0.94199999999999995</v>
      </c>
      <c r="I152" s="11">
        <v>1E-3</v>
      </c>
      <c r="J152" s="11">
        <v>14.319000000000001</v>
      </c>
      <c r="K152" s="11">
        <v>0.56699999999999995</v>
      </c>
      <c r="L152" s="11">
        <v>49.508000000000003</v>
      </c>
      <c r="M152" s="11">
        <v>10.228999999999999</v>
      </c>
      <c r="N152" s="11">
        <v>0</v>
      </c>
      <c r="O152" s="11">
        <v>99.572999999999993</v>
      </c>
      <c r="P152" s="11"/>
      <c r="Q152" s="34">
        <f t="shared" si="27"/>
        <v>0.31839376435381728</v>
      </c>
      <c r="R152" s="34">
        <f t="shared" si="28"/>
        <v>0.25378985237563578</v>
      </c>
      <c r="S152" s="34">
        <f t="shared" si="29"/>
        <v>0.25534077534862154</v>
      </c>
      <c r="T152" s="34">
        <f t="shared" si="35"/>
        <v>44.354617111596859</v>
      </c>
      <c r="U152" s="34">
        <f t="shared" si="36"/>
        <v>38.475453702853237</v>
      </c>
      <c r="V152" s="34">
        <f t="shared" si="37"/>
        <v>30.855981744225229</v>
      </c>
      <c r="W152" s="34">
        <f t="shared" si="38"/>
        <v>30.668564552921534</v>
      </c>
      <c r="X152" s="34"/>
      <c r="Y152" s="11">
        <v>4.7199999999999999E-2</v>
      </c>
      <c r="Z152" s="11">
        <v>0</v>
      </c>
      <c r="AA152" s="11">
        <v>3.0076000000000001</v>
      </c>
      <c r="AB152" s="11">
        <v>2.7400000000000001E-2</v>
      </c>
      <c r="AC152" s="11">
        <v>4.5600000000000002E-2</v>
      </c>
      <c r="AD152" s="11">
        <v>4.8300000000000003E-2</v>
      </c>
      <c r="AE152" s="11">
        <v>0.17460000000000001</v>
      </c>
      <c r="AF152" s="11">
        <v>2.0000000000000001E-4</v>
      </c>
      <c r="AG152" s="11">
        <v>2.4121000000000001</v>
      </c>
      <c r="AH152" s="11">
        <v>7.5499999999999998E-2</v>
      </c>
      <c r="AI152" s="11">
        <v>7.7834000000000003</v>
      </c>
      <c r="AJ152" s="11">
        <v>2.3972000000000002</v>
      </c>
      <c r="AK152" s="11">
        <v>0</v>
      </c>
      <c r="AL152" s="11">
        <v>16.019100000000002</v>
      </c>
      <c r="AM152" s="11"/>
      <c r="AN152" s="33">
        <v>3.6991525423728815</v>
      </c>
    </row>
    <row r="153" spans="1:40" s="32" customFormat="1" x14ac:dyDescent="0.25">
      <c r="A153" s="11" t="s">
        <v>55</v>
      </c>
      <c r="B153" s="11">
        <v>0.47699999999999998</v>
      </c>
      <c r="C153" s="11">
        <v>8.0000000000000002E-3</v>
      </c>
      <c r="D153" s="11">
        <v>22.948</v>
      </c>
      <c r="E153" s="11">
        <v>0.34899999999999998</v>
      </c>
      <c r="F153" s="11">
        <v>0.16900000000000001</v>
      </c>
      <c r="G153" s="11">
        <v>0.27700000000000002</v>
      </c>
      <c r="H153" s="11">
        <v>1.044</v>
      </c>
      <c r="I153" s="11">
        <v>0</v>
      </c>
      <c r="J153" s="11">
        <v>13.86</v>
      </c>
      <c r="K153" s="11">
        <v>0.61099999999999999</v>
      </c>
      <c r="L153" s="11">
        <v>49.673000000000002</v>
      </c>
      <c r="M153" s="11">
        <v>10.346</v>
      </c>
      <c r="N153" s="11">
        <v>0.11700000000000001</v>
      </c>
      <c r="O153" s="11">
        <v>99.879000000000005</v>
      </c>
      <c r="P153" s="11"/>
      <c r="Q153" s="34">
        <f t="shared" si="27"/>
        <v>0.31940984062913219</v>
      </c>
      <c r="R153" s="34">
        <f t="shared" si="28"/>
        <v>0.25669271802505894</v>
      </c>
      <c r="S153" s="34">
        <f t="shared" si="29"/>
        <v>0.24715574735190268</v>
      </c>
      <c r="T153" s="34">
        <f t="shared" si="35"/>
        <v>44.556774513327618</v>
      </c>
      <c r="U153" s="34">
        <f t="shared" si="36"/>
        <v>38.798253026889945</v>
      </c>
      <c r="V153" s="34">
        <f t="shared" si="37"/>
        <v>30.021652444776333</v>
      </c>
      <c r="W153" s="34">
        <f t="shared" si="38"/>
        <v>31.180094528333719</v>
      </c>
      <c r="X153" s="34"/>
      <c r="Y153" s="11">
        <v>5.62E-2</v>
      </c>
      <c r="Z153" s="11">
        <v>1.1000000000000001E-3</v>
      </c>
      <c r="AA153" s="11">
        <v>3.0074000000000001</v>
      </c>
      <c r="AB153" s="11">
        <v>4.3299999999999998E-2</v>
      </c>
      <c r="AC153" s="11">
        <v>5.1400000000000001E-2</v>
      </c>
      <c r="AD153" s="11">
        <v>3.6700000000000003E-2</v>
      </c>
      <c r="AE153" s="11">
        <v>0.1928</v>
      </c>
      <c r="AF153" s="11">
        <v>0</v>
      </c>
      <c r="AG153" s="11">
        <v>2.3271999999999999</v>
      </c>
      <c r="AH153" s="11">
        <v>8.1100000000000005E-2</v>
      </c>
      <c r="AI153" s="11">
        <v>7.7839</v>
      </c>
      <c r="AJ153" s="11">
        <v>2.4169</v>
      </c>
      <c r="AK153" s="11">
        <v>1.47E-2</v>
      </c>
      <c r="AL153" s="11">
        <v>16.012699999999999</v>
      </c>
      <c r="AM153" s="11"/>
      <c r="AN153" s="33">
        <v>3.4306049822064058</v>
      </c>
    </row>
    <row r="154" spans="1:40" s="32" customFormat="1" x14ac:dyDescent="0.25">
      <c r="A154" s="11" t="s">
        <v>468</v>
      </c>
      <c r="B154" s="11">
        <v>0.47299999999999998</v>
      </c>
      <c r="C154" s="11">
        <v>0.03</v>
      </c>
      <c r="D154" s="11">
        <v>22.867999999999999</v>
      </c>
      <c r="E154" s="11">
        <v>0.24199999999999999</v>
      </c>
      <c r="F154" s="11">
        <v>0.16600000000000001</v>
      </c>
      <c r="G154" s="11">
        <v>0.24099999999999999</v>
      </c>
      <c r="H154" s="11">
        <v>0.94499999999999995</v>
      </c>
      <c r="I154" s="11">
        <v>0</v>
      </c>
      <c r="J154" s="11">
        <v>13.722</v>
      </c>
      <c r="K154" s="11">
        <v>0.59399999999999997</v>
      </c>
      <c r="L154" s="11">
        <v>49.811</v>
      </c>
      <c r="M154" s="11">
        <v>10.492000000000001</v>
      </c>
      <c r="N154" s="11">
        <v>0.29199999999999998</v>
      </c>
      <c r="O154" s="11">
        <v>99.876000000000005</v>
      </c>
      <c r="P154" s="11"/>
      <c r="Q154" s="34">
        <f t="shared" si="27"/>
        <v>0.31829633238221167</v>
      </c>
      <c r="R154" s="34">
        <f t="shared" si="28"/>
        <v>0.26031509738245878</v>
      </c>
      <c r="S154" s="34">
        <f t="shared" si="29"/>
        <v>0.24469488926138591</v>
      </c>
      <c r="T154" s="34">
        <f t="shared" si="35"/>
        <v>44.989622394485473</v>
      </c>
      <c r="U154" s="34">
        <f t="shared" si="36"/>
        <v>38.660742062413114</v>
      </c>
      <c r="V154" s="34">
        <f t="shared" si="37"/>
        <v>29.721002208613157</v>
      </c>
      <c r="W154" s="34">
        <f t="shared" si="38"/>
        <v>31.618255728973725</v>
      </c>
      <c r="X154" s="34"/>
      <c r="Y154" s="11">
        <v>5.5800000000000002E-2</v>
      </c>
      <c r="Z154" s="11">
        <v>3.8E-3</v>
      </c>
      <c r="AA154" s="11">
        <v>2.9963000000000002</v>
      </c>
      <c r="AB154" s="11">
        <v>2.9899999999999999E-2</v>
      </c>
      <c r="AC154" s="11">
        <v>5.0500000000000003E-2</v>
      </c>
      <c r="AD154" s="11">
        <v>3.2000000000000001E-2</v>
      </c>
      <c r="AE154" s="11">
        <v>0.1744</v>
      </c>
      <c r="AF154" s="11">
        <v>0</v>
      </c>
      <c r="AG154" s="11">
        <v>2.3035000000000001</v>
      </c>
      <c r="AH154" s="11">
        <v>7.8899999999999998E-2</v>
      </c>
      <c r="AI154" s="11">
        <v>7.8037000000000001</v>
      </c>
      <c r="AJ154" s="11">
        <v>2.4502999999999999</v>
      </c>
      <c r="AK154" s="11">
        <v>3.6600000000000001E-2</v>
      </c>
      <c r="AL154" s="11">
        <v>16.015699999999999</v>
      </c>
      <c r="AM154" s="11"/>
      <c r="AN154" s="33">
        <v>3.1254480286738349</v>
      </c>
    </row>
    <row r="155" spans="1:40" s="32" customFormat="1" x14ac:dyDescent="0.25">
      <c r="A155" s="11" t="s">
        <v>206</v>
      </c>
      <c r="B155" s="11">
        <v>0.43099999999999999</v>
      </c>
      <c r="C155" s="11">
        <v>0</v>
      </c>
      <c r="D155" s="11">
        <v>23.489000000000001</v>
      </c>
      <c r="E155" s="11">
        <v>0.27700000000000002</v>
      </c>
      <c r="F155" s="11">
        <v>0.17499999999999999</v>
      </c>
      <c r="G155" s="11">
        <v>0.29499999999999998</v>
      </c>
      <c r="H155" s="11">
        <v>1.1140000000000001</v>
      </c>
      <c r="I155" s="11">
        <v>6.4000000000000001E-2</v>
      </c>
      <c r="J155" s="11">
        <v>13.223000000000001</v>
      </c>
      <c r="K155" s="11">
        <v>0.57199999999999995</v>
      </c>
      <c r="L155" s="11">
        <v>49.421999999999997</v>
      </c>
      <c r="M155" s="11">
        <v>10.097</v>
      </c>
      <c r="N155" s="11">
        <v>0.14799999999999999</v>
      </c>
      <c r="O155" s="11">
        <v>99.307000000000002</v>
      </c>
      <c r="P155" s="11"/>
      <c r="Q155" s="34">
        <f t="shared" si="27"/>
        <v>0.32693994014893174</v>
      </c>
      <c r="R155" s="34">
        <f t="shared" si="28"/>
        <v>0.25051482446346607</v>
      </c>
      <c r="S155" s="34">
        <f t="shared" si="29"/>
        <v>0.23579656906451729</v>
      </c>
      <c r="T155" s="34">
        <f t="shared" si="35"/>
        <v>43.38258852736594</v>
      </c>
      <c r="U155" s="34">
        <f t="shared" si="36"/>
        <v>40.201586718678165</v>
      </c>
      <c r="V155" s="34">
        <f t="shared" si="37"/>
        <v>28.994304626396534</v>
      </c>
      <c r="W155" s="34">
        <f t="shared" si="38"/>
        <v>30.804108654925304</v>
      </c>
      <c r="X155" s="34"/>
      <c r="Y155" s="11">
        <v>5.1200000000000002E-2</v>
      </c>
      <c r="Z155" s="11">
        <v>0</v>
      </c>
      <c r="AA155" s="11">
        <v>3.0998999999999999</v>
      </c>
      <c r="AB155" s="11">
        <v>3.4599999999999999E-2</v>
      </c>
      <c r="AC155" s="11">
        <v>5.3600000000000002E-2</v>
      </c>
      <c r="AD155" s="11">
        <v>3.9399999999999998E-2</v>
      </c>
      <c r="AE155" s="11">
        <v>0.2072</v>
      </c>
      <c r="AF155" s="11">
        <v>1.29E-2</v>
      </c>
      <c r="AG155" s="11">
        <v>2.2357999999999998</v>
      </c>
      <c r="AH155" s="11">
        <v>7.6399999999999996E-2</v>
      </c>
      <c r="AI155" s="11">
        <v>7.7988</v>
      </c>
      <c r="AJ155" s="11">
        <v>2.3751000000000002</v>
      </c>
      <c r="AK155" s="11">
        <v>1.8700000000000001E-2</v>
      </c>
      <c r="AL155" s="11">
        <v>16.003599999999999</v>
      </c>
      <c r="AM155" s="11"/>
      <c r="AN155" s="33">
        <v>4.046875</v>
      </c>
    </row>
    <row r="156" spans="1:40" s="32" customFormat="1" x14ac:dyDescent="0.25">
      <c r="A156" s="11" t="s">
        <v>172</v>
      </c>
      <c r="B156" s="11">
        <v>0.65900000000000003</v>
      </c>
      <c r="C156" s="11">
        <v>0</v>
      </c>
      <c r="D156" s="11">
        <v>28.408000000000001</v>
      </c>
      <c r="E156" s="11">
        <v>8.5000000000000006E-2</v>
      </c>
      <c r="F156" s="11">
        <v>0.13400000000000001</v>
      </c>
      <c r="G156" s="11">
        <v>0.124</v>
      </c>
      <c r="H156" s="11">
        <v>0.86399999999999999</v>
      </c>
      <c r="I156" s="11">
        <v>0</v>
      </c>
      <c r="J156" s="11">
        <v>12.134</v>
      </c>
      <c r="K156" s="11">
        <v>0.69199999999999995</v>
      </c>
      <c r="L156" s="11">
        <v>48.744999999999997</v>
      </c>
      <c r="M156" s="11">
        <v>7.9489999999999998</v>
      </c>
      <c r="N156" s="11">
        <v>0</v>
      </c>
      <c r="O156" s="11">
        <v>99.793999999999997</v>
      </c>
      <c r="P156" s="11"/>
      <c r="Q156" s="34">
        <f t="shared" si="27"/>
        <v>0.39540677848145317</v>
      </c>
      <c r="R156" s="34">
        <f t="shared" si="28"/>
        <v>0.19722118843815903</v>
      </c>
      <c r="S156" s="34">
        <f t="shared" si="29"/>
        <v>0.21637718891543919</v>
      </c>
      <c r="T156" s="34">
        <f t="shared" si="35"/>
        <v>33.279088981116438</v>
      </c>
      <c r="U156" s="34">
        <f t="shared" si="36"/>
        <v>48.875680906299799</v>
      </c>
      <c r="V156" s="34">
        <f t="shared" si="37"/>
        <v>26.746082809830263</v>
      </c>
      <c r="W156" s="34">
        <f t="shared" si="38"/>
        <v>24.378236283869935</v>
      </c>
      <c r="X156" s="34"/>
      <c r="Y156" s="11">
        <v>7.9399999999999998E-2</v>
      </c>
      <c r="Z156" s="11">
        <v>0</v>
      </c>
      <c r="AA156" s="11">
        <v>3.8090999999999999</v>
      </c>
      <c r="AB156" s="11">
        <v>1.0699999999999999E-2</v>
      </c>
      <c r="AC156" s="11">
        <v>4.1799999999999997E-2</v>
      </c>
      <c r="AD156" s="11">
        <v>1.6799999999999999E-2</v>
      </c>
      <c r="AE156" s="11">
        <v>0.1633</v>
      </c>
      <c r="AF156" s="11">
        <v>0</v>
      </c>
      <c r="AG156" s="11">
        <v>2.0844</v>
      </c>
      <c r="AH156" s="11">
        <v>9.4E-2</v>
      </c>
      <c r="AI156" s="11">
        <v>7.8150000000000004</v>
      </c>
      <c r="AJ156" s="11">
        <v>1.8996999999999999</v>
      </c>
      <c r="AK156" s="11">
        <v>0</v>
      </c>
      <c r="AL156" s="11">
        <v>16.014199999999999</v>
      </c>
      <c r="AM156" s="11"/>
      <c r="AN156" s="33">
        <v>2.0566750629722921</v>
      </c>
    </row>
    <row r="157" spans="1:40" s="32" customFormat="1" x14ac:dyDescent="0.25">
      <c r="A157" s="11" t="s">
        <v>126</v>
      </c>
      <c r="B157" s="11">
        <v>0.55500000000000005</v>
      </c>
      <c r="C157" s="11">
        <v>0</v>
      </c>
      <c r="D157" s="11">
        <v>30.01</v>
      </c>
      <c r="E157" s="11">
        <v>4.7E-2</v>
      </c>
      <c r="F157" s="11">
        <v>0.123</v>
      </c>
      <c r="G157" s="11">
        <v>0</v>
      </c>
      <c r="H157" s="11">
        <v>0.67200000000000004</v>
      </c>
      <c r="I157" s="11">
        <v>6.0000000000000001E-3</v>
      </c>
      <c r="J157" s="11">
        <v>11.763999999999999</v>
      </c>
      <c r="K157" s="11">
        <v>0.68600000000000005</v>
      </c>
      <c r="L157" s="11">
        <v>48.743000000000002</v>
      </c>
      <c r="M157" s="11">
        <v>7.1349999999999998</v>
      </c>
      <c r="N157" s="11">
        <v>0.61199999999999999</v>
      </c>
      <c r="O157" s="11">
        <v>100.35299999999999</v>
      </c>
      <c r="P157" s="11"/>
      <c r="Q157" s="34">
        <f t="shared" si="27"/>
        <v>0.41770478112603526</v>
      </c>
      <c r="R157" s="34">
        <f t="shared" si="28"/>
        <v>0.17702518297977918</v>
      </c>
      <c r="S157" s="34">
        <f t="shared" si="29"/>
        <v>0.2097792360640536</v>
      </c>
      <c r="T157" s="34">
        <f t="shared" si="35"/>
        <v>29.765640486256515</v>
      </c>
      <c r="U157" s="34">
        <f t="shared" si="36"/>
        <v>51.920448024440127</v>
      </c>
      <c r="V157" s="34">
        <f t="shared" si="37"/>
        <v>26.07543033936216</v>
      </c>
      <c r="W157" s="34">
        <f t="shared" si="38"/>
        <v>22.00412163619772</v>
      </c>
      <c r="X157" s="34"/>
      <c r="Y157" s="11">
        <v>6.7199999999999996E-2</v>
      </c>
      <c r="Z157" s="11">
        <v>0</v>
      </c>
      <c r="AA157" s="11">
        <v>4.04</v>
      </c>
      <c r="AB157" s="11">
        <v>6.0000000000000001E-3</v>
      </c>
      <c r="AC157" s="11">
        <v>3.8399999999999997E-2</v>
      </c>
      <c r="AD157" s="11">
        <v>0</v>
      </c>
      <c r="AE157" s="11">
        <v>0.12759999999999999</v>
      </c>
      <c r="AF157" s="11">
        <v>1.1999999999999999E-3</v>
      </c>
      <c r="AG157" s="11">
        <v>2.0289999999999999</v>
      </c>
      <c r="AH157" s="11">
        <v>9.35E-2</v>
      </c>
      <c r="AI157" s="11">
        <v>7.8460000000000001</v>
      </c>
      <c r="AJ157" s="11">
        <v>1.712</v>
      </c>
      <c r="AK157" s="11">
        <v>7.9000000000000001E-2</v>
      </c>
      <c r="AL157" s="11">
        <v>16.039899999999999</v>
      </c>
      <c r="AM157" s="11"/>
      <c r="AN157" s="33">
        <v>1.8988095238095237</v>
      </c>
    </row>
    <row r="158" spans="1:40" s="32" customFormat="1" x14ac:dyDescent="0.25">
      <c r="A158" s="11" t="s">
        <v>28</v>
      </c>
      <c r="B158" s="11">
        <v>0.53800000000000003</v>
      </c>
      <c r="C158" s="11">
        <v>0</v>
      </c>
      <c r="D158" s="11">
        <v>34.531999999999996</v>
      </c>
      <c r="E158" s="11">
        <v>0.03</v>
      </c>
      <c r="F158" s="11">
        <v>0.12</v>
      </c>
      <c r="G158" s="11">
        <v>2.4E-2</v>
      </c>
      <c r="H158" s="11">
        <v>0.92600000000000005</v>
      </c>
      <c r="I158" s="11">
        <v>6.0000000000000001E-3</v>
      </c>
      <c r="J158" s="11">
        <v>11.696999999999999</v>
      </c>
      <c r="K158" s="11">
        <v>0.86399999999999999</v>
      </c>
      <c r="L158" s="11">
        <v>47.462000000000003</v>
      </c>
      <c r="M158" s="11">
        <v>4.5220000000000002</v>
      </c>
      <c r="N158" s="11">
        <v>0</v>
      </c>
      <c r="O158" s="11">
        <v>100.721</v>
      </c>
      <c r="P158" s="11"/>
      <c r="Q158" s="34">
        <f t="shared" si="27"/>
        <v>0.48064583478321382</v>
      </c>
      <c r="R158" s="34">
        <f t="shared" si="28"/>
        <v>0.11219451680932888</v>
      </c>
      <c r="S158" s="34">
        <f t="shared" si="29"/>
        <v>0.20858447162880273</v>
      </c>
      <c r="T158" s="34">
        <f t="shared" si="35"/>
        <v>18.924912332290063</v>
      </c>
      <c r="U158" s="34">
        <f t="shared" si="36"/>
        <v>59.973914066106268</v>
      </c>
      <c r="V158" s="34">
        <f t="shared" si="37"/>
        <v>26.02670463717266</v>
      </c>
      <c r="W158" s="34">
        <f t="shared" si="38"/>
        <v>13.999381296721063</v>
      </c>
      <c r="X158" s="34"/>
      <c r="Y158" s="11">
        <v>6.6299999999999998E-2</v>
      </c>
      <c r="Z158" s="11">
        <v>0</v>
      </c>
      <c r="AA158" s="11">
        <v>4.7324000000000002</v>
      </c>
      <c r="AB158" s="11">
        <v>3.8E-3</v>
      </c>
      <c r="AC158" s="11">
        <v>3.7999999999999999E-2</v>
      </c>
      <c r="AD158" s="11">
        <v>3.3999999999999998E-3</v>
      </c>
      <c r="AE158" s="11">
        <v>0.17879999999999999</v>
      </c>
      <c r="AF158" s="11">
        <v>1.2999999999999999E-3</v>
      </c>
      <c r="AG158" s="11">
        <v>2.0539000000000001</v>
      </c>
      <c r="AH158" s="11">
        <v>0.11990000000000001</v>
      </c>
      <c r="AI158" s="11">
        <v>7.7773000000000003</v>
      </c>
      <c r="AJ158" s="11">
        <v>1.1045</v>
      </c>
      <c r="AK158" s="11">
        <v>0</v>
      </c>
      <c r="AL158" s="11">
        <v>16.079599999999999</v>
      </c>
      <c r="AM158" s="11"/>
      <c r="AN158" s="33">
        <v>2.6968325791855201</v>
      </c>
    </row>
    <row r="159" spans="1:40" s="32" customFormat="1" x14ac:dyDescent="0.25">
      <c r="A159" s="11" t="s">
        <v>207</v>
      </c>
      <c r="B159" s="11">
        <v>0.56999999999999995</v>
      </c>
      <c r="C159" s="11">
        <v>0</v>
      </c>
      <c r="D159" s="11">
        <v>29.097999999999999</v>
      </c>
      <c r="E159" s="11">
        <v>3.9E-2</v>
      </c>
      <c r="F159" s="11">
        <v>0.11</v>
      </c>
      <c r="G159" s="11">
        <v>0.19400000000000001</v>
      </c>
      <c r="H159" s="11">
        <v>0.59099999999999997</v>
      </c>
      <c r="I159" s="11">
        <v>0</v>
      </c>
      <c r="J159" s="11">
        <v>11.554</v>
      </c>
      <c r="K159" s="11">
        <v>0.71799999999999997</v>
      </c>
      <c r="L159" s="11">
        <v>48.523000000000003</v>
      </c>
      <c r="M159" s="11">
        <v>7.9340000000000002</v>
      </c>
      <c r="N159" s="11">
        <v>0</v>
      </c>
      <c r="O159" s="11">
        <v>99.331000000000003</v>
      </c>
      <c r="P159" s="11"/>
      <c r="Q159" s="34">
        <f t="shared" si="27"/>
        <v>0.40501078711114202</v>
      </c>
      <c r="R159" s="34">
        <f t="shared" si="28"/>
        <v>0.19684902617541247</v>
      </c>
      <c r="S159" s="34">
        <f t="shared" si="29"/>
        <v>0.20603445201326723</v>
      </c>
      <c r="T159" s="34">
        <f t="shared" si="35"/>
        <v>32.706790157742219</v>
      </c>
      <c r="U159" s="34">
        <f t="shared" si="36"/>
        <v>50.13165763230618</v>
      </c>
      <c r="V159" s="34">
        <f t="shared" si="37"/>
        <v>25.502650639165601</v>
      </c>
      <c r="W159" s="34">
        <f t="shared" si="38"/>
        <v>24.365691728528219</v>
      </c>
      <c r="X159" s="34"/>
      <c r="Y159" s="11">
        <v>6.9199999999999998E-2</v>
      </c>
      <c r="Z159" s="11">
        <v>0</v>
      </c>
      <c r="AA159" s="11">
        <v>3.9285999999999999</v>
      </c>
      <c r="AB159" s="11">
        <v>5.0000000000000001E-3</v>
      </c>
      <c r="AC159" s="11">
        <v>3.4299999999999997E-2</v>
      </c>
      <c r="AD159" s="11">
        <v>2.6499999999999999E-2</v>
      </c>
      <c r="AE159" s="11">
        <v>0.1125</v>
      </c>
      <c r="AF159" s="11">
        <v>1E-4</v>
      </c>
      <c r="AG159" s="11">
        <v>1.9985999999999999</v>
      </c>
      <c r="AH159" s="11">
        <v>9.8100000000000007E-2</v>
      </c>
      <c r="AI159" s="11">
        <v>7.8334999999999999</v>
      </c>
      <c r="AJ159" s="11">
        <v>1.9094</v>
      </c>
      <c r="AK159" s="11">
        <v>0</v>
      </c>
      <c r="AL159" s="11">
        <v>16.015799999999999</v>
      </c>
      <c r="AM159" s="11"/>
      <c r="AN159" s="33">
        <v>1.6257225433526012</v>
      </c>
    </row>
    <row r="160" spans="1:40" s="32" customFormat="1" x14ac:dyDescent="0.25">
      <c r="A160" s="11" t="s">
        <v>182</v>
      </c>
      <c r="B160" s="11">
        <v>0.59299999999999997</v>
      </c>
      <c r="C160" s="11">
        <v>0</v>
      </c>
      <c r="D160" s="11">
        <v>32.783999999999999</v>
      </c>
      <c r="E160" s="11">
        <v>1.6E-2</v>
      </c>
      <c r="F160" s="11">
        <v>8.1000000000000003E-2</v>
      </c>
      <c r="G160" s="11">
        <v>0.20899999999999999</v>
      </c>
      <c r="H160" s="11">
        <v>0.628</v>
      </c>
      <c r="I160" s="11">
        <v>6.0000000000000001E-3</v>
      </c>
      <c r="J160" s="11">
        <v>11.151999999999999</v>
      </c>
      <c r="K160" s="11">
        <v>0.79</v>
      </c>
      <c r="L160" s="11">
        <v>47.648000000000003</v>
      </c>
      <c r="M160" s="11">
        <v>5.2460000000000004</v>
      </c>
      <c r="N160" s="11">
        <v>0.126</v>
      </c>
      <c r="O160" s="11">
        <v>99.278999999999996</v>
      </c>
      <c r="P160" s="11"/>
      <c r="Q160" s="34">
        <f t="shared" si="27"/>
        <v>0.45631567958800195</v>
      </c>
      <c r="R160" s="34">
        <f t="shared" si="28"/>
        <v>0.13015754869122939</v>
      </c>
      <c r="S160" s="34">
        <f t="shared" si="29"/>
        <v>0.19886586540176182</v>
      </c>
      <c r="T160" s="34">
        <f t="shared" si="35"/>
        <v>22.193263462873507</v>
      </c>
      <c r="U160" s="34">
        <f t="shared" si="36"/>
        <v>58.104286830951857</v>
      </c>
      <c r="V160" s="34">
        <f t="shared" si="37"/>
        <v>25.322292879837416</v>
      </c>
      <c r="W160" s="34">
        <f t="shared" si="38"/>
        <v>16.573420289210731</v>
      </c>
      <c r="X160" s="34"/>
      <c r="Y160" s="11">
        <v>7.3499999999999996E-2</v>
      </c>
      <c r="Z160" s="11">
        <v>0</v>
      </c>
      <c r="AA160" s="11">
        <v>4.5133000000000001</v>
      </c>
      <c r="AB160" s="11">
        <v>2E-3</v>
      </c>
      <c r="AC160" s="11">
        <v>2.58E-2</v>
      </c>
      <c r="AD160" s="11">
        <v>2.9100000000000001E-2</v>
      </c>
      <c r="AE160" s="11">
        <v>0.12189999999999999</v>
      </c>
      <c r="AF160" s="11">
        <v>1.2999999999999999E-3</v>
      </c>
      <c r="AG160" s="11">
        <v>1.9670000000000001</v>
      </c>
      <c r="AH160" s="11">
        <v>0.1101</v>
      </c>
      <c r="AI160" s="11">
        <v>7.8432000000000004</v>
      </c>
      <c r="AJ160" s="11">
        <v>1.2874000000000001</v>
      </c>
      <c r="AK160" s="11">
        <v>1.67E-2</v>
      </c>
      <c r="AL160" s="11">
        <v>15.991300000000001</v>
      </c>
      <c r="AM160" s="11"/>
      <c r="AN160" s="33">
        <v>1.6585034013605442</v>
      </c>
    </row>
    <row r="161" spans="1:40" s="32" customFormat="1" x14ac:dyDescent="0.25">
      <c r="A161" s="11" t="s">
        <v>132</v>
      </c>
      <c r="B161" s="11">
        <v>0.66800000000000004</v>
      </c>
      <c r="C161" s="11">
        <v>0.03</v>
      </c>
      <c r="D161" s="11">
        <v>29.228999999999999</v>
      </c>
      <c r="E161" s="11">
        <v>2E-3</v>
      </c>
      <c r="F161" s="11">
        <v>0.11600000000000001</v>
      </c>
      <c r="G161" s="11">
        <v>0.16300000000000001</v>
      </c>
      <c r="H161" s="11">
        <v>0.73699999999999999</v>
      </c>
      <c r="I161" s="11">
        <v>0</v>
      </c>
      <c r="J161" s="11">
        <v>11.329000000000001</v>
      </c>
      <c r="K161" s="11">
        <v>0.66600000000000004</v>
      </c>
      <c r="L161" s="11">
        <v>48.552999999999997</v>
      </c>
      <c r="M161" s="11">
        <v>7.81</v>
      </c>
      <c r="N161" s="11">
        <v>0</v>
      </c>
      <c r="O161" s="11">
        <v>99.302999999999997</v>
      </c>
      <c r="P161" s="11"/>
      <c r="Q161" s="34">
        <f t="shared" si="27"/>
        <v>0.40683415686547431</v>
      </c>
      <c r="R161" s="34">
        <f t="shared" si="28"/>
        <v>0.19377248480337425</v>
      </c>
      <c r="S161" s="34">
        <f t="shared" si="29"/>
        <v>0.20202218338742467</v>
      </c>
      <c r="T161" s="34">
        <f t="shared" si="35"/>
        <v>32.26279420836191</v>
      </c>
      <c r="U161" s="34">
        <f t="shared" si="36"/>
        <v>50.687708211445148</v>
      </c>
      <c r="V161" s="34">
        <f t="shared" si="37"/>
        <v>25.170063307066087</v>
      </c>
      <c r="W161" s="34">
        <f t="shared" si="38"/>
        <v>24.142228481488772</v>
      </c>
      <c r="X161" s="34"/>
      <c r="Y161" s="11">
        <v>8.1100000000000005E-2</v>
      </c>
      <c r="Z161" s="11">
        <v>3.8999999999999998E-3</v>
      </c>
      <c r="AA161" s="11">
        <v>3.9457</v>
      </c>
      <c r="AB161" s="11">
        <v>2.0000000000000001E-4</v>
      </c>
      <c r="AC161" s="11">
        <v>3.6400000000000002E-2</v>
      </c>
      <c r="AD161" s="11">
        <v>2.23E-2</v>
      </c>
      <c r="AE161" s="11">
        <v>0.14019999999999999</v>
      </c>
      <c r="AF161" s="11">
        <v>0</v>
      </c>
      <c r="AG161" s="11">
        <v>1.9594</v>
      </c>
      <c r="AH161" s="11">
        <v>9.11E-2</v>
      </c>
      <c r="AI161" s="11">
        <v>7.8371000000000004</v>
      </c>
      <c r="AJ161" s="11">
        <v>1.8791</v>
      </c>
      <c r="AK161" s="11">
        <v>0</v>
      </c>
      <c r="AL161" s="11">
        <v>15.996499999999999</v>
      </c>
      <c r="AM161" s="11"/>
      <c r="AN161" s="33">
        <v>1.728729963008631</v>
      </c>
    </row>
    <row r="162" spans="1:40" s="32" customFormat="1" x14ac:dyDescent="0.25">
      <c r="A162" s="11" t="s">
        <v>469</v>
      </c>
      <c r="B162" s="11">
        <v>0.51200000000000001</v>
      </c>
      <c r="C162" s="11">
        <v>1.9E-2</v>
      </c>
      <c r="D162" s="11">
        <v>27.77</v>
      </c>
      <c r="E162" s="11">
        <v>0.16400000000000001</v>
      </c>
      <c r="F162" s="11">
        <v>0.115</v>
      </c>
      <c r="G162" s="11">
        <v>1.212</v>
      </c>
      <c r="H162" s="11">
        <v>1.244</v>
      </c>
      <c r="I162" s="11">
        <v>0</v>
      </c>
      <c r="J162" s="11">
        <v>11.348000000000001</v>
      </c>
      <c r="K162" s="11">
        <v>0.79500000000000004</v>
      </c>
      <c r="L162" s="11">
        <v>47.304000000000002</v>
      </c>
      <c r="M162" s="11">
        <v>8.968</v>
      </c>
      <c r="N162" s="11">
        <v>0.18099999999999999</v>
      </c>
      <c r="O162" s="11">
        <v>99.632000000000005</v>
      </c>
      <c r="P162" s="11"/>
      <c r="Q162" s="34">
        <f t="shared" si="27"/>
        <v>0.38652655021226251</v>
      </c>
      <c r="R162" s="34">
        <f t="shared" si="28"/>
        <v>0.22250341148740851</v>
      </c>
      <c r="S162" s="34">
        <f t="shared" si="29"/>
        <v>0.20236099718249581</v>
      </c>
      <c r="T162" s="34">
        <f t="shared" si="35"/>
        <v>36.53406654517449</v>
      </c>
      <c r="U162" s="34">
        <f t="shared" si="36"/>
        <v>47.637522452156794</v>
      </c>
      <c r="V162" s="34">
        <f t="shared" si="37"/>
        <v>24.94001134314875</v>
      </c>
      <c r="W162" s="34">
        <f t="shared" si="38"/>
        <v>27.422466204694455</v>
      </c>
      <c r="X162" s="34"/>
      <c r="Y162" s="11">
        <v>6.1600000000000002E-2</v>
      </c>
      <c r="Z162" s="11">
        <v>2.3999999999999998E-3</v>
      </c>
      <c r="AA162" s="11">
        <v>3.7151000000000001</v>
      </c>
      <c r="AB162" s="11">
        <v>2.07E-2</v>
      </c>
      <c r="AC162" s="11">
        <v>3.5700000000000003E-2</v>
      </c>
      <c r="AD162" s="11">
        <v>0.16420000000000001</v>
      </c>
      <c r="AE162" s="11">
        <v>0.2346</v>
      </c>
      <c r="AF162" s="11">
        <v>0</v>
      </c>
      <c r="AG162" s="11">
        <v>1.9450000000000001</v>
      </c>
      <c r="AH162" s="11">
        <v>0.1077</v>
      </c>
      <c r="AI162" s="11">
        <v>7.5667999999999997</v>
      </c>
      <c r="AJ162" s="11">
        <v>2.1385000000000001</v>
      </c>
      <c r="AK162" s="11">
        <v>2.3199999999999998E-2</v>
      </c>
      <c r="AL162" s="11">
        <v>16.015499999999999</v>
      </c>
      <c r="AM162" s="11"/>
      <c r="AN162" s="33">
        <v>3.8084415584415585</v>
      </c>
    </row>
    <row r="163" spans="1:40" s="32" customFormat="1" x14ac:dyDescent="0.25">
      <c r="A163" s="11" t="s">
        <v>187</v>
      </c>
      <c r="B163" s="11">
        <v>0.52800000000000002</v>
      </c>
      <c r="C163" s="11">
        <v>2.9000000000000001E-2</v>
      </c>
      <c r="D163" s="11">
        <v>29.69</v>
      </c>
      <c r="E163" s="11">
        <v>2.4E-2</v>
      </c>
      <c r="F163" s="11">
        <v>0.109</v>
      </c>
      <c r="G163" s="11">
        <v>0.18099999999999999</v>
      </c>
      <c r="H163" s="11">
        <v>0.71</v>
      </c>
      <c r="I163" s="11">
        <v>5.0000000000000001E-3</v>
      </c>
      <c r="J163" s="11">
        <v>10.513</v>
      </c>
      <c r="K163" s="11">
        <v>0.71499999999999997</v>
      </c>
      <c r="L163" s="11">
        <v>48.674999999999997</v>
      </c>
      <c r="M163" s="11">
        <v>8.3870000000000005</v>
      </c>
      <c r="N163" s="11">
        <v>0.152</v>
      </c>
      <c r="O163" s="11">
        <v>99.718000000000004</v>
      </c>
      <c r="P163" s="11"/>
      <c r="Q163" s="34">
        <f t="shared" si="27"/>
        <v>0.41325074813835344</v>
      </c>
      <c r="R163" s="34">
        <f t="shared" si="28"/>
        <v>0.20808832651035852</v>
      </c>
      <c r="S163" s="34">
        <f t="shared" si="29"/>
        <v>0.18747102250436889</v>
      </c>
      <c r="T163" s="34">
        <f t="shared" si="35"/>
        <v>33.490301028952018</v>
      </c>
      <c r="U163" s="34">
        <f t="shared" si="36"/>
        <v>51.093668290362459</v>
      </c>
      <c r="V163" s="34">
        <f t="shared" si="37"/>
        <v>23.178620440601012</v>
      </c>
      <c r="W163" s="34">
        <f t="shared" si="38"/>
        <v>25.727711269036536</v>
      </c>
      <c r="X163" s="34"/>
      <c r="Y163" s="11">
        <v>6.3899999999999998E-2</v>
      </c>
      <c r="Z163" s="11">
        <v>3.7000000000000002E-3</v>
      </c>
      <c r="AA163" s="11">
        <v>3.9923000000000002</v>
      </c>
      <c r="AB163" s="11">
        <v>3.0999999999999999E-3</v>
      </c>
      <c r="AC163" s="11">
        <v>3.4000000000000002E-2</v>
      </c>
      <c r="AD163" s="11">
        <v>2.47E-2</v>
      </c>
      <c r="AE163" s="11">
        <v>0.1346</v>
      </c>
      <c r="AF163" s="11">
        <v>1E-3</v>
      </c>
      <c r="AG163" s="11">
        <v>1.8110999999999999</v>
      </c>
      <c r="AH163" s="11">
        <v>9.74E-2</v>
      </c>
      <c r="AI163" s="11">
        <v>7.8261000000000003</v>
      </c>
      <c r="AJ163" s="11">
        <v>2.0101</v>
      </c>
      <c r="AK163" s="11">
        <v>1.9599999999999999E-2</v>
      </c>
      <c r="AL163" s="11">
        <v>16.021599999999999</v>
      </c>
      <c r="AM163" s="11"/>
      <c r="AN163" s="33">
        <v>2.1064162754303601</v>
      </c>
    </row>
    <row r="164" spans="1:40" s="32" customFormat="1" x14ac:dyDescent="0.25">
      <c r="A164" s="11" t="s">
        <v>470</v>
      </c>
      <c r="B164" s="11">
        <v>0.64700000000000002</v>
      </c>
      <c r="C164" s="11">
        <v>0</v>
      </c>
      <c r="D164" s="11">
        <v>32.564999999999998</v>
      </c>
      <c r="E164" s="11">
        <v>2.4E-2</v>
      </c>
      <c r="F164" s="11">
        <v>0.11</v>
      </c>
      <c r="G164" s="11">
        <v>0</v>
      </c>
      <c r="H164" s="11">
        <v>0.63100000000000001</v>
      </c>
      <c r="I164" s="11">
        <v>0</v>
      </c>
      <c r="J164" s="11">
        <v>10.303000000000001</v>
      </c>
      <c r="K164" s="11">
        <v>0.81399999999999995</v>
      </c>
      <c r="L164" s="11">
        <v>48.186999999999998</v>
      </c>
      <c r="M164" s="11">
        <v>6.57</v>
      </c>
      <c r="N164" s="11">
        <v>0.438</v>
      </c>
      <c r="O164" s="11">
        <v>100.289</v>
      </c>
      <c r="P164" s="11"/>
      <c r="Q164" s="34">
        <f t="shared" si="27"/>
        <v>0.45326745076205716</v>
      </c>
      <c r="R164" s="34">
        <f t="shared" si="28"/>
        <v>0.1630070710829922</v>
      </c>
      <c r="S164" s="34">
        <f t="shared" si="29"/>
        <v>0.18372623845358252</v>
      </c>
      <c r="T164" s="34">
        <f t="shared" si="35"/>
        <v>26.450399181677881</v>
      </c>
      <c r="U164" s="34">
        <f t="shared" si="36"/>
        <v>56.658377498648527</v>
      </c>
      <c r="V164" s="34">
        <f t="shared" si="37"/>
        <v>22.96575798065485</v>
      </c>
      <c r="W164" s="34">
        <f t="shared" si="38"/>
        <v>20.375864520696627</v>
      </c>
      <c r="X164" s="34"/>
      <c r="Y164" s="11">
        <v>7.9000000000000001E-2</v>
      </c>
      <c r="Z164" s="11">
        <v>0</v>
      </c>
      <c r="AA164" s="11">
        <v>4.4252000000000002</v>
      </c>
      <c r="AB164" s="11">
        <v>3.0999999999999999E-3</v>
      </c>
      <c r="AC164" s="11">
        <v>3.4799999999999998E-2</v>
      </c>
      <c r="AD164" s="11">
        <v>0</v>
      </c>
      <c r="AE164" s="11">
        <v>0.12089999999999999</v>
      </c>
      <c r="AF164" s="11">
        <v>0</v>
      </c>
      <c r="AG164" s="11">
        <v>1.7938000000000001</v>
      </c>
      <c r="AH164" s="11">
        <v>0.112</v>
      </c>
      <c r="AI164" s="11">
        <v>7.8296000000000001</v>
      </c>
      <c r="AJ164" s="11">
        <v>1.5911999999999999</v>
      </c>
      <c r="AK164" s="11">
        <v>5.7099999999999998E-2</v>
      </c>
      <c r="AL164" s="11">
        <v>16.046700000000001</v>
      </c>
      <c r="AM164" s="11"/>
      <c r="AN164" s="33">
        <v>1.530379746835443</v>
      </c>
    </row>
    <row r="165" spans="1:40" s="32" customFormat="1" x14ac:dyDescent="0.25">
      <c r="A165" s="11" t="s">
        <v>196</v>
      </c>
      <c r="B165" s="11">
        <v>0.55900000000000005</v>
      </c>
      <c r="C165" s="11">
        <v>0</v>
      </c>
      <c r="D165" s="11">
        <v>30.283999999999999</v>
      </c>
      <c r="E165" s="11">
        <v>0.108</v>
      </c>
      <c r="F165" s="11">
        <v>0.11700000000000001</v>
      </c>
      <c r="G165" s="11">
        <v>0.15</v>
      </c>
      <c r="H165" s="11">
        <v>0.69299999999999995</v>
      </c>
      <c r="I165" s="11">
        <v>0</v>
      </c>
      <c r="J165" s="11">
        <v>9.9719999999999995</v>
      </c>
      <c r="K165" s="11">
        <v>0.77400000000000002</v>
      </c>
      <c r="L165" s="11">
        <v>48.13</v>
      </c>
      <c r="M165" s="11">
        <v>8.0640000000000001</v>
      </c>
      <c r="N165" s="11">
        <v>0.55000000000000004</v>
      </c>
      <c r="O165" s="11">
        <v>99.400999999999996</v>
      </c>
      <c r="P165" s="11"/>
      <c r="Q165" s="34">
        <f t="shared" si="27"/>
        <v>0.42151854687173779</v>
      </c>
      <c r="R165" s="34">
        <f t="shared" si="28"/>
        <v>0.20007443245254933</v>
      </c>
      <c r="S165" s="34">
        <f t="shared" si="29"/>
        <v>0.17782374549734298</v>
      </c>
      <c r="T165" s="34">
        <f t="shared" si="35"/>
        <v>32.187370048812895</v>
      </c>
      <c r="U165" s="34">
        <f t="shared" si="36"/>
        <v>52.728262217154523</v>
      </c>
      <c r="V165" s="34">
        <f t="shared" si="37"/>
        <v>22.244186289324869</v>
      </c>
      <c r="W165" s="34">
        <f t="shared" si="38"/>
        <v>25.027551493520594</v>
      </c>
      <c r="X165" s="34"/>
      <c r="Y165" s="11">
        <v>6.8199999999999997E-2</v>
      </c>
      <c r="Z165" s="11">
        <v>0</v>
      </c>
      <c r="AA165" s="11">
        <v>4.1067</v>
      </c>
      <c r="AB165" s="11">
        <v>1.38E-2</v>
      </c>
      <c r="AC165" s="11">
        <v>3.6799999999999999E-2</v>
      </c>
      <c r="AD165" s="11">
        <v>2.07E-2</v>
      </c>
      <c r="AE165" s="11">
        <v>0.13239999999999999</v>
      </c>
      <c r="AF165" s="11">
        <v>0</v>
      </c>
      <c r="AG165" s="11">
        <v>1.7324999999999999</v>
      </c>
      <c r="AH165" s="11">
        <v>0.10630000000000001</v>
      </c>
      <c r="AI165" s="11">
        <v>7.8041</v>
      </c>
      <c r="AJ165" s="11">
        <v>1.9492</v>
      </c>
      <c r="AK165" s="11">
        <v>7.1499999999999994E-2</v>
      </c>
      <c r="AL165" s="11">
        <v>16.042200000000001</v>
      </c>
      <c r="AM165" s="11"/>
      <c r="AN165" s="33">
        <v>1.9413489736070382</v>
      </c>
    </row>
    <row r="166" spans="1:40" s="32" customFormat="1" x14ac:dyDescent="0.25">
      <c r="A166" s="11" t="s">
        <v>471</v>
      </c>
      <c r="B166" s="11">
        <v>0.61199999999999999</v>
      </c>
      <c r="C166" s="11">
        <v>0</v>
      </c>
      <c r="D166" s="11">
        <v>31.172999999999998</v>
      </c>
      <c r="E166" s="11">
        <v>8.9999999999999993E-3</v>
      </c>
      <c r="F166" s="11">
        <v>0.13200000000000001</v>
      </c>
      <c r="G166" s="11">
        <v>0.13</v>
      </c>
      <c r="H166" s="11">
        <v>0.72099999999999997</v>
      </c>
      <c r="I166" s="11">
        <v>0</v>
      </c>
      <c r="J166" s="11">
        <v>9.6010000000000009</v>
      </c>
      <c r="K166" s="11">
        <v>0.83399999999999996</v>
      </c>
      <c r="L166" s="11">
        <v>48.768999999999998</v>
      </c>
      <c r="M166" s="11">
        <v>8.2439999999999998</v>
      </c>
      <c r="N166" s="11">
        <v>0</v>
      </c>
      <c r="O166" s="11">
        <v>100.22499999999999</v>
      </c>
      <c r="P166" s="11"/>
      <c r="Q166" s="34">
        <f t="shared" si="27"/>
        <v>0.43389240726564127</v>
      </c>
      <c r="R166" s="34">
        <f t="shared" si="28"/>
        <v>0.204540379605508</v>
      </c>
      <c r="S166" s="34">
        <f t="shared" si="29"/>
        <v>0.17120796034095367</v>
      </c>
      <c r="T166" s="34">
        <f t="shared" si="35"/>
        <v>32.037887748203801</v>
      </c>
      <c r="U166" s="34">
        <f t="shared" si="36"/>
        <v>53.590732526703441</v>
      </c>
      <c r="V166" s="34">
        <f t="shared" si="37"/>
        <v>21.146164015396579</v>
      </c>
      <c r="W166" s="34">
        <f t="shared" si="38"/>
        <v>25.263103457899984</v>
      </c>
      <c r="X166" s="34"/>
      <c r="Y166" s="11">
        <v>7.3899999999999993E-2</v>
      </c>
      <c r="Z166" s="11">
        <v>0</v>
      </c>
      <c r="AA166" s="11">
        <v>4.1852</v>
      </c>
      <c r="AB166" s="11">
        <v>1.1000000000000001E-3</v>
      </c>
      <c r="AC166" s="11">
        <v>4.1200000000000001E-2</v>
      </c>
      <c r="AD166" s="11">
        <v>1.77E-2</v>
      </c>
      <c r="AE166" s="11">
        <v>0.13639999999999999</v>
      </c>
      <c r="AF166" s="11">
        <v>0</v>
      </c>
      <c r="AG166" s="11">
        <v>1.6514</v>
      </c>
      <c r="AH166" s="11">
        <v>0.1134</v>
      </c>
      <c r="AI166" s="11">
        <v>7.8291000000000004</v>
      </c>
      <c r="AJ166" s="11">
        <v>1.9729000000000001</v>
      </c>
      <c r="AK166" s="11">
        <v>0</v>
      </c>
      <c r="AL166" s="11">
        <v>16.022300000000001</v>
      </c>
      <c r="AM166" s="11"/>
      <c r="AN166" s="33">
        <v>1.8457374830852504</v>
      </c>
    </row>
    <row r="167" spans="1:40" s="32" customFormat="1" x14ac:dyDescent="0.25">
      <c r="A167" s="11" t="s">
        <v>485</v>
      </c>
      <c r="B167" s="11">
        <v>0.59699999999999998</v>
      </c>
      <c r="C167" s="11">
        <v>0</v>
      </c>
      <c r="D167" s="11">
        <v>31.327000000000002</v>
      </c>
      <c r="E167" s="11">
        <v>0.01</v>
      </c>
      <c r="F167" s="11">
        <v>5.7000000000000002E-2</v>
      </c>
      <c r="G167" s="11">
        <v>0.125</v>
      </c>
      <c r="H167" s="11">
        <v>0.71499999999999997</v>
      </c>
      <c r="I167" s="11">
        <v>0</v>
      </c>
      <c r="J167" s="11">
        <v>9.4390000000000001</v>
      </c>
      <c r="K167" s="11">
        <v>0.79500000000000004</v>
      </c>
      <c r="L167" s="11">
        <v>48.476999999999997</v>
      </c>
      <c r="M167" s="11">
        <v>8.1229999999999993</v>
      </c>
      <c r="N167" s="11">
        <v>0.123</v>
      </c>
      <c r="O167" s="11">
        <v>99.787999999999997</v>
      </c>
      <c r="P167" s="11"/>
      <c r="Q167" s="34">
        <f t="shared" si="27"/>
        <v>0.4360359106409632</v>
      </c>
      <c r="R167" s="34">
        <f t="shared" si="28"/>
        <v>0.20153827068601909</v>
      </c>
      <c r="S167" s="34">
        <f t="shared" si="29"/>
        <v>0.16831912693034701</v>
      </c>
      <c r="T167" s="34">
        <f t="shared" si="35"/>
        <v>31.610168132366617</v>
      </c>
      <c r="U167" s="34">
        <f t="shared" si="36"/>
        <v>54.105910320046092</v>
      </c>
      <c r="V167" s="34">
        <f t="shared" si="37"/>
        <v>20.886031091922298</v>
      </c>
      <c r="W167" s="34">
        <f t="shared" si="38"/>
        <v>25.008058588031613</v>
      </c>
      <c r="X167" s="34"/>
      <c r="Y167" s="11">
        <v>7.2499999999999995E-2</v>
      </c>
      <c r="Z167" s="11">
        <v>0</v>
      </c>
      <c r="AA167" s="11">
        <v>4.2302</v>
      </c>
      <c r="AB167" s="11">
        <v>1.2999999999999999E-3</v>
      </c>
      <c r="AC167" s="11">
        <v>1.7899999999999999E-2</v>
      </c>
      <c r="AD167" s="11">
        <v>1.72E-2</v>
      </c>
      <c r="AE167" s="11">
        <v>0.13619999999999999</v>
      </c>
      <c r="AF167" s="11">
        <v>0</v>
      </c>
      <c r="AG167" s="11">
        <v>1.6329</v>
      </c>
      <c r="AH167" s="11">
        <v>0.1087</v>
      </c>
      <c r="AI167" s="11">
        <v>7.827</v>
      </c>
      <c r="AJ167" s="11">
        <v>1.9552</v>
      </c>
      <c r="AK167" s="11">
        <v>1.5900000000000001E-2</v>
      </c>
      <c r="AL167" s="11">
        <v>16.015000000000001</v>
      </c>
      <c r="AM167" s="11"/>
      <c r="AN167" s="33">
        <v>1.8786206896551725</v>
      </c>
    </row>
    <row r="168" spans="1:40" s="32" customFormat="1" x14ac:dyDescent="0.25">
      <c r="A168" s="11" t="s">
        <v>211</v>
      </c>
      <c r="B168" s="11">
        <v>0.57399999999999995</v>
      </c>
      <c r="C168" s="11">
        <v>5.0000000000000001E-3</v>
      </c>
      <c r="D168" s="11">
        <v>33.575000000000003</v>
      </c>
      <c r="E168" s="11">
        <v>3.5999999999999997E-2</v>
      </c>
      <c r="F168" s="11">
        <v>6.9000000000000006E-2</v>
      </c>
      <c r="G168" s="11">
        <v>0.09</v>
      </c>
      <c r="H168" s="11">
        <v>0.56399999999999995</v>
      </c>
      <c r="I168" s="11">
        <v>0</v>
      </c>
      <c r="J168" s="11">
        <v>8.9039999999999999</v>
      </c>
      <c r="K168" s="11">
        <v>0.86899999999999999</v>
      </c>
      <c r="L168" s="11">
        <v>47.7</v>
      </c>
      <c r="M168" s="11">
        <v>6.5460000000000003</v>
      </c>
      <c r="N168" s="11">
        <v>0</v>
      </c>
      <c r="O168" s="11">
        <v>98.932000000000002</v>
      </c>
      <c r="P168" s="11"/>
      <c r="Q168" s="34">
        <f t="shared" si="27"/>
        <v>0.467325492379428</v>
      </c>
      <c r="R168" s="34">
        <f t="shared" si="28"/>
        <v>0.16241161146259769</v>
      </c>
      <c r="S168" s="34">
        <f t="shared" si="29"/>
        <v>0.15877884375334356</v>
      </c>
      <c r="T168" s="34">
        <f t="shared" si="35"/>
        <v>25.790383077592942</v>
      </c>
      <c r="U168" s="34">
        <f t="shared" si="36"/>
        <v>59.266460469768255</v>
      </c>
      <c r="V168" s="34">
        <f t="shared" si="37"/>
        <v>20.136415025916722</v>
      </c>
      <c r="W168" s="34">
        <f t="shared" si="38"/>
        <v>20.597124504315037</v>
      </c>
      <c r="X168" s="34"/>
      <c r="Y168" s="11">
        <v>7.1099999999999997E-2</v>
      </c>
      <c r="Z168" s="11">
        <v>5.9999999999999995E-4</v>
      </c>
      <c r="AA168" s="11">
        <v>4.6261000000000001</v>
      </c>
      <c r="AB168" s="11">
        <v>4.7000000000000002E-3</v>
      </c>
      <c r="AC168" s="11">
        <v>2.1899999999999999E-2</v>
      </c>
      <c r="AD168" s="11">
        <v>1.2500000000000001E-2</v>
      </c>
      <c r="AE168" s="11">
        <v>0.1095</v>
      </c>
      <c r="AF168" s="11">
        <v>0</v>
      </c>
      <c r="AG168" s="11">
        <v>1.5718000000000001</v>
      </c>
      <c r="AH168" s="11">
        <v>0.12130000000000001</v>
      </c>
      <c r="AI168" s="11">
        <v>7.8583999999999996</v>
      </c>
      <c r="AJ168" s="11">
        <v>1.6076999999999999</v>
      </c>
      <c r="AK168" s="11">
        <v>0</v>
      </c>
      <c r="AL168" s="11">
        <v>16.005600000000001</v>
      </c>
      <c r="AM168" s="11"/>
      <c r="AN168" s="34">
        <f t="shared" ref="AN168:AN227" si="40">AE168/Y168</f>
        <v>1.5400843881856541</v>
      </c>
    </row>
    <row r="169" spans="1:40" s="32" customFormat="1" x14ac:dyDescent="0.25">
      <c r="A169" s="11" t="s">
        <v>241</v>
      </c>
      <c r="B169" s="11">
        <v>0.52400000000000002</v>
      </c>
      <c r="C169" s="11">
        <v>0</v>
      </c>
      <c r="D169" s="11">
        <v>32.372999999999998</v>
      </c>
      <c r="E169" s="11">
        <v>2E-3</v>
      </c>
      <c r="F169" s="11">
        <v>6.5000000000000002E-2</v>
      </c>
      <c r="G169" s="11">
        <v>7.5999999999999998E-2</v>
      </c>
      <c r="H169" s="11">
        <v>0.54600000000000004</v>
      </c>
      <c r="I169" s="11">
        <v>0</v>
      </c>
      <c r="J169" s="11">
        <v>8.9939999999999998</v>
      </c>
      <c r="K169" s="11">
        <v>0.73199999999999998</v>
      </c>
      <c r="L169" s="11">
        <v>48.151000000000003</v>
      </c>
      <c r="M169" s="11">
        <v>7.55</v>
      </c>
      <c r="N169" s="11">
        <v>0.249</v>
      </c>
      <c r="O169" s="11">
        <v>99.262</v>
      </c>
      <c r="P169" s="11"/>
      <c r="Q169" s="34">
        <f t="shared" si="27"/>
        <v>0.45059503096944808</v>
      </c>
      <c r="R169" s="34">
        <f t="shared" si="28"/>
        <v>0.1873216722491006</v>
      </c>
      <c r="S169" s="34">
        <f t="shared" si="29"/>
        <v>0.16038375120368056</v>
      </c>
      <c r="T169" s="34">
        <f t="shared" si="35"/>
        <v>29.364597494310267</v>
      </c>
      <c r="U169" s="34">
        <f t="shared" si="36"/>
        <v>56.44429092747626</v>
      </c>
      <c r="V169" s="34">
        <f t="shared" si="37"/>
        <v>20.090650119917377</v>
      </c>
      <c r="W169" s="34">
        <f t="shared" si="38"/>
        <v>23.465058952606366</v>
      </c>
      <c r="X169" s="34"/>
      <c r="Y169" s="11">
        <v>6.4299999999999996E-2</v>
      </c>
      <c r="Z169" s="11">
        <v>0</v>
      </c>
      <c r="AA169" s="11">
        <v>4.4181999999999997</v>
      </c>
      <c r="AB169" s="11">
        <v>2.0000000000000001E-4</v>
      </c>
      <c r="AC169" s="11">
        <v>2.07E-2</v>
      </c>
      <c r="AD169" s="11">
        <v>1.0500000000000001E-2</v>
      </c>
      <c r="AE169" s="11">
        <v>0.1051</v>
      </c>
      <c r="AF169" s="11">
        <v>0</v>
      </c>
      <c r="AG169" s="11">
        <v>1.5728</v>
      </c>
      <c r="AH169" s="11">
        <v>0.1012</v>
      </c>
      <c r="AI169" s="11">
        <v>7.8575999999999997</v>
      </c>
      <c r="AJ169" s="11">
        <v>1.8366</v>
      </c>
      <c r="AK169" s="11">
        <v>3.2599999999999997E-2</v>
      </c>
      <c r="AL169" s="11">
        <v>16.0198</v>
      </c>
      <c r="AM169" s="11"/>
      <c r="AN169" s="34">
        <f t="shared" si="40"/>
        <v>1.6345256609642302</v>
      </c>
    </row>
    <row r="170" spans="1:40" s="32" customFormat="1" x14ac:dyDescent="0.25">
      <c r="A170" s="11" t="s">
        <v>125</v>
      </c>
      <c r="B170" s="32">
        <v>0.68700000000000006</v>
      </c>
      <c r="D170" s="32">
        <v>26.276</v>
      </c>
      <c r="E170" s="32">
        <v>5.2999999999999999E-2</v>
      </c>
      <c r="F170" s="32">
        <v>0.151</v>
      </c>
      <c r="G170" s="32">
        <v>0</v>
      </c>
      <c r="H170" s="32">
        <v>0.81399999999999995</v>
      </c>
      <c r="I170" s="32">
        <v>0</v>
      </c>
      <c r="J170" s="32">
        <v>14.426</v>
      </c>
      <c r="K170" s="32">
        <v>0.70299999999999996</v>
      </c>
      <c r="L170" s="32">
        <v>48.46</v>
      </c>
      <c r="M170" s="32">
        <v>7.633</v>
      </c>
      <c r="O170" s="32">
        <v>99.203000000000003</v>
      </c>
      <c r="Q170" s="34">
        <f t="shared" ref="Q170:Q188" si="41">D170/(55.845+16)</f>
        <v>0.36573178370102305</v>
      </c>
      <c r="R170" s="34">
        <f t="shared" ref="R170:R188" si="42">M170/(24.305+16)</f>
        <v>0.1893809701029649</v>
      </c>
      <c r="S170" s="34">
        <f t="shared" ref="S170:S188" si="43">J170/(40.078+16)</f>
        <v>0.25724883198402226</v>
      </c>
      <c r="T170" s="34">
        <f>R170/(Q170+R170)*100</f>
        <v>34.115766356511401</v>
      </c>
      <c r="U170" s="34">
        <f>Q170/(Q170+R170+S170)*100</f>
        <v>45.020812172729023</v>
      </c>
      <c r="V170" s="34">
        <f>S170/(Q170+R170+S170)*100</f>
        <v>31.666789331807799</v>
      </c>
      <c r="W170" s="34">
        <f>R170/(Q170+R170+S170)*100</f>
        <v>23.312398495463178</v>
      </c>
      <c r="X170" s="34"/>
      <c r="Y170" s="32">
        <v>8.3199999999999996E-2</v>
      </c>
      <c r="AA170" s="32">
        <v>3.5394000000000001</v>
      </c>
      <c r="AB170" s="32">
        <v>6.7999999999999996E-3</v>
      </c>
      <c r="AC170" s="32">
        <v>4.7300000000000002E-2</v>
      </c>
      <c r="AD170" s="32">
        <v>0</v>
      </c>
      <c r="AE170" s="32">
        <v>0.15459999999999999</v>
      </c>
      <c r="AF170" s="32">
        <v>0</v>
      </c>
      <c r="AG170" s="32">
        <v>2.4897</v>
      </c>
      <c r="AH170" s="32">
        <v>9.5899999999999999E-2</v>
      </c>
      <c r="AI170" s="32">
        <v>7.8051000000000004</v>
      </c>
      <c r="AJ170" s="32">
        <v>1.8327</v>
      </c>
      <c r="AL170" s="32">
        <v>16.0547</v>
      </c>
      <c r="AN170" s="34">
        <f t="shared" ref="AN170:AN188" si="44">AE170/Y170</f>
        <v>1.8581730769230769</v>
      </c>
    </row>
    <row r="171" spans="1:40" s="32" customFormat="1" x14ac:dyDescent="0.25">
      <c r="A171" s="11" t="s">
        <v>472</v>
      </c>
      <c r="B171" s="32">
        <v>0.57699999999999996</v>
      </c>
      <c r="D171" s="32">
        <v>23.71</v>
      </c>
      <c r="E171" s="32">
        <v>0.17199999999999999</v>
      </c>
      <c r="F171" s="32">
        <v>0.17199999999999999</v>
      </c>
      <c r="G171" s="32">
        <v>0</v>
      </c>
      <c r="H171" s="32">
        <v>0.90700000000000003</v>
      </c>
      <c r="I171" s="32">
        <v>0</v>
      </c>
      <c r="J171" s="32">
        <v>14.243</v>
      </c>
      <c r="K171" s="32">
        <v>0.66900000000000004</v>
      </c>
      <c r="L171" s="32">
        <v>49.01</v>
      </c>
      <c r="M171" s="32">
        <v>9.6010000000000009</v>
      </c>
      <c r="O171" s="32">
        <v>99.061000000000007</v>
      </c>
      <c r="Q171" s="34">
        <f t="shared" si="41"/>
        <v>0.33001600668104952</v>
      </c>
      <c r="R171" s="34">
        <f t="shared" si="42"/>
        <v>0.23820865897531326</v>
      </c>
      <c r="S171" s="34">
        <f t="shared" si="43"/>
        <v>0.25398552016833698</v>
      </c>
      <c r="T171" s="34">
        <f t="shared" ref="T171:T188" si="45">R171/(Q171+R171)*100</f>
        <v>41.921562609422409</v>
      </c>
      <c r="U171" s="34">
        <f t="shared" ref="U171:U188" si="46">Q171/(Q171+R171+S171)*100</f>
        <v>40.13766946343948</v>
      </c>
      <c r="V171" s="34">
        <f t="shared" ref="V171:V188" si="47">S171/(Q171+R171+S171)*100</f>
        <v>30.89058303426178</v>
      </c>
      <c r="W171" s="34">
        <f t="shared" ref="W171:W188" si="48">R171/(Q171+R171+S171)*100</f>
        <v>28.97174750229874</v>
      </c>
      <c r="X171" s="34"/>
      <c r="Y171" s="32">
        <v>6.9000000000000006E-2</v>
      </c>
      <c r="AA171" s="32">
        <v>3.1551999999999998</v>
      </c>
      <c r="AB171" s="32">
        <v>2.1600000000000001E-2</v>
      </c>
      <c r="AC171" s="32">
        <v>5.3100000000000001E-2</v>
      </c>
      <c r="AD171" s="32">
        <v>0</v>
      </c>
      <c r="AE171" s="32">
        <v>0.17</v>
      </c>
      <c r="AF171" s="32">
        <v>0</v>
      </c>
      <c r="AG171" s="32">
        <v>2.4283999999999999</v>
      </c>
      <c r="AH171" s="32">
        <v>9.0200000000000002E-2</v>
      </c>
      <c r="AI171" s="32">
        <v>7.7983000000000002</v>
      </c>
      <c r="AJ171" s="32">
        <v>2.2774000000000001</v>
      </c>
      <c r="AL171" s="32">
        <v>16.063199999999998</v>
      </c>
      <c r="AN171" s="34">
        <f t="shared" si="44"/>
        <v>2.4637681159420288</v>
      </c>
    </row>
    <row r="172" spans="1:40" s="32" customFormat="1" x14ac:dyDescent="0.25">
      <c r="A172" s="11" t="s">
        <v>61</v>
      </c>
      <c r="B172" s="32">
        <v>0.70699999999999996</v>
      </c>
      <c r="D172" s="32">
        <v>27.492000000000001</v>
      </c>
      <c r="E172" s="32">
        <v>6.6000000000000003E-2</v>
      </c>
      <c r="F172" s="32">
        <v>0.121</v>
      </c>
      <c r="G172" s="32">
        <v>0</v>
      </c>
      <c r="H172" s="32">
        <v>0.76500000000000001</v>
      </c>
      <c r="I172" s="32">
        <v>0</v>
      </c>
      <c r="J172" s="32">
        <v>12.69</v>
      </c>
      <c r="K172" s="32">
        <v>0.67900000000000005</v>
      </c>
      <c r="L172" s="32">
        <v>48.465000000000003</v>
      </c>
      <c r="M172" s="32">
        <v>8.1349999999999998</v>
      </c>
      <c r="O172" s="32">
        <v>99.12</v>
      </c>
      <c r="Q172" s="34">
        <f t="shared" si="41"/>
        <v>0.38265710905421396</v>
      </c>
      <c r="R172" s="34">
        <f t="shared" si="42"/>
        <v>0.20183600049621633</v>
      </c>
      <c r="S172" s="34">
        <f t="shared" si="43"/>
        <v>0.22629195049752129</v>
      </c>
      <c r="T172" s="34">
        <f t="shared" si="45"/>
        <v>34.53180152140046</v>
      </c>
      <c r="U172" s="34">
        <f t="shared" si="46"/>
        <v>47.195875690109879</v>
      </c>
      <c r="V172" s="34">
        <f t="shared" si="47"/>
        <v>27.910226969912088</v>
      </c>
      <c r="W172" s="34">
        <f t="shared" si="48"/>
        <v>24.893897339978036</v>
      </c>
      <c r="X172" s="34"/>
      <c r="Y172" s="32">
        <v>8.5699999999999998E-2</v>
      </c>
      <c r="AA172" s="32">
        <v>3.7075999999999998</v>
      </c>
      <c r="AB172" s="32">
        <v>8.5000000000000006E-3</v>
      </c>
      <c r="AC172" s="32">
        <v>3.78E-2</v>
      </c>
      <c r="AD172" s="32">
        <v>0</v>
      </c>
      <c r="AE172" s="32">
        <v>0.1454</v>
      </c>
      <c r="AF172" s="32">
        <v>0</v>
      </c>
      <c r="AG172" s="32">
        <v>2.1926000000000001</v>
      </c>
      <c r="AH172" s="32">
        <v>9.2799999999999994E-2</v>
      </c>
      <c r="AI172" s="32">
        <v>7.8151999999999999</v>
      </c>
      <c r="AJ172" s="32">
        <v>1.9556</v>
      </c>
      <c r="AL172" s="32">
        <v>16.0412</v>
      </c>
      <c r="AN172" s="34">
        <f t="shared" si="44"/>
        <v>1.6966161026837807</v>
      </c>
    </row>
    <row r="173" spans="1:40" s="32" customFormat="1" x14ac:dyDescent="0.25">
      <c r="A173" s="11" t="s">
        <v>473</v>
      </c>
      <c r="B173" s="32">
        <v>0.60599999999999998</v>
      </c>
      <c r="D173" s="32">
        <v>28.059000000000001</v>
      </c>
      <c r="E173" s="32">
        <v>8.3000000000000004E-2</v>
      </c>
      <c r="F173" s="32">
        <v>0.14000000000000001</v>
      </c>
      <c r="G173" s="32">
        <v>0.18</v>
      </c>
      <c r="H173" s="32">
        <v>0.81899999999999995</v>
      </c>
      <c r="I173" s="32">
        <v>0</v>
      </c>
      <c r="J173" s="32">
        <v>11.766</v>
      </c>
      <c r="K173" s="32">
        <v>0.71799999999999997</v>
      </c>
      <c r="L173" s="32">
        <v>48.295999999999999</v>
      </c>
      <c r="M173" s="32">
        <v>8.3520000000000003</v>
      </c>
      <c r="O173" s="32">
        <v>99.019000000000005</v>
      </c>
      <c r="Q173" s="34">
        <f t="shared" si="41"/>
        <v>0.39054909875426269</v>
      </c>
      <c r="R173" s="34">
        <f t="shared" si="42"/>
        <v>0.20721994789728324</v>
      </c>
      <c r="S173" s="34">
        <f t="shared" si="43"/>
        <v>0.20981490067406111</v>
      </c>
      <c r="T173" s="34">
        <f t="shared" si="45"/>
        <v>34.665553370159152</v>
      </c>
      <c r="U173" s="34">
        <f t="shared" si="46"/>
        <v>48.36018596550911</v>
      </c>
      <c r="V173" s="34">
        <f t="shared" si="47"/>
        <v>25.980568505464184</v>
      </c>
      <c r="W173" s="34">
        <f t="shared" si="48"/>
        <v>25.659245529026709</v>
      </c>
      <c r="X173" s="34"/>
      <c r="Y173" s="32">
        <v>7.3599999999999999E-2</v>
      </c>
      <c r="AA173" s="32">
        <v>3.7873999999999999</v>
      </c>
      <c r="AB173" s="32">
        <v>1.0699999999999999E-2</v>
      </c>
      <c r="AC173" s="32">
        <v>4.3799999999999999E-2</v>
      </c>
      <c r="AD173" s="32">
        <v>2.46E-2</v>
      </c>
      <c r="AE173" s="32">
        <v>0.15579999999999999</v>
      </c>
      <c r="AF173" s="32">
        <v>0</v>
      </c>
      <c r="AG173" s="32">
        <v>2.0348000000000002</v>
      </c>
      <c r="AH173" s="32">
        <v>9.8100000000000007E-2</v>
      </c>
      <c r="AI173" s="32">
        <v>7.7949000000000002</v>
      </c>
      <c r="AJ173" s="32">
        <v>2.0095000000000001</v>
      </c>
      <c r="AL173" s="32">
        <v>16.033200000000001</v>
      </c>
      <c r="AN173" s="34">
        <f t="shared" si="44"/>
        <v>2.1168478260869565</v>
      </c>
    </row>
    <row r="174" spans="1:40" s="32" customFormat="1" x14ac:dyDescent="0.25">
      <c r="A174" s="11" t="s">
        <v>63</v>
      </c>
      <c r="B174" s="32">
        <v>0.46</v>
      </c>
      <c r="D174" s="32">
        <v>22.350999999999999</v>
      </c>
      <c r="E174" s="32">
        <v>0.21199999999999999</v>
      </c>
      <c r="F174" s="32">
        <v>0.155</v>
      </c>
      <c r="G174" s="32">
        <v>0</v>
      </c>
      <c r="H174" s="32">
        <v>0.98399999999999999</v>
      </c>
      <c r="I174" s="32">
        <v>0</v>
      </c>
      <c r="J174" s="32">
        <v>14.723000000000001</v>
      </c>
      <c r="K174" s="32">
        <v>0.64</v>
      </c>
      <c r="L174" s="32">
        <v>49.372</v>
      </c>
      <c r="M174" s="32">
        <v>10.234</v>
      </c>
      <c r="O174" s="32">
        <v>99.131</v>
      </c>
      <c r="Q174" s="34">
        <f t="shared" si="41"/>
        <v>0.31110028533648826</v>
      </c>
      <c r="R174" s="34">
        <f t="shared" si="42"/>
        <v>0.25391390646321799</v>
      </c>
      <c r="S174" s="34">
        <f t="shared" si="43"/>
        <v>0.26254502657013445</v>
      </c>
      <c r="T174" s="34">
        <f t="shared" si="45"/>
        <v>44.939385620463987</v>
      </c>
      <c r="U174" s="34">
        <f t="shared" si="46"/>
        <v>37.592510412645282</v>
      </c>
      <c r="V174" s="34">
        <f t="shared" si="47"/>
        <v>31.725225306209044</v>
      </c>
      <c r="W174" s="34">
        <f t="shared" si="48"/>
        <v>30.682264281145677</v>
      </c>
      <c r="X174" s="34"/>
      <c r="Y174" s="32">
        <v>5.4699999999999999E-2</v>
      </c>
      <c r="AA174" s="32">
        <v>2.9544999999999999</v>
      </c>
      <c r="AB174" s="32">
        <v>2.6499999999999999E-2</v>
      </c>
      <c r="AC174" s="32">
        <v>4.7399999999999998E-2</v>
      </c>
      <c r="AD174" s="32">
        <v>0</v>
      </c>
      <c r="AE174" s="32">
        <v>0.18340000000000001</v>
      </c>
      <c r="AF174" s="32">
        <v>0</v>
      </c>
      <c r="AG174" s="32">
        <v>2.4935</v>
      </c>
      <c r="AH174" s="32">
        <v>8.5699999999999998E-2</v>
      </c>
      <c r="AI174" s="32">
        <v>7.8034999999999997</v>
      </c>
      <c r="AJ174" s="32">
        <v>2.4113000000000002</v>
      </c>
      <c r="AL174" s="32">
        <v>16.060500000000001</v>
      </c>
      <c r="AN174" s="34">
        <f t="shared" si="44"/>
        <v>3.3528336380255945</v>
      </c>
    </row>
    <row r="175" spans="1:40" s="32" customFormat="1" x14ac:dyDescent="0.25">
      <c r="A175" s="11" t="s">
        <v>177</v>
      </c>
      <c r="B175" s="32">
        <v>0.51200000000000001</v>
      </c>
      <c r="D175" s="32">
        <v>24.68</v>
      </c>
      <c r="E175" s="32">
        <v>0.17699999999999999</v>
      </c>
      <c r="F175" s="32">
        <v>0.152</v>
      </c>
      <c r="G175" s="32">
        <v>0.26400000000000001</v>
      </c>
      <c r="H175" s="32">
        <v>0.93200000000000005</v>
      </c>
      <c r="I175" s="32">
        <v>3.0000000000000001E-3</v>
      </c>
      <c r="J175" s="32">
        <v>12.882999999999999</v>
      </c>
      <c r="K175" s="32">
        <v>0.64500000000000002</v>
      </c>
      <c r="L175" s="32">
        <v>49.19</v>
      </c>
      <c r="M175" s="32">
        <v>10.034000000000001</v>
      </c>
      <c r="O175" s="32">
        <v>99.471999999999994</v>
      </c>
      <c r="Q175" s="34">
        <f t="shared" si="41"/>
        <v>0.34351729417495996</v>
      </c>
      <c r="R175" s="34">
        <f t="shared" si="42"/>
        <v>0.24895174295993056</v>
      </c>
      <c r="S175" s="34">
        <f t="shared" si="43"/>
        <v>0.22973358536324404</v>
      </c>
      <c r="T175" s="34">
        <f t="shared" si="45"/>
        <v>42.019367655705928</v>
      </c>
      <c r="U175" s="34">
        <f t="shared" si="46"/>
        <v>41.78012630648589</v>
      </c>
      <c r="V175" s="34">
        <f t="shared" si="47"/>
        <v>27.941237242133127</v>
      </c>
      <c r="W175" s="34">
        <f t="shared" si="48"/>
        <v>30.278636451380979</v>
      </c>
      <c r="X175" s="34"/>
      <c r="Y175" s="32">
        <v>6.0900000000000003E-2</v>
      </c>
      <c r="AA175" s="32">
        <v>3.2663000000000002</v>
      </c>
      <c r="AB175" s="32">
        <v>2.2200000000000001E-2</v>
      </c>
      <c r="AC175" s="32">
        <v>4.6600000000000003E-2</v>
      </c>
      <c r="AD175" s="32">
        <v>3.5299999999999998E-2</v>
      </c>
      <c r="AE175" s="32">
        <v>0.17380000000000001</v>
      </c>
      <c r="AF175" s="32">
        <v>5.9999999999999995E-4</v>
      </c>
      <c r="AG175" s="32">
        <v>2.1844000000000001</v>
      </c>
      <c r="AH175" s="32">
        <v>8.6499999999999994E-2</v>
      </c>
      <c r="AI175" s="32">
        <v>7.7840999999999996</v>
      </c>
      <c r="AJ175" s="32">
        <v>2.3668999999999998</v>
      </c>
      <c r="AL175" s="32">
        <v>16.0276</v>
      </c>
      <c r="AN175" s="34">
        <f t="shared" si="44"/>
        <v>2.8538587848932675</v>
      </c>
    </row>
    <row r="176" spans="1:40" s="32" customFormat="1" x14ac:dyDescent="0.25">
      <c r="A176" s="11" t="s">
        <v>112</v>
      </c>
      <c r="B176" s="32">
        <v>0.33800000000000002</v>
      </c>
      <c r="D176" s="32">
        <v>22.405999999999999</v>
      </c>
      <c r="E176" s="32">
        <v>0.28799999999999998</v>
      </c>
      <c r="F176" s="32">
        <v>0.14599999999999999</v>
      </c>
      <c r="G176" s="32">
        <v>0.24</v>
      </c>
      <c r="H176" s="32">
        <v>1.101</v>
      </c>
      <c r="I176" s="32">
        <v>0</v>
      </c>
      <c r="J176" s="32">
        <v>12.243</v>
      </c>
      <c r="K176" s="32">
        <v>0.625</v>
      </c>
      <c r="L176" s="32">
        <v>49.884</v>
      </c>
      <c r="M176" s="32">
        <v>12.002000000000001</v>
      </c>
      <c r="O176" s="32">
        <v>99.272999999999996</v>
      </c>
      <c r="Q176" s="34">
        <f t="shared" si="41"/>
        <v>0.31186582225624609</v>
      </c>
      <c r="R176" s="34">
        <f t="shared" si="42"/>
        <v>0.2977794318322789</v>
      </c>
      <c r="S176" s="34">
        <f t="shared" si="43"/>
        <v>0.2183209101608474</v>
      </c>
      <c r="T176" s="34">
        <f t="shared" si="45"/>
        <v>48.844705972079808</v>
      </c>
      <c r="U176" s="34">
        <f t="shared" si="46"/>
        <v>37.666493598682408</v>
      </c>
      <c r="V176" s="34">
        <f t="shared" si="47"/>
        <v>26.368337208414239</v>
      </c>
      <c r="W176" s="34">
        <f t="shared" si="48"/>
        <v>35.96516919290336</v>
      </c>
      <c r="X176" s="34"/>
      <c r="Y176" s="32">
        <v>3.9800000000000002E-2</v>
      </c>
      <c r="AA176" s="32">
        <v>2.93</v>
      </c>
      <c r="AB176" s="32">
        <v>3.56E-2</v>
      </c>
      <c r="AC176" s="32">
        <v>4.4400000000000002E-2</v>
      </c>
      <c r="AD176" s="32">
        <v>3.1800000000000002E-2</v>
      </c>
      <c r="AE176" s="32">
        <v>0.20300000000000001</v>
      </c>
      <c r="AF176" s="32">
        <v>0</v>
      </c>
      <c r="AG176" s="32">
        <v>2.0510999999999999</v>
      </c>
      <c r="AH176" s="32">
        <v>8.2699999999999996E-2</v>
      </c>
      <c r="AI176" s="32">
        <v>7.7998000000000003</v>
      </c>
      <c r="AJ176" s="32">
        <v>2.7974999999999999</v>
      </c>
      <c r="AL176" s="32">
        <v>16.015699999999999</v>
      </c>
      <c r="AN176" s="34">
        <f t="shared" si="44"/>
        <v>5.1005025125628141</v>
      </c>
    </row>
    <row r="177" spans="1:40" s="32" customFormat="1" x14ac:dyDescent="0.25">
      <c r="A177" s="11" t="s">
        <v>161</v>
      </c>
      <c r="B177" s="32">
        <v>0.66400000000000003</v>
      </c>
      <c r="D177" s="32">
        <v>23.753</v>
      </c>
      <c r="E177" s="32">
        <v>0.38900000000000001</v>
      </c>
      <c r="F177" s="32">
        <v>0.156</v>
      </c>
      <c r="G177" s="32">
        <v>0.254</v>
      </c>
      <c r="H177" s="32">
        <v>1.1990000000000001</v>
      </c>
      <c r="I177" s="32">
        <v>3.0000000000000001E-3</v>
      </c>
      <c r="J177" s="32">
        <v>13.646000000000001</v>
      </c>
      <c r="K177" s="32">
        <v>0.67600000000000005</v>
      </c>
      <c r="L177" s="32">
        <v>48.790999999999997</v>
      </c>
      <c r="M177" s="32">
        <v>9.9380000000000006</v>
      </c>
      <c r="O177" s="32">
        <v>99.468999999999994</v>
      </c>
      <c r="Q177" s="34">
        <f t="shared" si="41"/>
        <v>0.33061451736376923</v>
      </c>
      <c r="R177" s="34">
        <f t="shared" si="42"/>
        <v>0.24656990447835259</v>
      </c>
      <c r="S177" s="34">
        <f t="shared" si="43"/>
        <v>0.24333963408110132</v>
      </c>
      <c r="T177" s="34">
        <f t="shared" si="45"/>
        <v>42.71943163181858</v>
      </c>
      <c r="U177" s="34">
        <f t="shared" si="46"/>
        <v>40.293092564089918</v>
      </c>
      <c r="V177" s="34">
        <f t="shared" si="47"/>
        <v>29.656611811009565</v>
      </c>
      <c r="W177" s="34">
        <f t="shared" si="48"/>
        <v>30.050295624900514</v>
      </c>
      <c r="X177" s="34"/>
      <c r="Y177" s="32">
        <v>7.9000000000000001E-2</v>
      </c>
      <c r="AA177" s="32">
        <v>3.1421999999999999</v>
      </c>
      <c r="AB177" s="32">
        <v>4.8599999999999997E-2</v>
      </c>
      <c r="AC177" s="32">
        <v>4.7699999999999999E-2</v>
      </c>
      <c r="AD177" s="32">
        <v>3.4000000000000002E-2</v>
      </c>
      <c r="AE177" s="32">
        <v>0.22359999999999999</v>
      </c>
      <c r="AF177" s="32">
        <v>6.9999999999999999E-4</v>
      </c>
      <c r="AG177" s="32">
        <v>2.3129</v>
      </c>
      <c r="AH177" s="32">
        <v>9.0499999999999997E-2</v>
      </c>
      <c r="AI177" s="32">
        <v>7.7176999999999998</v>
      </c>
      <c r="AJ177" s="32">
        <v>2.3433999999999999</v>
      </c>
      <c r="AL177" s="32">
        <v>16.040299999999998</v>
      </c>
      <c r="AN177" s="34">
        <f t="shared" si="44"/>
        <v>2.830379746835443</v>
      </c>
    </row>
    <row r="178" spans="1:40" s="32" customFormat="1" x14ac:dyDescent="0.25">
      <c r="A178" s="11" t="s">
        <v>227</v>
      </c>
      <c r="B178" s="32">
        <v>0.38900000000000001</v>
      </c>
      <c r="D178" s="32">
        <v>22.417999999999999</v>
      </c>
      <c r="E178" s="32">
        <v>0.23300000000000001</v>
      </c>
      <c r="F178" s="32">
        <v>0.16700000000000001</v>
      </c>
      <c r="G178" s="32">
        <v>0</v>
      </c>
      <c r="H178" s="32">
        <v>1.109</v>
      </c>
      <c r="I178" s="32">
        <v>1E-3</v>
      </c>
      <c r="J178" s="32">
        <v>15.32</v>
      </c>
      <c r="K178" s="32">
        <v>0.624</v>
      </c>
      <c r="L178" s="32">
        <v>49.487000000000002</v>
      </c>
      <c r="M178" s="32">
        <v>9.593</v>
      </c>
      <c r="O178" s="32">
        <v>99.340999999999994</v>
      </c>
      <c r="Q178" s="34">
        <f t="shared" si="41"/>
        <v>0.31203284849328417</v>
      </c>
      <c r="R178" s="34">
        <f t="shared" si="42"/>
        <v>0.23801017243518174</v>
      </c>
      <c r="S178" s="34">
        <f t="shared" si="43"/>
        <v>0.27319091265737006</v>
      </c>
      <c r="T178" s="34">
        <f t="shared" si="45"/>
        <v>43.271192139375472</v>
      </c>
      <c r="U178" s="34">
        <f t="shared" si="46"/>
        <v>37.903302544166749</v>
      </c>
      <c r="V178" s="34">
        <f t="shared" si="47"/>
        <v>33.185088892947746</v>
      </c>
      <c r="W178" s="34">
        <f t="shared" si="48"/>
        <v>28.911608562885512</v>
      </c>
      <c r="X178" s="34"/>
      <c r="Y178" s="32">
        <v>4.6300000000000001E-2</v>
      </c>
      <c r="AA178" s="32">
        <v>2.9613</v>
      </c>
      <c r="AB178" s="32">
        <v>2.9100000000000001E-2</v>
      </c>
      <c r="AC178" s="32">
        <v>5.1299999999999998E-2</v>
      </c>
      <c r="AD178" s="32">
        <v>0</v>
      </c>
      <c r="AE178" s="32">
        <v>0.2064</v>
      </c>
      <c r="AF178" s="32">
        <v>2.9999999999999997E-4</v>
      </c>
      <c r="AG178" s="32">
        <v>2.5928</v>
      </c>
      <c r="AH178" s="32">
        <v>8.3400000000000002E-2</v>
      </c>
      <c r="AI178" s="32">
        <v>7.8160999999999996</v>
      </c>
      <c r="AJ178" s="32">
        <v>2.2587000000000002</v>
      </c>
      <c r="AL178" s="32">
        <v>16.0457</v>
      </c>
      <c r="AN178" s="34">
        <f t="shared" si="44"/>
        <v>4.4578833693304531</v>
      </c>
    </row>
    <row r="179" spans="1:40" s="32" customFormat="1" x14ac:dyDescent="0.25">
      <c r="A179" s="11" t="s">
        <v>49</v>
      </c>
      <c r="B179" s="32">
        <v>0.371</v>
      </c>
      <c r="D179" s="32">
        <v>23.548999999999999</v>
      </c>
      <c r="E179" s="32">
        <v>0.21099999999999999</v>
      </c>
      <c r="F179" s="32">
        <v>0.14000000000000001</v>
      </c>
      <c r="G179" s="32">
        <v>0.32100000000000001</v>
      </c>
      <c r="H179" s="32">
        <v>1.0069999999999999</v>
      </c>
      <c r="I179" s="32">
        <v>0</v>
      </c>
      <c r="J179" s="32">
        <v>13.853</v>
      </c>
      <c r="K179" s="32">
        <v>0.66</v>
      </c>
      <c r="L179" s="32">
        <v>49.463999999999999</v>
      </c>
      <c r="M179" s="32">
        <v>10.032</v>
      </c>
      <c r="O179" s="32">
        <v>99.608000000000004</v>
      </c>
      <c r="Q179" s="34">
        <f t="shared" si="41"/>
        <v>0.32777507133412209</v>
      </c>
      <c r="R179" s="34">
        <f t="shared" si="42"/>
        <v>0.24890212132489767</v>
      </c>
      <c r="S179" s="34">
        <f t="shared" si="43"/>
        <v>0.24703092121687648</v>
      </c>
      <c r="T179" s="34">
        <f t="shared" si="45"/>
        <v>43.161429738052711</v>
      </c>
      <c r="U179" s="34">
        <f t="shared" si="46"/>
        <v>39.792623844847334</v>
      </c>
      <c r="V179" s="34">
        <f t="shared" si="47"/>
        <v>29.990104146782187</v>
      </c>
      <c r="W179" s="34">
        <f t="shared" si="48"/>
        <v>30.21727200837049</v>
      </c>
      <c r="X179" s="34"/>
      <c r="Y179" s="32">
        <v>4.3999999999999997E-2</v>
      </c>
      <c r="AA179" s="32">
        <v>3.1019000000000001</v>
      </c>
      <c r="AB179" s="32">
        <v>2.63E-2</v>
      </c>
      <c r="AC179" s="32">
        <v>4.2799999999999998E-2</v>
      </c>
      <c r="AD179" s="32">
        <v>4.2900000000000001E-2</v>
      </c>
      <c r="AE179" s="32">
        <v>0.18690000000000001</v>
      </c>
      <c r="AF179" s="32">
        <v>0</v>
      </c>
      <c r="AG179" s="32">
        <v>2.3378000000000001</v>
      </c>
      <c r="AH179" s="32">
        <v>8.7999999999999995E-2</v>
      </c>
      <c r="AI179" s="32">
        <v>7.7903000000000002</v>
      </c>
      <c r="AJ179" s="32">
        <v>2.3552</v>
      </c>
      <c r="AL179" s="32">
        <v>16.016100000000002</v>
      </c>
      <c r="AN179" s="34">
        <f t="shared" si="44"/>
        <v>4.247727272727273</v>
      </c>
    </row>
    <row r="180" spans="1:40" s="32" customFormat="1" x14ac:dyDescent="0.25">
      <c r="A180" s="11" t="s">
        <v>131</v>
      </c>
      <c r="B180" s="32">
        <v>0.42699999999999999</v>
      </c>
      <c r="D180" s="32">
        <v>21.582000000000001</v>
      </c>
      <c r="E180" s="32">
        <v>0.26500000000000001</v>
      </c>
      <c r="F180" s="32">
        <v>0.125</v>
      </c>
      <c r="G180" s="32">
        <v>0.28499999999999998</v>
      </c>
      <c r="H180" s="32">
        <v>1.0920000000000001</v>
      </c>
      <c r="I180" s="32">
        <v>0</v>
      </c>
      <c r="J180" s="32">
        <v>14.653</v>
      </c>
      <c r="K180" s="32">
        <v>0.622</v>
      </c>
      <c r="L180" s="32">
        <v>49.387</v>
      </c>
      <c r="M180" s="32">
        <v>10.705</v>
      </c>
      <c r="O180" s="32">
        <v>99.143000000000001</v>
      </c>
      <c r="Q180" s="34">
        <f t="shared" si="41"/>
        <v>0.30039668731296543</v>
      </c>
      <c r="R180" s="34">
        <f t="shared" si="42"/>
        <v>0.26559980151345985</v>
      </c>
      <c r="S180" s="34">
        <f t="shared" si="43"/>
        <v>0.26129676521987233</v>
      </c>
      <c r="T180" s="34">
        <f t="shared" si="45"/>
        <v>46.926051089852535</v>
      </c>
      <c r="U180" s="34">
        <f t="shared" si="46"/>
        <v>36.310786512971418</v>
      </c>
      <c r="V180" s="34">
        <f t="shared" si="47"/>
        <v>31.584539574312721</v>
      </c>
      <c r="W180" s="34">
        <f t="shared" si="48"/>
        <v>32.10467391271586</v>
      </c>
      <c r="X180" s="34"/>
      <c r="Y180" s="32">
        <v>5.0500000000000003E-2</v>
      </c>
      <c r="AA180" s="32">
        <v>2.8382999999999998</v>
      </c>
      <c r="AB180" s="32">
        <v>3.2899999999999999E-2</v>
      </c>
      <c r="AC180" s="32">
        <v>3.7999999999999999E-2</v>
      </c>
      <c r="AD180" s="32">
        <v>3.7900000000000003E-2</v>
      </c>
      <c r="AE180" s="32">
        <v>0.2024</v>
      </c>
      <c r="AF180" s="32">
        <v>0</v>
      </c>
      <c r="AG180" s="32">
        <v>2.4689000000000001</v>
      </c>
      <c r="AH180" s="32">
        <v>8.2799999999999999E-2</v>
      </c>
      <c r="AI180" s="32">
        <v>7.7663000000000002</v>
      </c>
      <c r="AJ180" s="32">
        <v>2.5095000000000001</v>
      </c>
      <c r="AL180" s="32">
        <v>16.0275</v>
      </c>
      <c r="AN180" s="34">
        <f t="shared" si="44"/>
        <v>4.0079207920792079</v>
      </c>
    </row>
    <row r="181" spans="1:40" s="32" customFormat="1" x14ac:dyDescent="0.25">
      <c r="A181" s="11" t="s">
        <v>113</v>
      </c>
      <c r="B181" s="32">
        <v>0.54300000000000004</v>
      </c>
      <c r="D181" s="32">
        <v>23.542000000000002</v>
      </c>
      <c r="E181" s="32">
        <v>0.192</v>
      </c>
      <c r="F181" s="32">
        <v>0.16400000000000001</v>
      </c>
      <c r="G181" s="32">
        <v>0.30099999999999999</v>
      </c>
      <c r="H181" s="32">
        <v>0.96699999999999997</v>
      </c>
      <c r="I181" s="32">
        <v>2E-3</v>
      </c>
      <c r="J181" s="32">
        <v>14.2</v>
      </c>
      <c r="K181" s="32">
        <v>0.64600000000000002</v>
      </c>
      <c r="L181" s="32">
        <v>49.017000000000003</v>
      </c>
      <c r="M181" s="32">
        <v>9.8949999999999996</v>
      </c>
      <c r="O181" s="32">
        <v>99.468999999999994</v>
      </c>
      <c r="Q181" s="34">
        <f t="shared" si="41"/>
        <v>0.32767763936251654</v>
      </c>
      <c r="R181" s="34">
        <f t="shared" si="42"/>
        <v>0.24550303932514575</v>
      </c>
      <c r="S181" s="34">
        <f t="shared" si="43"/>
        <v>0.25321873105317588</v>
      </c>
      <c r="T181" s="34">
        <f t="shared" si="45"/>
        <v>42.831701844389158</v>
      </c>
      <c r="U181" s="34">
        <f t="shared" si="46"/>
        <v>39.651243151937557</v>
      </c>
      <c r="V181" s="34">
        <f t="shared" si="47"/>
        <v>30.641204249236598</v>
      </c>
      <c r="W181" s="34">
        <f t="shared" si="48"/>
        <v>29.707552598825838</v>
      </c>
      <c r="X181" s="34"/>
      <c r="Y181" s="32">
        <v>6.4500000000000002E-2</v>
      </c>
      <c r="AA181" s="32">
        <v>3.1131000000000002</v>
      </c>
      <c r="AB181" s="32">
        <v>2.4E-2</v>
      </c>
      <c r="AC181" s="32">
        <v>5.0099999999999999E-2</v>
      </c>
      <c r="AD181" s="32">
        <v>4.0300000000000002E-2</v>
      </c>
      <c r="AE181" s="32">
        <v>0.18029999999999999</v>
      </c>
      <c r="AF181" s="32">
        <v>5.0000000000000001E-4</v>
      </c>
      <c r="AG181" s="32">
        <v>2.4056999999999999</v>
      </c>
      <c r="AH181" s="32">
        <v>8.6499999999999994E-2</v>
      </c>
      <c r="AI181" s="32">
        <v>7.7504</v>
      </c>
      <c r="AJ181" s="32">
        <v>2.3323999999999998</v>
      </c>
      <c r="AL181" s="32">
        <v>16.047799999999999</v>
      </c>
      <c r="AN181" s="34">
        <f t="shared" si="44"/>
        <v>2.7953488372093021</v>
      </c>
    </row>
    <row r="182" spans="1:40" s="32" customFormat="1" x14ac:dyDescent="0.25">
      <c r="A182" s="11" t="s">
        <v>660</v>
      </c>
      <c r="B182" s="32">
        <v>0.66900000000000004</v>
      </c>
      <c r="D182" s="32">
        <v>20.725999999999999</v>
      </c>
      <c r="E182" s="32">
        <v>0.376</v>
      </c>
      <c r="F182" s="32">
        <v>0.152</v>
      </c>
      <c r="G182" s="32">
        <v>0.307</v>
      </c>
      <c r="H182" s="32">
        <v>1.3680000000000001</v>
      </c>
      <c r="I182" s="32">
        <v>6.0000000000000001E-3</v>
      </c>
      <c r="J182" s="32">
        <v>14.756</v>
      </c>
      <c r="K182" s="32">
        <v>0.56799999999999995</v>
      </c>
      <c r="L182" s="32">
        <v>49.97</v>
      </c>
      <c r="M182" s="32">
        <v>11.02</v>
      </c>
      <c r="O182" s="32">
        <v>99.918000000000006</v>
      </c>
      <c r="Q182" s="34">
        <f t="shared" si="41"/>
        <v>0.28848214907091657</v>
      </c>
      <c r="R182" s="34">
        <f t="shared" si="42"/>
        <v>0.27341520903113758</v>
      </c>
      <c r="S182" s="34">
        <f t="shared" si="43"/>
        <v>0.26313349263525804</v>
      </c>
      <c r="T182" s="34">
        <f t="shared" si="45"/>
        <v>48.659280042651275</v>
      </c>
      <c r="U182" s="34">
        <f t="shared" si="46"/>
        <v>34.966225664544105</v>
      </c>
      <c r="V182" s="34">
        <f t="shared" si="47"/>
        <v>31.893776141837769</v>
      </c>
      <c r="W182" s="34">
        <f t="shared" si="48"/>
        <v>33.139998193618133</v>
      </c>
      <c r="X182" s="34"/>
      <c r="Y182" s="32">
        <v>7.8100000000000003E-2</v>
      </c>
      <c r="AA182" s="32">
        <v>2.6897000000000002</v>
      </c>
      <c r="AB182" s="32">
        <v>4.6100000000000002E-2</v>
      </c>
      <c r="AC182" s="32">
        <v>4.58E-2</v>
      </c>
      <c r="AD182" s="32">
        <v>4.0399999999999998E-2</v>
      </c>
      <c r="AE182" s="32">
        <v>0.25019999999999998</v>
      </c>
      <c r="AF182" s="32">
        <v>1.1999999999999999E-3</v>
      </c>
      <c r="AG182" s="32">
        <v>2.4535</v>
      </c>
      <c r="AH182" s="32">
        <v>7.46E-2</v>
      </c>
      <c r="AI182" s="32">
        <v>7.7539999999999996</v>
      </c>
      <c r="AJ182" s="32">
        <v>2.5489999999999999</v>
      </c>
      <c r="AL182" s="32">
        <v>15.9826</v>
      </c>
      <c r="AN182" s="34">
        <f t="shared" si="44"/>
        <v>3.2035851472471188</v>
      </c>
    </row>
    <row r="183" spans="1:40" s="32" customFormat="1" x14ac:dyDescent="0.25">
      <c r="A183" s="11" t="s">
        <v>48</v>
      </c>
      <c r="B183" s="32">
        <v>0.53500000000000003</v>
      </c>
      <c r="D183" s="32">
        <v>24.35</v>
      </c>
      <c r="E183" s="32">
        <v>0.1</v>
      </c>
      <c r="F183" s="32">
        <v>0.128</v>
      </c>
      <c r="G183" s="32">
        <v>0.27300000000000002</v>
      </c>
      <c r="H183" s="32">
        <v>0.84599999999999997</v>
      </c>
      <c r="I183" s="32">
        <v>0</v>
      </c>
      <c r="J183" s="32">
        <v>13.504</v>
      </c>
      <c r="K183" s="32">
        <v>0.66300000000000003</v>
      </c>
      <c r="L183" s="32">
        <v>49.143999999999998</v>
      </c>
      <c r="M183" s="32">
        <v>9.7520000000000007</v>
      </c>
      <c r="O183" s="32">
        <v>99.295000000000002</v>
      </c>
      <c r="Q183" s="34">
        <f t="shared" si="41"/>
        <v>0.33892407265641311</v>
      </c>
      <c r="R183" s="34">
        <f t="shared" si="42"/>
        <v>0.24195509242029525</v>
      </c>
      <c r="S183" s="34">
        <f t="shared" si="43"/>
        <v>0.24080744677056953</v>
      </c>
      <c r="T183" s="34">
        <f t="shared" si="45"/>
        <v>41.653257160349987</v>
      </c>
      <c r="U183" s="34">
        <f t="shared" si="46"/>
        <v>41.2473645998028</v>
      </c>
      <c r="V183" s="34">
        <f t="shared" si="47"/>
        <v>29.306482945997786</v>
      </c>
      <c r="W183" s="34">
        <f t="shared" si="48"/>
        <v>29.446152454199421</v>
      </c>
      <c r="X183" s="34"/>
      <c r="Y183" s="32">
        <v>6.3799999999999996E-2</v>
      </c>
      <c r="AA183" s="32">
        <v>3.2294999999999998</v>
      </c>
      <c r="AB183" s="32">
        <v>1.2500000000000001E-2</v>
      </c>
      <c r="AC183" s="32">
        <v>3.9399999999999998E-2</v>
      </c>
      <c r="AD183" s="32">
        <v>3.6700000000000003E-2</v>
      </c>
      <c r="AE183" s="32">
        <v>0.15809999999999999</v>
      </c>
      <c r="AF183" s="32">
        <v>0</v>
      </c>
      <c r="AG183" s="32">
        <v>2.2946</v>
      </c>
      <c r="AH183" s="32">
        <v>8.8999999999999996E-2</v>
      </c>
      <c r="AI183" s="32">
        <v>7.7933000000000003</v>
      </c>
      <c r="AJ183" s="32">
        <v>2.3054000000000001</v>
      </c>
      <c r="AL183" s="32">
        <v>16.022300000000001</v>
      </c>
      <c r="AN183" s="34">
        <f t="shared" si="44"/>
        <v>2.4780564263322886</v>
      </c>
    </row>
    <row r="184" spans="1:40" s="32" customFormat="1" x14ac:dyDescent="0.25">
      <c r="A184" s="11" t="s">
        <v>37</v>
      </c>
      <c r="B184" s="32">
        <v>0.66700000000000004</v>
      </c>
      <c r="D184" s="32">
        <v>23.702999999999999</v>
      </c>
      <c r="E184" s="32">
        <v>0.153</v>
      </c>
      <c r="F184" s="32">
        <v>0.157</v>
      </c>
      <c r="G184" s="32">
        <v>0</v>
      </c>
      <c r="H184" s="32">
        <v>1.008</v>
      </c>
      <c r="I184" s="32">
        <v>0.03</v>
      </c>
      <c r="J184" s="32">
        <v>14.182</v>
      </c>
      <c r="K184" s="32">
        <v>0.59499999999999997</v>
      </c>
      <c r="L184" s="32">
        <v>48.725000000000001</v>
      </c>
      <c r="M184" s="32">
        <v>9.8049999999999997</v>
      </c>
      <c r="O184" s="32">
        <v>99.025000000000006</v>
      </c>
      <c r="Q184" s="34">
        <f t="shared" si="41"/>
        <v>0.32991857470944391</v>
      </c>
      <c r="R184" s="34">
        <f t="shared" si="42"/>
        <v>0.24327006574866641</v>
      </c>
      <c r="S184" s="34">
        <f t="shared" si="43"/>
        <v>0.25289774956310851</v>
      </c>
      <c r="T184" s="34">
        <f t="shared" si="45"/>
        <v>42.441536446751165</v>
      </c>
      <c r="U184" s="34">
        <f t="shared" si="46"/>
        <v>39.937539063071796</v>
      </c>
      <c r="V184" s="34">
        <f t="shared" si="47"/>
        <v>30.613959098952421</v>
      </c>
      <c r="W184" s="34">
        <f t="shared" si="48"/>
        <v>29.448501837975783</v>
      </c>
      <c r="X184" s="34"/>
      <c r="Y184" s="32">
        <v>7.9899999999999999E-2</v>
      </c>
      <c r="AA184" s="32">
        <v>3.1564000000000001</v>
      </c>
      <c r="AB184" s="32">
        <v>1.9199999999999998E-2</v>
      </c>
      <c r="AC184" s="32">
        <v>4.8399999999999999E-2</v>
      </c>
      <c r="AD184" s="32">
        <v>0</v>
      </c>
      <c r="AE184" s="32">
        <v>0.18909999999999999</v>
      </c>
      <c r="AF184" s="32">
        <v>6.1000000000000004E-3</v>
      </c>
      <c r="AG184" s="32">
        <v>2.4197000000000002</v>
      </c>
      <c r="AH184" s="32">
        <v>8.0199999999999994E-2</v>
      </c>
      <c r="AI184" s="32">
        <v>7.7584</v>
      </c>
      <c r="AJ184" s="32">
        <v>2.3273000000000001</v>
      </c>
      <c r="AL184" s="32">
        <v>16.084700000000002</v>
      </c>
      <c r="AN184" s="34">
        <f t="shared" si="44"/>
        <v>2.3667083854818523</v>
      </c>
    </row>
    <row r="185" spans="1:40" s="32" customFormat="1" x14ac:dyDescent="0.25">
      <c r="A185" s="11" t="s">
        <v>233</v>
      </c>
      <c r="B185" s="32">
        <v>0.60599999999999998</v>
      </c>
      <c r="D185" s="32">
        <v>22.625</v>
      </c>
      <c r="E185" s="32">
        <v>0.192</v>
      </c>
      <c r="F185" s="32">
        <v>0.184</v>
      </c>
      <c r="G185" s="32">
        <v>0.27900000000000003</v>
      </c>
      <c r="H185" s="32">
        <v>1.393</v>
      </c>
      <c r="I185" s="32">
        <v>4.0000000000000001E-3</v>
      </c>
      <c r="J185" s="32">
        <v>14.243</v>
      </c>
      <c r="K185" s="32">
        <v>0.64</v>
      </c>
      <c r="L185" s="32">
        <v>49.280999999999999</v>
      </c>
      <c r="M185" s="32">
        <v>10.42</v>
      </c>
      <c r="O185" s="32">
        <v>99.867000000000004</v>
      </c>
      <c r="Q185" s="34">
        <f t="shared" si="41"/>
        <v>0.31491405108219084</v>
      </c>
      <c r="R185" s="34">
        <f t="shared" si="42"/>
        <v>0.25852871852127529</v>
      </c>
      <c r="S185" s="34">
        <f t="shared" si="43"/>
        <v>0.25398552016833698</v>
      </c>
      <c r="T185" s="34">
        <f t="shared" si="45"/>
        <v>45.083612912243552</v>
      </c>
      <c r="U185" s="34">
        <f t="shared" si="46"/>
        <v>38.059376863829634</v>
      </c>
      <c r="V185" s="34">
        <f t="shared" si="47"/>
        <v>30.695774281343922</v>
      </c>
      <c r="W185" s="34">
        <f t="shared" si="48"/>
        <v>31.244848854826451</v>
      </c>
      <c r="X185" s="34"/>
      <c r="Y185" s="32">
        <v>7.1400000000000005E-2</v>
      </c>
      <c r="AA185" s="32">
        <v>2.9643999999999999</v>
      </c>
      <c r="AB185" s="32">
        <v>2.3800000000000002E-2</v>
      </c>
      <c r="AC185" s="32">
        <v>5.6000000000000001E-2</v>
      </c>
      <c r="AD185" s="32">
        <v>3.6999999999999998E-2</v>
      </c>
      <c r="AE185" s="32">
        <v>0.25729999999999997</v>
      </c>
      <c r="AF185" s="32">
        <v>8.9999999999999998E-4</v>
      </c>
      <c r="AG185" s="32">
        <v>2.3908999999999998</v>
      </c>
      <c r="AH185" s="32">
        <v>8.4900000000000003E-2</v>
      </c>
      <c r="AI185" s="32">
        <v>7.7205000000000004</v>
      </c>
      <c r="AJ185" s="32">
        <v>2.4335</v>
      </c>
      <c r="AL185" s="32">
        <v>16.040600000000001</v>
      </c>
      <c r="AN185" s="34">
        <f t="shared" si="44"/>
        <v>3.6036414565826322</v>
      </c>
    </row>
    <row r="186" spans="1:40" s="32" customFormat="1" x14ac:dyDescent="0.25">
      <c r="A186" s="11" t="s">
        <v>114</v>
      </c>
      <c r="B186" s="32">
        <v>0.70399999999999996</v>
      </c>
      <c r="D186" s="32">
        <v>24.638999999999999</v>
      </c>
      <c r="E186" s="32">
        <v>9.5000000000000001E-2</v>
      </c>
      <c r="F186" s="32">
        <v>7.0000000000000007E-2</v>
      </c>
      <c r="G186" s="32">
        <v>0.27</v>
      </c>
      <c r="H186" s="32">
        <v>1.0029999999999999</v>
      </c>
      <c r="I186" s="32">
        <v>2E-3</v>
      </c>
      <c r="J186" s="32">
        <v>12.907</v>
      </c>
      <c r="K186" s="32">
        <v>0.71299999999999997</v>
      </c>
      <c r="L186" s="32">
        <v>49.067</v>
      </c>
      <c r="M186" s="32">
        <v>9.5960000000000001</v>
      </c>
      <c r="O186" s="32">
        <v>99.066000000000003</v>
      </c>
      <c r="Q186" s="34">
        <f t="shared" si="41"/>
        <v>0.34294662119841324</v>
      </c>
      <c r="R186" s="34">
        <f t="shared" si="42"/>
        <v>0.23808460488773106</v>
      </c>
      <c r="S186" s="34">
        <f t="shared" si="43"/>
        <v>0.2301615606833339</v>
      </c>
      <c r="T186" s="34">
        <f t="shared" si="45"/>
        <v>40.976215080810888</v>
      </c>
      <c r="U186" s="34">
        <f t="shared" si="46"/>
        <v>42.276833176016702</v>
      </c>
      <c r="V186" s="34">
        <f t="shared" si="47"/>
        <v>28.37322575314521</v>
      </c>
      <c r="W186" s="34">
        <f t="shared" si="48"/>
        <v>29.349941070838081</v>
      </c>
      <c r="X186" s="34"/>
      <c r="Y186" s="32">
        <v>8.4199999999999997E-2</v>
      </c>
      <c r="AA186" s="32">
        <v>3.2736999999999998</v>
      </c>
      <c r="AB186" s="32">
        <v>1.2E-2</v>
      </c>
      <c r="AC186" s="32">
        <v>2.1499999999999998E-2</v>
      </c>
      <c r="AD186" s="32">
        <v>3.6400000000000002E-2</v>
      </c>
      <c r="AE186" s="32">
        <v>0.18790000000000001</v>
      </c>
      <c r="AF186" s="32">
        <v>4.0000000000000002E-4</v>
      </c>
      <c r="AG186" s="32">
        <v>2.1972</v>
      </c>
      <c r="AH186" s="32">
        <v>9.6000000000000002E-2</v>
      </c>
      <c r="AI186" s="32">
        <v>7.7953000000000001</v>
      </c>
      <c r="AJ186" s="32">
        <v>2.2725</v>
      </c>
      <c r="AL186" s="32">
        <v>15.9771</v>
      </c>
      <c r="AN186" s="34">
        <f t="shared" si="44"/>
        <v>2.2315914489311166</v>
      </c>
    </row>
    <row r="187" spans="1:40" s="32" customFormat="1" x14ac:dyDescent="0.25">
      <c r="A187" s="11" t="s">
        <v>252</v>
      </c>
      <c r="B187" s="32">
        <v>0.40200000000000002</v>
      </c>
      <c r="D187" s="32">
        <v>20.111999999999998</v>
      </c>
      <c r="E187" s="32">
        <v>0.46400000000000002</v>
      </c>
      <c r="F187" s="32">
        <v>0.158</v>
      </c>
      <c r="G187" s="32">
        <v>0.3</v>
      </c>
      <c r="H187" s="32">
        <v>1.2709999999999999</v>
      </c>
      <c r="I187" s="32">
        <v>1.0999999999999999E-2</v>
      </c>
      <c r="J187" s="32">
        <v>14.359</v>
      </c>
      <c r="K187" s="32">
        <v>0.63200000000000001</v>
      </c>
      <c r="L187" s="32">
        <v>49.488999999999997</v>
      </c>
      <c r="M187" s="32">
        <v>12.108000000000001</v>
      </c>
      <c r="O187" s="32">
        <v>99.305999999999997</v>
      </c>
      <c r="Q187" s="34">
        <f t="shared" si="41"/>
        <v>0.27993597327580205</v>
      </c>
      <c r="R187" s="34">
        <f t="shared" si="42"/>
        <v>0.30040937848902122</v>
      </c>
      <c r="S187" s="34">
        <f t="shared" si="43"/>
        <v>0.25605406754877136</v>
      </c>
      <c r="T187" s="34">
        <f t="shared" si="45"/>
        <v>51.763898440037451</v>
      </c>
      <c r="U187" s="34">
        <f t="shared" si="46"/>
        <v>33.469173556521149</v>
      </c>
      <c r="V187" s="34">
        <f t="shared" si="47"/>
        <v>30.613850468584314</v>
      </c>
      <c r="W187" s="34">
        <f t="shared" si="48"/>
        <v>35.916975974894541</v>
      </c>
      <c r="X187" s="34"/>
      <c r="Y187" s="32">
        <v>4.7100000000000003E-2</v>
      </c>
      <c r="AA187" s="32">
        <v>2.6219000000000001</v>
      </c>
      <c r="AB187" s="32">
        <v>5.7200000000000001E-2</v>
      </c>
      <c r="AC187" s="32">
        <v>4.7800000000000002E-2</v>
      </c>
      <c r="AD187" s="32">
        <v>3.9600000000000003E-2</v>
      </c>
      <c r="AE187" s="32">
        <v>0.2336</v>
      </c>
      <c r="AF187" s="32">
        <v>2.2000000000000001E-3</v>
      </c>
      <c r="AG187" s="32">
        <v>2.3982999999999999</v>
      </c>
      <c r="AH187" s="32">
        <v>8.3400000000000002E-2</v>
      </c>
      <c r="AI187" s="32">
        <v>7.7141999999999999</v>
      </c>
      <c r="AJ187" s="32">
        <v>2.8134000000000001</v>
      </c>
      <c r="AL187" s="32">
        <v>16.058700000000002</v>
      </c>
      <c r="AN187" s="34">
        <f t="shared" si="44"/>
        <v>4.9596602972399149</v>
      </c>
    </row>
    <row r="188" spans="1:40" s="32" customFormat="1" x14ac:dyDescent="0.25">
      <c r="A188" s="11" t="s">
        <v>266</v>
      </c>
      <c r="B188" s="32">
        <v>0.95799999999999996</v>
      </c>
      <c r="D188" s="32">
        <v>20.899000000000001</v>
      </c>
      <c r="E188" s="32">
        <v>0.28100000000000003</v>
      </c>
      <c r="F188" s="32">
        <v>0.16400000000000001</v>
      </c>
      <c r="G188" s="32">
        <v>0.318</v>
      </c>
      <c r="H188" s="32">
        <v>1.984</v>
      </c>
      <c r="I188" s="32">
        <v>0</v>
      </c>
      <c r="J188" s="32">
        <v>15.465</v>
      </c>
      <c r="K188" s="32">
        <v>0.57699999999999996</v>
      </c>
      <c r="L188" s="32">
        <v>48.256999999999998</v>
      </c>
      <c r="M188" s="32">
        <v>10.162000000000001</v>
      </c>
      <c r="O188" s="32">
        <v>99.064999999999998</v>
      </c>
      <c r="Q188" s="34">
        <f t="shared" si="41"/>
        <v>0.29089011065488207</v>
      </c>
      <c r="R188" s="34">
        <f t="shared" si="42"/>
        <v>0.2521275276020345</v>
      </c>
      <c r="S188" s="34">
        <f t="shared" si="43"/>
        <v>0.27577659688291306</v>
      </c>
      <c r="T188" s="34">
        <f t="shared" si="45"/>
        <v>46.430817314030975</v>
      </c>
      <c r="U188" s="34">
        <f t="shared" si="46"/>
        <v>35.526643712288141</v>
      </c>
      <c r="V188" s="34">
        <f t="shared" si="47"/>
        <v>33.680818091717178</v>
      </c>
      <c r="W188" s="34">
        <f t="shared" si="48"/>
        <v>30.792538195994673</v>
      </c>
      <c r="X188" s="34"/>
      <c r="Y188" s="32">
        <v>0.1135</v>
      </c>
      <c r="AA188" s="32">
        <v>2.754</v>
      </c>
      <c r="AB188" s="32">
        <v>3.5000000000000003E-2</v>
      </c>
      <c r="AC188" s="32">
        <v>0.05</v>
      </c>
      <c r="AD188" s="32">
        <v>4.2500000000000003E-2</v>
      </c>
      <c r="AE188" s="32">
        <v>0.36849999999999999</v>
      </c>
      <c r="AF188" s="32">
        <v>0</v>
      </c>
      <c r="AG188" s="32">
        <v>2.6111</v>
      </c>
      <c r="AH188" s="32">
        <v>7.6999999999999999E-2</v>
      </c>
      <c r="AI188" s="32">
        <v>7.6037999999999997</v>
      </c>
      <c r="AJ188" s="32">
        <v>2.387</v>
      </c>
      <c r="AL188" s="32">
        <v>16.042400000000001</v>
      </c>
      <c r="AN188" s="34">
        <f t="shared" si="44"/>
        <v>3.2466960352422904</v>
      </c>
    </row>
    <row r="189" spans="1:40" s="32" customFormat="1" x14ac:dyDescent="0.25">
      <c r="A189" s="11" t="s">
        <v>127</v>
      </c>
      <c r="B189" s="32">
        <v>0.30299999999999999</v>
      </c>
      <c r="D189" s="32">
        <v>17.376999999999999</v>
      </c>
      <c r="E189" s="32">
        <v>0.24299999999999999</v>
      </c>
      <c r="F189" s="32">
        <v>0.16500000000000001</v>
      </c>
      <c r="G189" s="32">
        <v>0.25800000000000001</v>
      </c>
      <c r="H189" s="32">
        <v>1.1879999999999999</v>
      </c>
      <c r="I189" s="32">
        <v>0</v>
      </c>
      <c r="J189" s="32">
        <v>16.123000000000001</v>
      </c>
      <c r="K189" s="32">
        <v>0.52</v>
      </c>
      <c r="L189" s="32">
        <v>51.741999999999997</v>
      </c>
      <c r="M189" s="32">
        <v>13.461</v>
      </c>
      <c r="O189" s="32">
        <v>101.38</v>
      </c>
      <c r="Q189" s="34">
        <f t="shared" ref="Q189:Q228" si="49">D189/(55.845+16)</f>
        <v>0.24186791008420905</v>
      </c>
      <c r="R189" s="34">
        <f t="shared" ref="R189:R228" si="50">M189/(24.305+16)</f>
        <v>0.33397841458876071</v>
      </c>
      <c r="S189" s="34">
        <f t="shared" ref="S189:S228" si="51">J189/(40.078+16)</f>
        <v>0.28751025357537718</v>
      </c>
      <c r="T189" s="34">
        <f t="shared" ref="T189:T228" si="52">R189/(Q189+R189)*100</f>
        <v>57.997837318564329</v>
      </c>
      <c r="U189" s="34">
        <f t="shared" ref="U189:U228" si="53">Q189/(Q189+R189+S189)*100</f>
        <v>28.014833752113383</v>
      </c>
      <c r="V189" s="34">
        <f t="shared" ref="V189:V228" si="54">S189/(Q189+R189+S189)*100</f>
        <v>33.301449345379758</v>
      </c>
      <c r="W189" s="34">
        <f t="shared" ref="W189:W228" si="55">R189/(Q189+R189+S189)*100</f>
        <v>38.683716902506873</v>
      </c>
      <c r="X189" s="34"/>
      <c r="Y189" s="32">
        <v>3.4299999999999997E-2</v>
      </c>
      <c r="AA189" s="32">
        <v>2.1888000000000001</v>
      </c>
      <c r="AB189" s="32">
        <v>2.9000000000000001E-2</v>
      </c>
      <c r="AC189" s="32">
        <v>4.82E-2</v>
      </c>
      <c r="AD189" s="32">
        <v>3.3000000000000002E-2</v>
      </c>
      <c r="AE189" s="32">
        <v>0.2109</v>
      </c>
      <c r="AF189" s="32">
        <v>0</v>
      </c>
      <c r="AG189" s="32">
        <v>2.6019999999999999</v>
      </c>
      <c r="AH189" s="32">
        <v>6.6299999999999998E-2</v>
      </c>
      <c r="AI189" s="32">
        <v>7.7927999999999997</v>
      </c>
      <c r="AJ189" s="32">
        <v>3.0223</v>
      </c>
      <c r="AL189" s="32">
        <v>16.0276</v>
      </c>
      <c r="AN189" s="34">
        <f t="shared" si="40"/>
        <v>6.1486880466472309</v>
      </c>
    </row>
    <row r="190" spans="1:40" s="32" customFormat="1" x14ac:dyDescent="0.25">
      <c r="A190" s="11" t="s">
        <v>128</v>
      </c>
      <c r="B190" s="32">
        <v>0.23</v>
      </c>
      <c r="D190" s="32">
        <v>17.512</v>
      </c>
      <c r="E190" s="32">
        <v>0.372</v>
      </c>
      <c r="F190" s="32">
        <v>0.16300000000000001</v>
      </c>
      <c r="G190" s="32">
        <v>0</v>
      </c>
      <c r="H190" s="32">
        <v>1.3009999999999999</v>
      </c>
      <c r="I190" s="32">
        <v>0</v>
      </c>
      <c r="J190" s="32">
        <v>15.412000000000001</v>
      </c>
      <c r="K190" s="32">
        <v>0.52900000000000003</v>
      </c>
      <c r="L190" s="32">
        <v>51.503</v>
      </c>
      <c r="M190" s="32">
        <v>13.236000000000001</v>
      </c>
      <c r="O190" s="32">
        <v>100.258</v>
      </c>
      <c r="Q190" s="34">
        <f t="shared" si="49"/>
        <v>0.24374695525088733</v>
      </c>
      <c r="R190" s="34">
        <f t="shared" si="50"/>
        <v>0.32839598064756237</v>
      </c>
      <c r="S190" s="34">
        <f t="shared" si="51"/>
        <v>0.27483148471771462</v>
      </c>
      <c r="T190" s="34">
        <f t="shared" si="52"/>
        <v>57.397541775443642</v>
      </c>
      <c r="U190" s="34">
        <f t="shared" si="53"/>
        <v>28.77854977881908</v>
      </c>
      <c r="V190" s="34">
        <f t="shared" si="54"/>
        <v>32.448616868237636</v>
      </c>
      <c r="W190" s="34">
        <f t="shared" si="55"/>
        <v>38.772833352943294</v>
      </c>
      <c r="X190" s="34"/>
      <c r="Y190" s="32">
        <v>2.64E-2</v>
      </c>
      <c r="AA190" s="32">
        <v>2.2303999999999999</v>
      </c>
      <c r="AB190" s="32">
        <v>4.4900000000000002E-2</v>
      </c>
      <c r="AC190" s="32">
        <v>4.8000000000000001E-2</v>
      </c>
      <c r="AD190" s="32">
        <v>0</v>
      </c>
      <c r="AE190" s="32">
        <v>0.2336</v>
      </c>
      <c r="AF190" s="32">
        <v>0</v>
      </c>
      <c r="AG190" s="32">
        <v>2.5148999999999999</v>
      </c>
      <c r="AH190" s="32">
        <v>6.83E-2</v>
      </c>
      <c r="AI190" s="32">
        <v>7.8434999999999997</v>
      </c>
      <c r="AJ190" s="32">
        <v>3.0049999999999999</v>
      </c>
      <c r="AL190" s="32">
        <v>16.015000000000001</v>
      </c>
      <c r="AN190" s="34">
        <f t="shared" si="40"/>
        <v>8.8484848484848477</v>
      </c>
    </row>
    <row r="191" spans="1:40" s="32" customFormat="1" x14ac:dyDescent="0.25">
      <c r="A191" s="11" t="s">
        <v>162</v>
      </c>
      <c r="B191" s="32">
        <v>0.45400000000000001</v>
      </c>
      <c r="D191" s="32">
        <v>18.648</v>
      </c>
      <c r="E191" s="32">
        <v>0.45100000000000001</v>
      </c>
      <c r="F191" s="32">
        <v>0.13500000000000001</v>
      </c>
      <c r="G191" s="32">
        <v>0.221</v>
      </c>
      <c r="H191" s="32">
        <v>1.796</v>
      </c>
      <c r="I191" s="32">
        <v>0</v>
      </c>
      <c r="J191" s="32">
        <v>14.244999999999999</v>
      </c>
      <c r="K191" s="32">
        <v>0.58399999999999996</v>
      </c>
      <c r="L191" s="32">
        <v>50.933999999999997</v>
      </c>
      <c r="M191" s="32">
        <v>13.586</v>
      </c>
      <c r="O191" s="32">
        <v>101.054</v>
      </c>
      <c r="Q191" s="34">
        <f t="shared" si="49"/>
        <v>0.2595587723571578</v>
      </c>
      <c r="R191" s="34">
        <f t="shared" si="50"/>
        <v>0.33707976677831536</v>
      </c>
      <c r="S191" s="34">
        <f t="shared" si="51"/>
        <v>0.2540211847783444</v>
      </c>
      <c r="T191" s="34">
        <f t="shared" si="52"/>
        <v>56.496478968110672</v>
      </c>
      <c r="U191" s="34">
        <f t="shared" si="53"/>
        <v>30.512643899836771</v>
      </c>
      <c r="V191" s="34">
        <f t="shared" si="54"/>
        <v>29.861668260207875</v>
      </c>
      <c r="W191" s="34">
        <f t="shared" si="55"/>
        <v>39.625687839955347</v>
      </c>
      <c r="X191" s="34"/>
      <c r="Y191" s="32">
        <v>5.1700000000000003E-2</v>
      </c>
      <c r="AA191" s="32">
        <v>2.3620000000000001</v>
      </c>
      <c r="AB191" s="32">
        <v>5.3999999999999999E-2</v>
      </c>
      <c r="AC191" s="32">
        <v>3.9699999999999999E-2</v>
      </c>
      <c r="AD191" s="32">
        <v>2.8400000000000002E-2</v>
      </c>
      <c r="AE191" s="32">
        <v>0.32069999999999999</v>
      </c>
      <c r="AF191" s="32">
        <v>0</v>
      </c>
      <c r="AG191" s="32">
        <v>2.3115999999999999</v>
      </c>
      <c r="AH191" s="32">
        <v>7.4899999999999994E-2</v>
      </c>
      <c r="AI191" s="32">
        <v>7.7140000000000004</v>
      </c>
      <c r="AJ191" s="32">
        <v>3.0672000000000001</v>
      </c>
      <c r="AL191" s="32">
        <v>16.0242</v>
      </c>
      <c r="AN191" s="34">
        <f t="shared" si="40"/>
        <v>6.2030947775628622</v>
      </c>
    </row>
    <row r="192" spans="1:40" s="32" customFormat="1" x14ac:dyDescent="0.25">
      <c r="A192" s="11" t="s">
        <v>192</v>
      </c>
      <c r="B192" s="32">
        <v>0.503</v>
      </c>
      <c r="D192" s="32">
        <v>18.190000000000001</v>
      </c>
      <c r="E192" s="32">
        <v>0.40699999999999997</v>
      </c>
      <c r="F192" s="32">
        <v>0.20200000000000001</v>
      </c>
      <c r="G192" s="32">
        <v>0.26900000000000002</v>
      </c>
      <c r="H192" s="32">
        <v>1.5860000000000001</v>
      </c>
      <c r="I192" s="32">
        <v>0</v>
      </c>
      <c r="J192" s="32">
        <v>15.842000000000001</v>
      </c>
      <c r="K192" s="32">
        <v>0.56499999999999995</v>
      </c>
      <c r="L192" s="32">
        <v>50.591000000000001</v>
      </c>
      <c r="M192" s="32">
        <v>12.891999999999999</v>
      </c>
      <c r="O192" s="32">
        <v>101.047</v>
      </c>
      <c r="Q192" s="34">
        <f t="shared" si="49"/>
        <v>0.25318393764353819</v>
      </c>
      <c r="R192" s="34">
        <f t="shared" si="50"/>
        <v>0.31986105942190796</v>
      </c>
      <c r="S192" s="34">
        <f t="shared" si="51"/>
        <v>0.28249937586932489</v>
      </c>
      <c r="T192" s="34">
        <f t="shared" si="52"/>
        <v>55.817791108885181</v>
      </c>
      <c r="U192" s="34">
        <f t="shared" si="53"/>
        <v>29.593314578768393</v>
      </c>
      <c r="V192" s="34">
        <f t="shared" si="54"/>
        <v>33.019839158110322</v>
      </c>
      <c r="W192" s="34">
        <f t="shared" si="55"/>
        <v>37.386846263121299</v>
      </c>
      <c r="X192" s="34"/>
      <c r="Y192" s="32">
        <v>5.7500000000000002E-2</v>
      </c>
      <c r="AA192" s="32">
        <v>2.3126000000000002</v>
      </c>
      <c r="AB192" s="32">
        <v>4.8899999999999999E-2</v>
      </c>
      <c r="AC192" s="32">
        <v>5.9499999999999997E-2</v>
      </c>
      <c r="AD192" s="32">
        <v>3.4599999999999999E-2</v>
      </c>
      <c r="AE192" s="32">
        <v>0.28420000000000001</v>
      </c>
      <c r="AF192" s="32">
        <v>0</v>
      </c>
      <c r="AG192" s="32">
        <v>2.5804999999999998</v>
      </c>
      <c r="AH192" s="32">
        <v>7.2800000000000004E-2</v>
      </c>
      <c r="AI192" s="32">
        <v>7.6909000000000001</v>
      </c>
      <c r="AJ192" s="32">
        <v>2.9215</v>
      </c>
      <c r="AL192" s="32">
        <v>16.062999999999999</v>
      </c>
      <c r="AN192" s="34">
        <f t="shared" si="40"/>
        <v>4.942608695652174</v>
      </c>
    </row>
    <row r="193" spans="1:40" s="32" customFormat="1" x14ac:dyDescent="0.25">
      <c r="A193" s="11" t="s">
        <v>191</v>
      </c>
      <c r="B193" s="32">
        <v>0.497</v>
      </c>
      <c r="D193" s="32">
        <v>21.166</v>
      </c>
      <c r="E193" s="32">
        <v>0.46899999999999997</v>
      </c>
      <c r="F193" s="32">
        <v>0.158</v>
      </c>
      <c r="G193" s="32">
        <v>0.14499999999999999</v>
      </c>
      <c r="H193" s="32">
        <v>2.0379999999999998</v>
      </c>
      <c r="I193" s="32">
        <v>5.0000000000000001E-3</v>
      </c>
      <c r="J193" s="32">
        <v>10.313000000000001</v>
      </c>
      <c r="K193" s="32">
        <v>0.65900000000000003</v>
      </c>
      <c r="L193" s="32">
        <v>50.521999999999998</v>
      </c>
      <c r="M193" s="32">
        <v>14.913</v>
      </c>
      <c r="O193" s="32">
        <v>100.88500000000001</v>
      </c>
      <c r="Q193" s="34">
        <f t="shared" si="49"/>
        <v>0.29460644442897904</v>
      </c>
      <c r="R193" s="34">
        <f t="shared" si="50"/>
        <v>0.37000372162262746</v>
      </c>
      <c r="S193" s="34">
        <f t="shared" si="51"/>
        <v>0.18390456150361995</v>
      </c>
      <c r="T193" s="34">
        <f t="shared" si="52"/>
        <v>55.672293401828121</v>
      </c>
      <c r="U193" s="34">
        <f t="shared" si="53"/>
        <v>34.720251147297176</v>
      </c>
      <c r="V193" s="34">
        <f t="shared" si="54"/>
        <v>21.673702946028161</v>
      </c>
      <c r="W193" s="34">
        <f t="shared" si="55"/>
        <v>43.606045906674659</v>
      </c>
      <c r="X193" s="34"/>
      <c r="Y193" s="32">
        <v>5.6800000000000003E-2</v>
      </c>
      <c r="AA193" s="32">
        <v>2.6896</v>
      </c>
      <c r="AB193" s="32">
        <v>5.6399999999999999E-2</v>
      </c>
      <c r="AC193" s="32">
        <v>4.6600000000000003E-2</v>
      </c>
      <c r="AD193" s="32">
        <v>1.8599999999999998E-2</v>
      </c>
      <c r="AE193" s="32">
        <v>0.36509999999999998</v>
      </c>
      <c r="AF193" s="32">
        <v>1E-3</v>
      </c>
      <c r="AG193" s="32">
        <v>1.679</v>
      </c>
      <c r="AH193" s="32">
        <v>8.48E-2</v>
      </c>
      <c r="AI193" s="32">
        <v>7.6764000000000001</v>
      </c>
      <c r="AJ193" s="32">
        <v>3.3776999999999999</v>
      </c>
      <c r="AL193" s="32">
        <v>16.052</v>
      </c>
      <c r="AN193" s="34">
        <f t="shared" si="40"/>
        <v>6.4278169014084501</v>
      </c>
    </row>
    <row r="194" spans="1:40" s="32" customFormat="1" x14ac:dyDescent="0.25">
      <c r="A194" s="11" t="s">
        <v>65</v>
      </c>
      <c r="B194" s="32">
        <v>0.48899999999999999</v>
      </c>
      <c r="D194" s="32">
        <v>19.166</v>
      </c>
      <c r="E194" s="32">
        <v>0.36399999999999999</v>
      </c>
      <c r="F194" s="32">
        <v>0.13600000000000001</v>
      </c>
      <c r="G194" s="32">
        <v>0.218</v>
      </c>
      <c r="H194" s="32">
        <v>1.1819999999999999</v>
      </c>
      <c r="I194" s="32">
        <v>6.0000000000000001E-3</v>
      </c>
      <c r="J194" s="32">
        <v>14.919</v>
      </c>
      <c r="K194" s="32">
        <v>0.58899999999999997</v>
      </c>
      <c r="L194" s="32">
        <v>51.018000000000001</v>
      </c>
      <c r="M194" s="32">
        <v>13.275</v>
      </c>
      <c r="O194" s="32">
        <v>101.36199999999999</v>
      </c>
      <c r="Q194" s="34">
        <f t="shared" si="49"/>
        <v>0.2667687382559677</v>
      </c>
      <c r="R194" s="34">
        <f t="shared" si="50"/>
        <v>0.3293636025307034</v>
      </c>
      <c r="S194" s="34">
        <f t="shared" si="51"/>
        <v>0.26604015835086842</v>
      </c>
      <c r="T194" s="34">
        <f t="shared" si="52"/>
        <v>55.250081231302929</v>
      </c>
      <c r="U194" s="34">
        <f t="shared" si="53"/>
        <v>30.941457599590056</v>
      </c>
      <c r="V194" s="34">
        <f t="shared" si="54"/>
        <v>30.856952479578908</v>
      </c>
      <c r="W194" s="34">
        <f t="shared" si="55"/>
        <v>38.201589920831047</v>
      </c>
      <c r="X194" s="34"/>
      <c r="Y194" s="32">
        <v>5.5800000000000002E-2</v>
      </c>
      <c r="AA194" s="32">
        <v>2.4318</v>
      </c>
      <c r="AB194" s="32">
        <v>4.3700000000000003E-2</v>
      </c>
      <c r="AC194" s="32">
        <v>4.0099999999999997E-2</v>
      </c>
      <c r="AD194" s="32">
        <v>2.8000000000000001E-2</v>
      </c>
      <c r="AE194" s="32">
        <v>0.2114</v>
      </c>
      <c r="AF194" s="32">
        <v>1.1000000000000001E-3</v>
      </c>
      <c r="AG194" s="32">
        <v>2.4251999999999998</v>
      </c>
      <c r="AH194" s="32">
        <v>7.5700000000000003E-2</v>
      </c>
      <c r="AI194" s="32">
        <v>7.7401</v>
      </c>
      <c r="AJ194" s="32">
        <v>3.0023</v>
      </c>
      <c r="AL194" s="32">
        <v>16.055199999999999</v>
      </c>
      <c r="AN194" s="34">
        <f t="shared" si="40"/>
        <v>3.7885304659498207</v>
      </c>
    </row>
    <row r="195" spans="1:40" s="32" customFormat="1" x14ac:dyDescent="0.25">
      <c r="A195" s="11" t="s">
        <v>195</v>
      </c>
      <c r="B195" s="32">
        <v>0.14899999999999999</v>
      </c>
      <c r="D195" s="32">
        <v>20.907</v>
      </c>
      <c r="E195" s="32">
        <v>0.47399999999999998</v>
      </c>
      <c r="F195" s="32">
        <v>0.13800000000000001</v>
      </c>
      <c r="G195" s="32">
        <v>0</v>
      </c>
      <c r="H195" s="32">
        <v>1.018</v>
      </c>
      <c r="I195" s="32">
        <v>0</v>
      </c>
      <c r="J195" s="32">
        <v>11.744</v>
      </c>
      <c r="K195" s="32">
        <v>0.57199999999999995</v>
      </c>
      <c r="L195" s="32">
        <v>51.331000000000003</v>
      </c>
      <c r="M195" s="32">
        <v>14.477</v>
      </c>
      <c r="O195" s="32">
        <v>100.81</v>
      </c>
      <c r="Q195" s="34">
        <f t="shared" si="49"/>
        <v>0.29100146147957406</v>
      </c>
      <c r="R195" s="34">
        <f t="shared" si="50"/>
        <v>0.35918620518546085</v>
      </c>
      <c r="S195" s="34">
        <f t="shared" si="51"/>
        <v>0.20942258996397872</v>
      </c>
      <c r="T195" s="34">
        <f t="shared" si="52"/>
        <v>55.243466402217557</v>
      </c>
      <c r="U195" s="34">
        <f t="shared" si="53"/>
        <v>33.852720955278585</v>
      </c>
      <c r="V195" s="34">
        <f t="shared" si="54"/>
        <v>24.362504792024637</v>
      </c>
      <c r="W195" s="34">
        <f t="shared" si="55"/>
        <v>41.784774252696785</v>
      </c>
      <c r="X195" s="34"/>
      <c r="Y195" s="32">
        <v>1.7100000000000001E-2</v>
      </c>
      <c r="AA195" s="32">
        <v>2.6640999999999999</v>
      </c>
      <c r="AB195" s="32">
        <v>5.7099999999999998E-2</v>
      </c>
      <c r="AC195" s="32">
        <v>4.0899999999999999E-2</v>
      </c>
      <c r="AD195" s="32">
        <v>0</v>
      </c>
      <c r="AE195" s="32">
        <v>0.18279999999999999</v>
      </c>
      <c r="AF195" s="32">
        <v>0</v>
      </c>
      <c r="AG195" s="32">
        <v>1.9174</v>
      </c>
      <c r="AH195" s="32">
        <v>7.3800000000000004E-2</v>
      </c>
      <c r="AI195" s="32">
        <v>7.8211000000000004</v>
      </c>
      <c r="AJ195" s="32">
        <v>3.2881</v>
      </c>
      <c r="AL195" s="32">
        <v>16.0624</v>
      </c>
      <c r="AN195" s="34">
        <f t="shared" si="40"/>
        <v>10.690058479532162</v>
      </c>
    </row>
    <row r="196" spans="1:40" s="32" customFormat="1" x14ac:dyDescent="0.25">
      <c r="A196" s="11" t="s">
        <v>258</v>
      </c>
      <c r="B196" s="32">
        <v>0.29899999999999999</v>
      </c>
      <c r="D196" s="32">
        <v>19.155000000000001</v>
      </c>
      <c r="E196" s="32">
        <v>0.32500000000000001</v>
      </c>
      <c r="F196" s="32">
        <v>0.188</v>
      </c>
      <c r="G196" s="32">
        <v>0</v>
      </c>
      <c r="H196" s="32">
        <v>1.2310000000000001</v>
      </c>
      <c r="I196" s="32">
        <v>0</v>
      </c>
      <c r="J196" s="32">
        <v>14.856999999999999</v>
      </c>
      <c r="K196" s="32">
        <v>0.57199999999999995</v>
      </c>
      <c r="L196" s="32">
        <v>51.287999999999997</v>
      </c>
      <c r="M196" s="32">
        <v>13.252000000000001</v>
      </c>
      <c r="O196" s="32">
        <v>101.167</v>
      </c>
      <c r="Q196" s="34">
        <f t="shared" si="49"/>
        <v>0.26661563087201617</v>
      </c>
      <c r="R196" s="34">
        <f t="shared" si="50"/>
        <v>0.32879295372782535</v>
      </c>
      <c r="S196" s="34">
        <f t="shared" si="51"/>
        <v>0.26493455544063621</v>
      </c>
      <c r="T196" s="34">
        <f t="shared" si="52"/>
        <v>55.221399595506071</v>
      </c>
      <c r="U196" s="34">
        <f t="shared" si="53"/>
        <v>30.989452750151798</v>
      </c>
      <c r="V196" s="34">
        <f t="shared" si="54"/>
        <v>30.794056825765065</v>
      </c>
      <c r="W196" s="34">
        <f t="shared" si="55"/>
        <v>38.21649042408314</v>
      </c>
      <c r="X196" s="34"/>
      <c r="Y196" s="32">
        <v>3.4099999999999998E-2</v>
      </c>
      <c r="AA196" s="32">
        <v>2.4340999999999999</v>
      </c>
      <c r="AB196" s="32">
        <v>3.9100000000000003E-2</v>
      </c>
      <c r="AC196" s="32">
        <v>5.5399999999999998E-2</v>
      </c>
      <c r="AD196" s="32">
        <v>0</v>
      </c>
      <c r="AE196" s="32">
        <v>0.22040000000000001</v>
      </c>
      <c r="AF196" s="32">
        <v>0</v>
      </c>
      <c r="AG196" s="32">
        <v>2.4188999999999998</v>
      </c>
      <c r="AH196" s="32">
        <v>7.3700000000000002E-2</v>
      </c>
      <c r="AI196" s="32">
        <v>7.7931999999999997</v>
      </c>
      <c r="AJ196" s="32">
        <v>3.0017</v>
      </c>
      <c r="AL196" s="32">
        <v>16.070599999999999</v>
      </c>
      <c r="AN196" s="34">
        <f t="shared" si="40"/>
        <v>6.4633431085043993</v>
      </c>
    </row>
    <row r="197" spans="1:40" s="32" customFormat="1" x14ac:dyDescent="0.25">
      <c r="A197" s="11" t="s">
        <v>661</v>
      </c>
      <c r="B197" s="32">
        <v>0.35399999999999998</v>
      </c>
      <c r="D197" s="32">
        <v>19.349</v>
      </c>
      <c r="E197" s="32">
        <v>0.22500000000000001</v>
      </c>
      <c r="F197" s="32">
        <v>0.15</v>
      </c>
      <c r="G197" s="32">
        <v>0</v>
      </c>
      <c r="H197" s="32">
        <v>1.151</v>
      </c>
      <c r="I197" s="32">
        <v>4.0000000000000001E-3</v>
      </c>
      <c r="J197" s="32">
        <v>14.673</v>
      </c>
      <c r="K197" s="32">
        <v>0.55200000000000005</v>
      </c>
      <c r="L197" s="32">
        <v>51.332999999999998</v>
      </c>
      <c r="M197" s="32">
        <v>13.331</v>
      </c>
      <c r="O197" s="32">
        <v>101.122</v>
      </c>
      <c r="Q197" s="34">
        <f t="shared" si="49"/>
        <v>0.26931588837079823</v>
      </c>
      <c r="R197" s="34">
        <f t="shared" si="50"/>
        <v>0.33075300831162385</v>
      </c>
      <c r="S197" s="34">
        <f t="shared" si="51"/>
        <v>0.26165341131994718</v>
      </c>
      <c r="T197" s="34">
        <f t="shared" si="52"/>
        <v>55.119172171769826</v>
      </c>
      <c r="U197" s="34">
        <f t="shared" si="53"/>
        <v>31.25321067701287</v>
      </c>
      <c r="V197" s="34">
        <f t="shared" si="54"/>
        <v>30.364005769620601</v>
      </c>
      <c r="W197" s="34">
        <f t="shared" si="55"/>
        <v>38.382783553366529</v>
      </c>
      <c r="X197" s="34"/>
      <c r="Y197" s="32">
        <v>4.0500000000000001E-2</v>
      </c>
      <c r="AA197" s="32">
        <v>2.4597000000000002</v>
      </c>
      <c r="AB197" s="32">
        <v>2.7099999999999999E-2</v>
      </c>
      <c r="AC197" s="32">
        <v>4.41E-2</v>
      </c>
      <c r="AD197" s="32">
        <v>0</v>
      </c>
      <c r="AE197" s="32">
        <v>0.20630000000000001</v>
      </c>
      <c r="AF197" s="32">
        <v>8.0000000000000004E-4</v>
      </c>
      <c r="AG197" s="32">
        <v>2.3898999999999999</v>
      </c>
      <c r="AH197" s="32">
        <v>7.1099999999999997E-2</v>
      </c>
      <c r="AI197" s="32">
        <v>7.8026</v>
      </c>
      <c r="AJ197" s="32">
        <v>3.0206</v>
      </c>
      <c r="AL197" s="32">
        <v>16.0627</v>
      </c>
      <c r="AN197" s="34">
        <f t="shared" si="40"/>
        <v>5.0938271604938272</v>
      </c>
    </row>
    <row r="198" spans="1:40" s="32" customFormat="1" x14ac:dyDescent="0.25">
      <c r="A198" s="11" t="s">
        <v>221</v>
      </c>
      <c r="B198" s="32">
        <v>0.317</v>
      </c>
      <c r="D198" s="32">
        <v>19.564</v>
      </c>
      <c r="E198" s="32">
        <v>0.36799999999999999</v>
      </c>
      <c r="F198" s="32">
        <v>0.18099999999999999</v>
      </c>
      <c r="G198" s="32">
        <v>0.255</v>
      </c>
      <c r="H198" s="32">
        <v>1.3340000000000001</v>
      </c>
      <c r="I198" s="32">
        <v>1E-3</v>
      </c>
      <c r="J198" s="32">
        <v>14.319000000000001</v>
      </c>
      <c r="K198" s="32">
        <v>0.57499999999999996</v>
      </c>
      <c r="L198" s="32">
        <v>51.014000000000003</v>
      </c>
      <c r="M198" s="32">
        <v>13.471</v>
      </c>
      <c r="O198" s="32">
        <v>101.399</v>
      </c>
      <c r="Q198" s="34">
        <f t="shared" si="49"/>
        <v>0.27230844178439695</v>
      </c>
      <c r="R198" s="34">
        <f t="shared" si="50"/>
        <v>0.33422652276392506</v>
      </c>
      <c r="S198" s="34">
        <f t="shared" si="51"/>
        <v>0.25534077534862154</v>
      </c>
      <c r="T198" s="34">
        <f t="shared" si="52"/>
        <v>55.104246630335453</v>
      </c>
      <c r="U198" s="34">
        <f t="shared" si="53"/>
        <v>31.59486097345744</v>
      </c>
      <c r="V198" s="34">
        <f t="shared" si="54"/>
        <v>29.626170401217379</v>
      </c>
      <c r="W198" s="34">
        <f t="shared" si="55"/>
        <v>38.778968625325192</v>
      </c>
      <c r="X198" s="34"/>
      <c r="Y198" s="32">
        <v>3.61E-2</v>
      </c>
      <c r="AA198" s="32">
        <v>2.4807999999999999</v>
      </c>
      <c r="AB198" s="32">
        <v>4.41E-2</v>
      </c>
      <c r="AC198" s="32">
        <v>5.3100000000000001E-2</v>
      </c>
      <c r="AD198" s="32">
        <v>3.27E-2</v>
      </c>
      <c r="AE198" s="32">
        <v>0.2384</v>
      </c>
      <c r="AF198" s="32">
        <v>1E-4</v>
      </c>
      <c r="AG198" s="32">
        <v>2.3264</v>
      </c>
      <c r="AH198" s="32">
        <v>7.3800000000000004E-2</v>
      </c>
      <c r="AI198" s="32">
        <v>7.7348999999999997</v>
      </c>
      <c r="AJ198" s="32">
        <v>3.0449000000000002</v>
      </c>
      <c r="AL198" s="32">
        <v>16.065300000000001</v>
      </c>
      <c r="AN198" s="34">
        <f t="shared" si="40"/>
        <v>6.6038781163434903</v>
      </c>
    </row>
    <row r="199" spans="1:40" s="32" customFormat="1" x14ac:dyDescent="0.25">
      <c r="A199" s="11" t="s">
        <v>121</v>
      </c>
      <c r="B199" s="32">
        <v>0.27100000000000002</v>
      </c>
      <c r="D199" s="32">
        <v>19.21</v>
      </c>
      <c r="E199" s="32">
        <v>0.23</v>
      </c>
      <c r="F199" s="32">
        <v>0.156</v>
      </c>
      <c r="G199" s="32">
        <v>0.26900000000000002</v>
      </c>
      <c r="H199" s="32">
        <v>1.1279999999999999</v>
      </c>
      <c r="I199" s="32">
        <v>8.9999999999999993E-3</v>
      </c>
      <c r="J199" s="32">
        <v>14.879</v>
      </c>
      <c r="K199" s="32">
        <v>0.61099999999999999</v>
      </c>
      <c r="L199" s="32">
        <v>51.119</v>
      </c>
      <c r="M199" s="32">
        <v>13.204000000000001</v>
      </c>
      <c r="O199" s="32">
        <v>101.086</v>
      </c>
      <c r="Q199" s="34">
        <f t="shared" si="49"/>
        <v>0.26738116779177395</v>
      </c>
      <c r="R199" s="34">
        <f t="shared" si="50"/>
        <v>0.32760203448703634</v>
      </c>
      <c r="S199" s="34">
        <f t="shared" si="51"/>
        <v>0.2653268661507186</v>
      </c>
      <c r="T199" s="34">
        <f t="shared" si="52"/>
        <v>55.060719904748069</v>
      </c>
      <c r="U199" s="34">
        <f t="shared" si="53"/>
        <v>31.07962786950414</v>
      </c>
      <c r="V199" s="34">
        <f t="shared" si="54"/>
        <v>30.840841678752533</v>
      </c>
      <c r="W199" s="34">
        <f t="shared" si="55"/>
        <v>38.079530451743331</v>
      </c>
      <c r="X199" s="34"/>
      <c r="Y199" s="32">
        <v>3.1E-2</v>
      </c>
      <c r="AA199" s="32">
        <v>2.4426999999999999</v>
      </c>
      <c r="AB199" s="32">
        <v>2.7699999999999999E-2</v>
      </c>
      <c r="AC199" s="32">
        <v>4.5900000000000003E-2</v>
      </c>
      <c r="AD199" s="32">
        <v>3.4599999999999999E-2</v>
      </c>
      <c r="AE199" s="32">
        <v>0.20219999999999999</v>
      </c>
      <c r="AF199" s="32">
        <v>1.6999999999999999E-3</v>
      </c>
      <c r="AG199" s="32">
        <v>2.4239999999999999</v>
      </c>
      <c r="AH199" s="32">
        <v>7.8700000000000006E-2</v>
      </c>
      <c r="AI199" s="32">
        <v>7.7724000000000002</v>
      </c>
      <c r="AJ199" s="32">
        <v>2.9925999999999999</v>
      </c>
      <c r="AL199" s="32">
        <v>16.0535</v>
      </c>
      <c r="AN199" s="34">
        <f t="shared" si="40"/>
        <v>6.5225806451612902</v>
      </c>
    </row>
    <row r="200" spans="1:40" s="32" customFormat="1" x14ac:dyDescent="0.25">
      <c r="A200" s="11" t="s">
        <v>662</v>
      </c>
      <c r="B200" s="32">
        <v>0.20300000000000001</v>
      </c>
      <c r="D200" s="32">
        <v>18.97</v>
      </c>
      <c r="E200" s="32">
        <v>0.48799999999999999</v>
      </c>
      <c r="F200" s="32">
        <v>0.20300000000000001</v>
      </c>
      <c r="G200" s="32">
        <v>0.29899999999999999</v>
      </c>
      <c r="H200" s="32">
        <v>1.248</v>
      </c>
      <c r="I200" s="32">
        <v>1E-3</v>
      </c>
      <c r="J200" s="32">
        <v>15.43</v>
      </c>
      <c r="K200" s="32">
        <v>0.54400000000000004</v>
      </c>
      <c r="L200" s="32">
        <v>50.731999999999999</v>
      </c>
      <c r="M200" s="32">
        <v>12.711</v>
      </c>
      <c r="O200" s="32">
        <v>100.82899999999999</v>
      </c>
      <c r="Q200" s="34">
        <f t="shared" si="49"/>
        <v>0.2640406430510126</v>
      </c>
      <c r="R200" s="34">
        <f t="shared" si="50"/>
        <v>0.31537030145143286</v>
      </c>
      <c r="S200" s="34">
        <f t="shared" si="51"/>
        <v>0.275152466207782</v>
      </c>
      <c r="T200" s="34">
        <f t="shared" si="52"/>
        <v>54.429469177916403</v>
      </c>
      <c r="U200" s="34">
        <f t="shared" si="53"/>
        <v>30.897723883540539</v>
      </c>
      <c r="V200" s="34">
        <f t="shared" si="54"/>
        <v>32.19801629221439</v>
      </c>
      <c r="W200" s="34">
        <f t="shared" si="55"/>
        <v>36.904259824245067</v>
      </c>
      <c r="X200" s="34"/>
      <c r="Y200" s="32">
        <v>2.3300000000000001E-2</v>
      </c>
      <c r="AA200" s="32">
        <v>2.4222000000000001</v>
      </c>
      <c r="AB200" s="32">
        <v>5.8900000000000001E-2</v>
      </c>
      <c r="AC200" s="32">
        <v>6.0100000000000001E-2</v>
      </c>
      <c r="AD200" s="32">
        <v>3.8699999999999998E-2</v>
      </c>
      <c r="AE200" s="32">
        <v>0.22459999999999999</v>
      </c>
      <c r="AF200" s="32">
        <v>1E-4</v>
      </c>
      <c r="AG200" s="32">
        <v>2.5243000000000002</v>
      </c>
      <c r="AH200" s="32">
        <v>7.0400000000000004E-2</v>
      </c>
      <c r="AI200" s="32">
        <v>7.7457000000000003</v>
      </c>
      <c r="AJ200" s="32">
        <v>2.8929999999999998</v>
      </c>
      <c r="AL200" s="32">
        <v>16.061299999999999</v>
      </c>
      <c r="AN200" s="34">
        <f t="shared" si="40"/>
        <v>9.6394849785407715</v>
      </c>
    </row>
    <row r="201" spans="1:40" s="32" customFormat="1" x14ac:dyDescent="0.25">
      <c r="A201" s="11" t="s">
        <v>130</v>
      </c>
      <c r="B201" s="32">
        <v>0.46100000000000002</v>
      </c>
      <c r="D201" s="32">
        <v>19.433</v>
      </c>
      <c r="E201" s="32">
        <v>0.41899999999999998</v>
      </c>
      <c r="F201" s="32">
        <v>0.185</v>
      </c>
      <c r="G201" s="32">
        <v>0.19800000000000001</v>
      </c>
      <c r="H201" s="32">
        <v>1.5920000000000001</v>
      </c>
      <c r="I201" s="32">
        <v>0</v>
      </c>
      <c r="J201" s="32">
        <v>14.534000000000001</v>
      </c>
      <c r="K201" s="32">
        <v>0.55000000000000004</v>
      </c>
      <c r="L201" s="32">
        <v>50.667000000000002</v>
      </c>
      <c r="M201" s="32">
        <v>13.019</v>
      </c>
      <c r="O201" s="32">
        <v>101.05800000000001</v>
      </c>
      <c r="Q201" s="34">
        <f t="shared" si="49"/>
        <v>0.27048507203006472</v>
      </c>
      <c r="R201" s="34">
        <f t="shared" si="50"/>
        <v>0.32301203324649547</v>
      </c>
      <c r="S201" s="34">
        <f t="shared" si="51"/>
        <v>0.25917472092442667</v>
      </c>
      <c r="T201" s="34">
        <f t="shared" si="52"/>
        <v>54.425207869544202</v>
      </c>
      <c r="U201" s="34">
        <f t="shared" si="53"/>
        <v>31.722060436216115</v>
      </c>
      <c r="V201" s="34">
        <f t="shared" si="54"/>
        <v>30.395600389326749</v>
      </c>
      <c r="W201" s="34">
        <f t="shared" si="55"/>
        <v>37.88233917445713</v>
      </c>
      <c r="X201" s="34"/>
      <c r="Y201" s="32">
        <v>5.28E-2</v>
      </c>
      <c r="AA201" s="32">
        <v>2.4744000000000002</v>
      </c>
      <c r="AB201" s="32">
        <v>5.04E-2</v>
      </c>
      <c r="AC201" s="32">
        <v>5.4600000000000003E-2</v>
      </c>
      <c r="AD201" s="32">
        <v>2.5499999999999998E-2</v>
      </c>
      <c r="AE201" s="32">
        <v>0.28560000000000002</v>
      </c>
      <c r="AF201" s="32">
        <v>0</v>
      </c>
      <c r="AG201" s="32">
        <v>2.371</v>
      </c>
      <c r="AH201" s="32">
        <v>7.0999999999999994E-2</v>
      </c>
      <c r="AI201" s="32">
        <v>7.7141000000000002</v>
      </c>
      <c r="AJ201" s="32">
        <v>2.9548999999999999</v>
      </c>
      <c r="AL201" s="32">
        <v>16.054300000000001</v>
      </c>
      <c r="AN201" s="34">
        <f t="shared" si="40"/>
        <v>5.4090909090909092</v>
      </c>
    </row>
    <row r="202" spans="1:40" s="32" customFormat="1" x14ac:dyDescent="0.25">
      <c r="A202" s="11" t="s">
        <v>54</v>
      </c>
      <c r="B202" s="32">
        <v>0.34399999999999997</v>
      </c>
      <c r="D202" s="32">
        <v>19.527000000000001</v>
      </c>
      <c r="E202" s="32">
        <v>0.38700000000000001</v>
      </c>
      <c r="F202" s="32">
        <v>0.20100000000000001</v>
      </c>
      <c r="G202" s="32">
        <v>0.27</v>
      </c>
      <c r="H202" s="32">
        <v>1.3620000000000001</v>
      </c>
      <c r="I202" s="32">
        <v>8.0000000000000002E-3</v>
      </c>
      <c r="J202" s="32">
        <v>14.97</v>
      </c>
      <c r="K202" s="32">
        <v>0.60699999999999998</v>
      </c>
      <c r="L202" s="32">
        <v>50.826999999999998</v>
      </c>
      <c r="M202" s="32">
        <v>12.601000000000001</v>
      </c>
      <c r="O202" s="32">
        <v>101.104</v>
      </c>
      <c r="Q202" s="34">
        <f t="shared" si="49"/>
        <v>0.2717934442201963</v>
      </c>
      <c r="R202" s="34">
        <f t="shared" si="50"/>
        <v>0.31264111152462476</v>
      </c>
      <c r="S202" s="34">
        <f t="shared" si="51"/>
        <v>0.26694960590605943</v>
      </c>
      <c r="T202" s="34">
        <f t="shared" si="52"/>
        <v>53.494631426470917</v>
      </c>
      <c r="U202" s="34">
        <f t="shared" si="53"/>
        <v>31.923713931108839</v>
      </c>
      <c r="V202" s="34">
        <f t="shared" si="54"/>
        <v>31.354777071308153</v>
      </c>
      <c r="W202" s="34">
        <f t="shared" si="55"/>
        <v>36.721508997583008</v>
      </c>
      <c r="X202" s="34"/>
      <c r="Y202" s="32">
        <v>3.95E-2</v>
      </c>
      <c r="AA202" s="32">
        <v>2.4889000000000001</v>
      </c>
      <c r="AB202" s="32">
        <v>4.6600000000000003E-2</v>
      </c>
      <c r="AC202" s="32">
        <v>5.9400000000000001E-2</v>
      </c>
      <c r="AD202" s="32">
        <v>3.4799999999999998E-2</v>
      </c>
      <c r="AE202" s="32">
        <v>0.2447</v>
      </c>
      <c r="AF202" s="32">
        <v>1.5E-3</v>
      </c>
      <c r="AG202" s="32">
        <v>2.4445999999999999</v>
      </c>
      <c r="AH202" s="32">
        <v>7.8299999999999995E-2</v>
      </c>
      <c r="AI202" s="32">
        <v>7.7460000000000004</v>
      </c>
      <c r="AJ202" s="32">
        <v>2.8628</v>
      </c>
      <c r="AL202" s="32">
        <v>16.0471</v>
      </c>
      <c r="AN202" s="34">
        <f t="shared" si="40"/>
        <v>6.1949367088607596</v>
      </c>
    </row>
    <row r="203" spans="1:40" s="32" customFormat="1" x14ac:dyDescent="0.25">
      <c r="A203" s="11" t="s">
        <v>235</v>
      </c>
      <c r="B203" s="32">
        <v>0.43099999999999999</v>
      </c>
      <c r="D203" s="32">
        <v>19.277000000000001</v>
      </c>
      <c r="E203" s="32">
        <v>0.39300000000000002</v>
      </c>
      <c r="F203" s="32">
        <v>0.20100000000000001</v>
      </c>
      <c r="G203" s="32">
        <v>0.29499999999999998</v>
      </c>
      <c r="H203" s="32">
        <v>1.3879999999999999</v>
      </c>
      <c r="I203" s="32">
        <v>4.0000000000000001E-3</v>
      </c>
      <c r="J203" s="32">
        <v>15.335000000000001</v>
      </c>
      <c r="K203" s="32">
        <v>0.54900000000000004</v>
      </c>
      <c r="L203" s="32">
        <v>50.648000000000003</v>
      </c>
      <c r="M203" s="32">
        <v>12.433</v>
      </c>
      <c r="O203" s="32">
        <v>100.95399999999999</v>
      </c>
      <c r="Q203" s="34">
        <f t="shared" si="49"/>
        <v>0.26831373094856986</v>
      </c>
      <c r="R203" s="34">
        <f t="shared" si="50"/>
        <v>0.3084728941818633</v>
      </c>
      <c r="S203" s="34">
        <f t="shared" si="51"/>
        <v>0.27345839723242626</v>
      </c>
      <c r="T203" s="34">
        <f t="shared" si="52"/>
        <v>53.481284194498436</v>
      </c>
      <c r="U203" s="34">
        <f t="shared" si="53"/>
        <v>31.557224551919987</v>
      </c>
      <c r="V203" s="34">
        <f t="shared" si="54"/>
        <v>32.162304987387778</v>
      </c>
      <c r="W203" s="34">
        <f t="shared" si="55"/>
        <v>36.280470460692236</v>
      </c>
      <c r="X203" s="34"/>
      <c r="Y203" s="32">
        <v>4.9399999999999999E-2</v>
      </c>
      <c r="AA203" s="32">
        <v>2.4607000000000001</v>
      </c>
      <c r="AB203" s="32">
        <v>4.7500000000000001E-2</v>
      </c>
      <c r="AC203" s="32">
        <v>5.9299999999999999E-2</v>
      </c>
      <c r="AD203" s="32">
        <v>3.8100000000000002E-2</v>
      </c>
      <c r="AE203" s="32">
        <v>0.24979999999999999</v>
      </c>
      <c r="AF203" s="32">
        <v>6.9999999999999999E-4</v>
      </c>
      <c r="AG203" s="32">
        <v>2.508</v>
      </c>
      <c r="AH203" s="32">
        <v>7.0999999999999994E-2</v>
      </c>
      <c r="AI203" s="32">
        <v>7.7305999999999999</v>
      </c>
      <c r="AJ203" s="32">
        <v>2.8290000000000002</v>
      </c>
      <c r="AL203" s="32">
        <v>16.0441</v>
      </c>
      <c r="AN203" s="34">
        <f t="shared" si="40"/>
        <v>5.0566801619433202</v>
      </c>
    </row>
    <row r="204" spans="1:40" s="32" customFormat="1" x14ac:dyDescent="0.25">
      <c r="A204" s="11" t="s">
        <v>247</v>
      </c>
      <c r="B204" s="32">
        <v>0.60899999999999999</v>
      </c>
      <c r="D204" s="32">
        <v>18.972999999999999</v>
      </c>
      <c r="E204" s="32">
        <v>0.48899999999999999</v>
      </c>
      <c r="F204" s="32">
        <v>0.19900000000000001</v>
      </c>
      <c r="G204" s="32">
        <v>0.315</v>
      </c>
      <c r="H204" s="32">
        <v>2.294</v>
      </c>
      <c r="I204" s="32">
        <v>3.0000000000000001E-3</v>
      </c>
      <c r="J204" s="32">
        <v>15.590999999999999</v>
      </c>
      <c r="K204" s="32">
        <v>0.58599999999999997</v>
      </c>
      <c r="L204" s="32">
        <v>49.976999999999997</v>
      </c>
      <c r="M204" s="32">
        <v>12.135</v>
      </c>
      <c r="O204" s="32">
        <v>101.17100000000001</v>
      </c>
      <c r="Q204" s="34">
        <f t="shared" si="49"/>
        <v>0.26408239961027208</v>
      </c>
      <c r="R204" s="34">
        <f t="shared" si="50"/>
        <v>0.30107927056196504</v>
      </c>
      <c r="S204" s="34">
        <f t="shared" si="51"/>
        <v>0.2780234673133849</v>
      </c>
      <c r="T204" s="34">
        <f t="shared" si="52"/>
        <v>53.273122798686792</v>
      </c>
      <c r="U204" s="34">
        <f t="shared" si="53"/>
        <v>31.319622212242233</v>
      </c>
      <c r="V204" s="34">
        <f t="shared" si="54"/>
        <v>32.973003786861192</v>
      </c>
      <c r="W204" s="34">
        <f t="shared" si="55"/>
        <v>35.707374000896579</v>
      </c>
      <c r="X204" s="34"/>
      <c r="Y204" s="32">
        <v>6.9800000000000001E-2</v>
      </c>
      <c r="AA204" s="32">
        <v>2.4175</v>
      </c>
      <c r="AB204" s="32">
        <v>5.8900000000000001E-2</v>
      </c>
      <c r="AC204" s="32">
        <v>5.8700000000000002E-2</v>
      </c>
      <c r="AD204" s="32">
        <v>4.0599999999999997E-2</v>
      </c>
      <c r="AE204" s="32">
        <v>0.41189999999999999</v>
      </c>
      <c r="AF204" s="32">
        <v>5.0000000000000001E-4</v>
      </c>
      <c r="AG204" s="32">
        <v>2.5451999999999999</v>
      </c>
      <c r="AH204" s="32">
        <v>7.5600000000000001E-2</v>
      </c>
      <c r="AI204" s="32">
        <v>7.6143999999999998</v>
      </c>
      <c r="AJ204" s="32">
        <v>2.7561</v>
      </c>
      <c r="AL204" s="32">
        <v>16.049199999999999</v>
      </c>
      <c r="AN204" s="34">
        <f t="shared" si="40"/>
        <v>5.9011461318051577</v>
      </c>
    </row>
    <row r="205" spans="1:40" s="32" customFormat="1" x14ac:dyDescent="0.25">
      <c r="A205" s="11" t="s">
        <v>239</v>
      </c>
      <c r="B205" s="32">
        <v>0.36</v>
      </c>
      <c r="D205" s="32">
        <v>20.045000000000002</v>
      </c>
      <c r="E205" s="32">
        <v>0.245</v>
      </c>
      <c r="F205" s="32">
        <v>0.16400000000000001</v>
      </c>
      <c r="G205" s="32">
        <v>0</v>
      </c>
      <c r="H205" s="32">
        <v>1.0900000000000001</v>
      </c>
      <c r="I205" s="32">
        <v>0</v>
      </c>
      <c r="J205" s="32">
        <v>14.010999999999999</v>
      </c>
      <c r="K205" s="32">
        <v>0.59899999999999998</v>
      </c>
      <c r="L205" s="32">
        <v>50.701999999999998</v>
      </c>
      <c r="M205" s="32">
        <v>12.590999999999999</v>
      </c>
      <c r="O205" s="32">
        <v>99.807000000000002</v>
      </c>
      <c r="Q205" s="34">
        <f t="shared" si="49"/>
        <v>0.2790034101190062</v>
      </c>
      <c r="R205" s="34">
        <f t="shared" si="50"/>
        <v>0.31239300334946035</v>
      </c>
      <c r="S205" s="34">
        <f t="shared" si="51"/>
        <v>0.24984842540746816</v>
      </c>
      <c r="T205" s="34">
        <f t="shared" si="52"/>
        <v>52.822945191248984</v>
      </c>
      <c r="U205" s="34">
        <f t="shared" si="53"/>
        <v>33.165541971325318</v>
      </c>
      <c r="V205" s="34">
        <f t="shared" si="54"/>
        <v>29.69984644914004</v>
      </c>
      <c r="W205" s="34">
        <f t="shared" si="55"/>
        <v>37.134611579534635</v>
      </c>
      <c r="X205" s="34"/>
      <c r="Y205" s="32">
        <v>4.1799999999999997E-2</v>
      </c>
      <c r="AA205" s="32">
        <v>2.5895000000000001</v>
      </c>
      <c r="AB205" s="32">
        <v>0.03</v>
      </c>
      <c r="AC205" s="32">
        <v>4.9200000000000001E-2</v>
      </c>
      <c r="AD205" s="32">
        <v>0</v>
      </c>
      <c r="AE205" s="32">
        <v>0.19850000000000001</v>
      </c>
      <c r="AF205" s="32">
        <v>0</v>
      </c>
      <c r="AG205" s="32">
        <v>2.3189000000000002</v>
      </c>
      <c r="AH205" s="32">
        <v>7.8299999999999995E-2</v>
      </c>
      <c r="AI205" s="32">
        <v>7.8315000000000001</v>
      </c>
      <c r="AJ205" s="32">
        <v>2.8992</v>
      </c>
      <c r="AL205" s="32">
        <v>16.036899999999999</v>
      </c>
      <c r="AN205" s="34">
        <f t="shared" si="40"/>
        <v>4.748803827751197</v>
      </c>
    </row>
    <row r="206" spans="1:40" s="32" customFormat="1" x14ac:dyDescent="0.25">
      <c r="A206" s="11" t="s">
        <v>59</v>
      </c>
      <c r="B206" s="32">
        <v>0.29699999999999999</v>
      </c>
      <c r="D206" s="32">
        <v>20.440000000000001</v>
      </c>
      <c r="E206" s="32">
        <v>0.34899999999999998</v>
      </c>
      <c r="F206" s="32">
        <v>0.16600000000000001</v>
      </c>
      <c r="G206" s="32">
        <v>0.25</v>
      </c>
      <c r="H206" s="32">
        <v>1.236</v>
      </c>
      <c r="I206" s="32">
        <v>0</v>
      </c>
      <c r="J206" s="32">
        <v>14.401999999999999</v>
      </c>
      <c r="K206" s="32">
        <v>0.59099999999999997</v>
      </c>
      <c r="L206" s="32">
        <v>50.987000000000002</v>
      </c>
      <c r="M206" s="32">
        <v>12.673</v>
      </c>
      <c r="O206" s="32">
        <v>101.39100000000001</v>
      </c>
      <c r="Q206" s="34">
        <f t="shared" si="49"/>
        <v>0.28450135708817598</v>
      </c>
      <c r="R206" s="34">
        <f t="shared" si="50"/>
        <v>0.31442749038580819</v>
      </c>
      <c r="S206" s="34">
        <f t="shared" si="51"/>
        <v>0.25682085666393234</v>
      </c>
      <c r="T206" s="34">
        <f t="shared" si="52"/>
        <v>52.498304550185495</v>
      </c>
      <c r="U206" s="34">
        <f t="shared" si="53"/>
        <v>33.245860993289277</v>
      </c>
      <c r="V206" s="34">
        <f t="shared" si="54"/>
        <v>30.011211855767339</v>
      </c>
      <c r="W206" s="34">
        <f t="shared" si="55"/>
        <v>36.74292715094338</v>
      </c>
      <c r="X206" s="34"/>
      <c r="Y206" s="32">
        <v>3.4000000000000002E-2</v>
      </c>
      <c r="AA206" s="32">
        <v>2.6027</v>
      </c>
      <c r="AB206" s="32">
        <v>4.2099999999999999E-2</v>
      </c>
      <c r="AC206" s="32">
        <v>4.9200000000000001E-2</v>
      </c>
      <c r="AD206" s="32">
        <v>3.2199999999999999E-2</v>
      </c>
      <c r="AE206" s="32">
        <v>0.2218</v>
      </c>
      <c r="AF206" s="32">
        <v>0</v>
      </c>
      <c r="AG206" s="32">
        <v>2.3496000000000001</v>
      </c>
      <c r="AH206" s="32">
        <v>7.6200000000000004E-2</v>
      </c>
      <c r="AI206" s="32">
        <v>7.7630999999999997</v>
      </c>
      <c r="AJ206" s="32">
        <v>2.8763999999999998</v>
      </c>
      <c r="AL206" s="32">
        <v>16.0473</v>
      </c>
      <c r="AN206" s="34">
        <f t="shared" si="40"/>
        <v>6.5235294117647049</v>
      </c>
    </row>
    <row r="207" spans="1:40" s="32" customFormat="1" x14ac:dyDescent="0.25">
      <c r="A207" s="11" t="s">
        <v>663</v>
      </c>
      <c r="B207" s="32">
        <v>0.24099999999999999</v>
      </c>
      <c r="D207" s="32">
        <v>20.216000000000001</v>
      </c>
      <c r="E207" s="32">
        <v>0.30199999999999999</v>
      </c>
      <c r="F207" s="32">
        <v>0.125</v>
      </c>
      <c r="G207" s="32">
        <v>0.313</v>
      </c>
      <c r="H207" s="32">
        <v>1.1479999999999999</v>
      </c>
      <c r="I207" s="32">
        <v>7.0000000000000001E-3</v>
      </c>
      <c r="J207" s="32">
        <v>15.428000000000001</v>
      </c>
      <c r="K207" s="32">
        <v>0.6</v>
      </c>
      <c r="L207" s="32">
        <v>50.898000000000003</v>
      </c>
      <c r="M207" s="32">
        <v>12.045</v>
      </c>
      <c r="O207" s="32">
        <v>101.32299999999999</v>
      </c>
      <c r="Q207" s="34">
        <f t="shared" si="49"/>
        <v>0.28138353399679866</v>
      </c>
      <c r="R207" s="34">
        <f t="shared" si="50"/>
        <v>0.29884629698548565</v>
      </c>
      <c r="S207" s="34">
        <f t="shared" si="51"/>
        <v>0.27511680159777452</v>
      </c>
      <c r="T207" s="34">
        <f t="shared" si="52"/>
        <v>51.504814304283862</v>
      </c>
      <c r="U207" s="34">
        <f t="shared" si="53"/>
        <v>32.897017802950394</v>
      </c>
      <c r="V207" s="34">
        <f t="shared" si="54"/>
        <v>32.164363676503292</v>
      </c>
      <c r="W207" s="34">
        <f t="shared" si="55"/>
        <v>34.938618520546314</v>
      </c>
      <c r="X207" s="34"/>
      <c r="Y207" s="32">
        <v>2.7699999999999999E-2</v>
      </c>
      <c r="AA207" s="32">
        <v>2.5806</v>
      </c>
      <c r="AB207" s="32">
        <v>3.6499999999999998E-2</v>
      </c>
      <c r="AC207" s="32">
        <v>3.6900000000000002E-2</v>
      </c>
      <c r="AD207" s="32">
        <v>4.0500000000000001E-2</v>
      </c>
      <c r="AE207" s="32">
        <v>0.20660000000000001</v>
      </c>
      <c r="AF207" s="32">
        <v>1.2999999999999999E-3</v>
      </c>
      <c r="AG207" s="32">
        <v>2.5232999999999999</v>
      </c>
      <c r="AH207" s="32">
        <v>7.7600000000000002E-2</v>
      </c>
      <c r="AI207" s="32">
        <v>7.7687999999999997</v>
      </c>
      <c r="AJ207" s="32">
        <v>2.7406999999999999</v>
      </c>
      <c r="AL207" s="32">
        <v>16.040500000000002</v>
      </c>
      <c r="AN207" s="34">
        <f t="shared" si="40"/>
        <v>7.4584837545126357</v>
      </c>
    </row>
    <row r="208" spans="1:40" s="32" customFormat="1" x14ac:dyDescent="0.25">
      <c r="A208" s="11" t="s">
        <v>165</v>
      </c>
      <c r="B208" s="32">
        <v>0.34799999999999998</v>
      </c>
      <c r="D208" s="32">
        <v>19.779</v>
      </c>
      <c r="E208" s="32">
        <v>0.35199999999999998</v>
      </c>
      <c r="F208" s="32">
        <v>0.24</v>
      </c>
      <c r="G208" s="32">
        <v>0.28100000000000003</v>
      </c>
      <c r="H208" s="32">
        <v>1.282</v>
      </c>
      <c r="I208" s="32">
        <v>7.0000000000000001E-3</v>
      </c>
      <c r="J208" s="32">
        <v>15.904</v>
      </c>
      <c r="K208" s="32">
        <v>0.58299999999999996</v>
      </c>
      <c r="L208" s="32">
        <v>50.49</v>
      </c>
      <c r="M208" s="32">
        <v>11.737</v>
      </c>
      <c r="O208" s="32">
        <v>101.003</v>
      </c>
      <c r="Q208" s="34">
        <f t="shared" si="49"/>
        <v>0.27530099519799567</v>
      </c>
      <c r="R208" s="34">
        <f t="shared" si="50"/>
        <v>0.29120456519042304</v>
      </c>
      <c r="S208" s="34">
        <f t="shared" si="51"/>
        <v>0.28360497877955704</v>
      </c>
      <c r="T208" s="34">
        <f t="shared" si="52"/>
        <v>51.403655242282461</v>
      </c>
      <c r="U208" s="34">
        <f t="shared" si="53"/>
        <v>32.384140945651559</v>
      </c>
      <c r="V208" s="34">
        <f t="shared" si="54"/>
        <v>33.360953159941801</v>
      </c>
      <c r="W208" s="34">
        <f t="shared" si="55"/>
        <v>34.254905894406647</v>
      </c>
      <c r="X208" s="34"/>
      <c r="Y208" s="32">
        <v>4.0099999999999997E-2</v>
      </c>
      <c r="AA208" s="32">
        <v>2.5352000000000001</v>
      </c>
      <c r="AB208" s="32">
        <v>4.2700000000000002E-2</v>
      </c>
      <c r="AC208" s="32">
        <v>7.1300000000000002E-2</v>
      </c>
      <c r="AD208" s="32">
        <v>3.6499999999999998E-2</v>
      </c>
      <c r="AE208" s="32">
        <v>0.23169999999999999</v>
      </c>
      <c r="AF208" s="32">
        <v>1.4E-3</v>
      </c>
      <c r="AG208" s="32">
        <v>2.6116999999999999</v>
      </c>
      <c r="AH208" s="32">
        <v>7.5700000000000003E-2</v>
      </c>
      <c r="AI208" s="32">
        <v>7.7382999999999997</v>
      </c>
      <c r="AJ208" s="32">
        <v>2.6815000000000002</v>
      </c>
      <c r="AL208" s="32">
        <v>16.066099999999999</v>
      </c>
      <c r="AN208" s="34">
        <f t="shared" si="40"/>
        <v>5.7780548628428932</v>
      </c>
    </row>
    <row r="209" spans="1:40" s="32" customFormat="1" x14ac:dyDescent="0.25">
      <c r="A209" s="11" t="s">
        <v>265</v>
      </c>
      <c r="B209" s="32">
        <v>0.44600000000000001</v>
      </c>
      <c r="D209" s="32">
        <v>20.63</v>
      </c>
      <c r="E209" s="32">
        <v>0.36799999999999999</v>
      </c>
      <c r="F209" s="32">
        <v>0.17799999999999999</v>
      </c>
      <c r="G209" s="32">
        <v>0.25900000000000001</v>
      </c>
      <c r="H209" s="32">
        <v>1.3420000000000001</v>
      </c>
      <c r="I209" s="32">
        <v>0</v>
      </c>
      <c r="J209" s="32">
        <v>14.621</v>
      </c>
      <c r="K209" s="32">
        <v>0.59899999999999998</v>
      </c>
      <c r="L209" s="32">
        <v>50.707000000000001</v>
      </c>
      <c r="M209" s="32">
        <v>12.204000000000001</v>
      </c>
      <c r="O209" s="32">
        <v>101.354</v>
      </c>
      <c r="Q209" s="34">
        <f t="shared" si="49"/>
        <v>0.28714593917461201</v>
      </c>
      <c r="R209" s="34">
        <f t="shared" si="50"/>
        <v>0.30279121697059919</v>
      </c>
      <c r="S209" s="34">
        <f t="shared" si="51"/>
        <v>0.26072613145975249</v>
      </c>
      <c r="T209" s="34">
        <f t="shared" si="52"/>
        <v>51.326012239864426</v>
      </c>
      <c r="U209" s="34">
        <f t="shared" si="53"/>
        <v>33.755534458653948</v>
      </c>
      <c r="V209" s="34">
        <f t="shared" si="54"/>
        <v>30.649745352691198</v>
      </c>
      <c r="W209" s="34">
        <f t="shared" si="55"/>
        <v>35.594720188654868</v>
      </c>
      <c r="X209" s="34"/>
      <c r="Y209" s="32">
        <v>5.1200000000000002E-2</v>
      </c>
      <c r="AA209" s="32">
        <v>2.6335000000000002</v>
      </c>
      <c r="AB209" s="32">
        <v>4.4400000000000002E-2</v>
      </c>
      <c r="AC209" s="32">
        <v>5.2699999999999997E-2</v>
      </c>
      <c r="AD209" s="32">
        <v>3.3500000000000002E-2</v>
      </c>
      <c r="AE209" s="32">
        <v>0.24149999999999999</v>
      </c>
      <c r="AF209" s="32">
        <v>0</v>
      </c>
      <c r="AG209" s="32">
        <v>2.3912</v>
      </c>
      <c r="AH209" s="32">
        <v>7.7399999999999997E-2</v>
      </c>
      <c r="AI209" s="32">
        <v>7.7397999999999998</v>
      </c>
      <c r="AJ209" s="32">
        <v>2.7768999999999999</v>
      </c>
      <c r="AL209" s="32">
        <v>16.042100000000001</v>
      </c>
      <c r="AN209" s="34">
        <f t="shared" si="40"/>
        <v>4.716796875</v>
      </c>
    </row>
    <row r="210" spans="1:40" s="32" customFormat="1" x14ac:dyDescent="0.25">
      <c r="A210" s="11" t="s">
        <v>42</v>
      </c>
      <c r="B210" s="32">
        <v>0.38800000000000001</v>
      </c>
      <c r="D210" s="32">
        <v>21.143000000000001</v>
      </c>
      <c r="E210" s="32">
        <v>0.24199999999999999</v>
      </c>
      <c r="F210" s="32">
        <v>0.15</v>
      </c>
      <c r="G210" s="32">
        <v>0.22</v>
      </c>
      <c r="H210" s="32">
        <v>1.1180000000000001</v>
      </c>
      <c r="I210" s="32">
        <v>1E-3</v>
      </c>
      <c r="J210" s="32">
        <v>13.734999999999999</v>
      </c>
      <c r="K210" s="32">
        <v>0.58099999999999996</v>
      </c>
      <c r="L210" s="32">
        <v>51.078000000000003</v>
      </c>
      <c r="M210" s="32">
        <v>12.414999999999999</v>
      </c>
      <c r="O210" s="32">
        <v>101.071</v>
      </c>
      <c r="Q210" s="34">
        <f t="shared" si="49"/>
        <v>0.29428631080798945</v>
      </c>
      <c r="R210" s="34">
        <f t="shared" si="50"/>
        <v>0.3080262994665674</v>
      </c>
      <c r="S210" s="34">
        <f t="shared" si="51"/>
        <v>0.24492670922643459</v>
      </c>
      <c r="T210" s="34">
        <f t="shared" si="52"/>
        <v>51.140602772065058</v>
      </c>
      <c r="U210" s="34">
        <f t="shared" si="53"/>
        <v>34.734732446237118</v>
      </c>
      <c r="V210" s="34">
        <f t="shared" si="54"/>
        <v>28.908798681663168</v>
      </c>
      <c r="W210" s="34">
        <f t="shared" si="55"/>
        <v>36.356468872099718</v>
      </c>
      <c r="X210" s="34"/>
      <c r="Y210" s="32">
        <v>4.4600000000000001E-2</v>
      </c>
      <c r="AA210" s="32">
        <v>2.7027999999999999</v>
      </c>
      <c r="AB210" s="32">
        <v>2.93E-2</v>
      </c>
      <c r="AC210" s="32">
        <v>4.4499999999999998E-2</v>
      </c>
      <c r="AD210" s="32">
        <v>2.8400000000000002E-2</v>
      </c>
      <c r="AE210" s="32">
        <v>0.20150000000000001</v>
      </c>
      <c r="AF210" s="32">
        <v>2.0000000000000001E-4</v>
      </c>
      <c r="AG210" s="32">
        <v>2.2496</v>
      </c>
      <c r="AH210" s="32">
        <v>7.5200000000000003E-2</v>
      </c>
      <c r="AI210" s="32">
        <v>7.8074000000000003</v>
      </c>
      <c r="AJ210" s="32">
        <v>2.8289</v>
      </c>
      <c r="AL210" s="32">
        <v>16.0124</v>
      </c>
      <c r="AN210" s="34">
        <f t="shared" si="40"/>
        <v>4.5179372197309418</v>
      </c>
    </row>
    <row r="211" spans="1:40" s="32" customFormat="1" x14ac:dyDescent="0.25">
      <c r="A211" s="11" t="s">
        <v>167</v>
      </c>
      <c r="B211" s="32">
        <v>0.378</v>
      </c>
      <c r="D211" s="32">
        <v>20.853999999999999</v>
      </c>
      <c r="E211" s="32">
        <v>0.219</v>
      </c>
      <c r="F211" s="32">
        <v>0.14000000000000001</v>
      </c>
      <c r="G211" s="32">
        <v>0.27700000000000002</v>
      </c>
      <c r="H211" s="32">
        <v>1.131</v>
      </c>
      <c r="I211" s="32">
        <v>3.0000000000000001E-3</v>
      </c>
      <c r="J211" s="32">
        <v>14.913</v>
      </c>
      <c r="K211" s="32">
        <v>0.60299999999999998</v>
      </c>
      <c r="L211" s="32">
        <v>50.545000000000002</v>
      </c>
      <c r="M211" s="32">
        <v>12.166</v>
      </c>
      <c r="O211" s="32">
        <v>101.229</v>
      </c>
      <c r="Q211" s="34">
        <f t="shared" si="49"/>
        <v>0.29026376226598927</v>
      </c>
      <c r="R211" s="34">
        <f t="shared" si="50"/>
        <v>0.30184840590497458</v>
      </c>
      <c r="S211" s="34">
        <f t="shared" si="51"/>
        <v>0.26593316452084598</v>
      </c>
      <c r="T211" s="34">
        <f t="shared" si="52"/>
        <v>50.978247388055742</v>
      </c>
      <c r="U211" s="34">
        <f t="shared" si="53"/>
        <v>33.828487983891328</v>
      </c>
      <c r="V211" s="34">
        <f t="shared" si="54"/>
        <v>30.992903799916487</v>
      </c>
      <c r="W211" s="34">
        <f t="shared" si="55"/>
        <v>35.178608216192188</v>
      </c>
      <c r="X211" s="34"/>
      <c r="Y211" s="32">
        <v>4.3499999999999997E-2</v>
      </c>
      <c r="AA211" s="32">
        <v>2.6711</v>
      </c>
      <c r="AB211" s="32">
        <v>2.6499999999999999E-2</v>
      </c>
      <c r="AC211" s="32">
        <v>4.1599999999999998E-2</v>
      </c>
      <c r="AD211" s="32">
        <v>3.5900000000000001E-2</v>
      </c>
      <c r="AE211" s="32">
        <v>0.20419999999999999</v>
      </c>
      <c r="AF211" s="32">
        <v>6.9999999999999999E-4</v>
      </c>
      <c r="AG211" s="32">
        <v>2.4472</v>
      </c>
      <c r="AH211" s="32">
        <v>7.8200000000000006E-2</v>
      </c>
      <c r="AI211" s="32">
        <v>7.7409999999999997</v>
      </c>
      <c r="AJ211" s="32">
        <v>2.7776000000000001</v>
      </c>
      <c r="AL211" s="32">
        <v>16.067499999999999</v>
      </c>
      <c r="AN211" s="34">
        <f t="shared" si="40"/>
        <v>4.6942528735632187</v>
      </c>
    </row>
    <row r="212" spans="1:40" s="32" customFormat="1" x14ac:dyDescent="0.25">
      <c r="A212" s="11" t="s">
        <v>263</v>
      </c>
      <c r="B212" s="32">
        <v>0.39</v>
      </c>
      <c r="D212" s="32">
        <v>20.001000000000001</v>
      </c>
      <c r="E212" s="32">
        <v>0.25900000000000001</v>
      </c>
      <c r="F212" s="32">
        <v>0.184</v>
      </c>
      <c r="G212" s="32">
        <v>0.33600000000000002</v>
      </c>
      <c r="H212" s="32">
        <v>1.1639999999999999</v>
      </c>
      <c r="I212" s="32">
        <v>7.0000000000000001E-3</v>
      </c>
      <c r="J212" s="32">
        <v>15.917999999999999</v>
      </c>
      <c r="K212" s="32">
        <v>0.625</v>
      </c>
      <c r="L212" s="32">
        <v>50.506999999999998</v>
      </c>
      <c r="M212" s="32">
        <v>11.646000000000001</v>
      </c>
      <c r="O212" s="32">
        <v>101.03700000000001</v>
      </c>
      <c r="Q212" s="34">
        <f t="shared" si="49"/>
        <v>0.27839098058319994</v>
      </c>
      <c r="R212" s="34">
        <f t="shared" si="50"/>
        <v>0.28894678079642727</v>
      </c>
      <c r="S212" s="34">
        <f t="shared" si="51"/>
        <v>0.28385463104960945</v>
      </c>
      <c r="T212" s="34">
        <f t="shared" si="52"/>
        <v>50.930292405317623</v>
      </c>
      <c r="U212" s="34">
        <f t="shared" si="53"/>
        <v>32.705999614105316</v>
      </c>
      <c r="V212" s="34">
        <f t="shared" si="54"/>
        <v>33.347881580509728</v>
      </c>
      <c r="W212" s="34">
        <f t="shared" si="55"/>
        <v>33.946118805384963</v>
      </c>
      <c r="X212" s="34"/>
      <c r="Y212" s="32">
        <v>4.4999999999999998E-2</v>
      </c>
      <c r="AA212" s="32">
        <v>2.5646</v>
      </c>
      <c r="AB212" s="32">
        <v>3.15E-2</v>
      </c>
      <c r="AC212" s="32">
        <v>5.4600000000000003E-2</v>
      </c>
      <c r="AD212" s="32">
        <v>4.3700000000000003E-2</v>
      </c>
      <c r="AE212" s="32">
        <v>0.2104</v>
      </c>
      <c r="AF212" s="32">
        <v>1.2999999999999999E-3</v>
      </c>
      <c r="AG212" s="32">
        <v>2.6151</v>
      </c>
      <c r="AH212" s="32">
        <v>8.1199999999999994E-2</v>
      </c>
      <c r="AI212" s="32">
        <v>7.7438000000000002</v>
      </c>
      <c r="AJ212" s="32">
        <v>2.6617000000000002</v>
      </c>
      <c r="AL212" s="32">
        <v>16.052900000000001</v>
      </c>
      <c r="AN212" s="34">
        <f t="shared" si="40"/>
        <v>4.6755555555555555</v>
      </c>
    </row>
    <row r="213" spans="1:40" s="32" customFormat="1" x14ac:dyDescent="0.25">
      <c r="A213" s="11" t="s">
        <v>664</v>
      </c>
      <c r="B213" s="32">
        <v>0.41199999999999998</v>
      </c>
      <c r="D213" s="32">
        <v>20.463999999999999</v>
      </c>
      <c r="E213" s="32">
        <v>0.39400000000000002</v>
      </c>
      <c r="F213" s="32">
        <v>0.18099999999999999</v>
      </c>
      <c r="G213" s="32">
        <v>0</v>
      </c>
      <c r="H213" s="32">
        <v>1.2769999999999999</v>
      </c>
      <c r="I213" s="32">
        <v>0</v>
      </c>
      <c r="J213" s="32">
        <v>14.907</v>
      </c>
      <c r="K213" s="32">
        <v>0.57899999999999996</v>
      </c>
      <c r="L213" s="32">
        <v>50.334000000000003</v>
      </c>
      <c r="M213" s="32">
        <v>11.821999999999999</v>
      </c>
      <c r="O213" s="32">
        <v>100.37</v>
      </c>
      <c r="Q213" s="34">
        <f t="shared" si="49"/>
        <v>0.28483540956225206</v>
      </c>
      <c r="R213" s="34">
        <f t="shared" si="50"/>
        <v>0.29331348467932017</v>
      </c>
      <c r="S213" s="34">
        <f t="shared" si="51"/>
        <v>0.26582617069082348</v>
      </c>
      <c r="T213" s="34">
        <f t="shared" si="52"/>
        <v>50.733208625105974</v>
      </c>
      <c r="U213" s="34">
        <f t="shared" si="53"/>
        <v>33.749268360797842</v>
      </c>
      <c r="V213" s="34">
        <f t="shared" si="54"/>
        <v>31.49692233053316</v>
      </c>
      <c r="W213" s="34">
        <f t="shared" si="55"/>
        <v>34.753809308668998</v>
      </c>
      <c r="X213" s="34"/>
      <c r="Y213" s="32">
        <v>4.7800000000000002E-2</v>
      </c>
      <c r="AA213" s="32">
        <v>2.6434000000000002</v>
      </c>
      <c r="AB213" s="32">
        <v>4.8099999999999997E-2</v>
      </c>
      <c r="AC213" s="32">
        <v>5.4100000000000002E-2</v>
      </c>
      <c r="AD213" s="32">
        <v>0</v>
      </c>
      <c r="AE213" s="32">
        <v>0.23250000000000001</v>
      </c>
      <c r="AF213" s="32">
        <v>0</v>
      </c>
      <c r="AG213" s="32">
        <v>2.4670000000000001</v>
      </c>
      <c r="AH213" s="32">
        <v>7.5700000000000003E-2</v>
      </c>
      <c r="AI213" s="32">
        <v>7.7742000000000004</v>
      </c>
      <c r="AJ213" s="32">
        <v>2.7219000000000002</v>
      </c>
      <c r="AL213" s="32">
        <v>16.064699999999998</v>
      </c>
      <c r="AN213" s="34">
        <f t="shared" si="40"/>
        <v>4.8640167364016733</v>
      </c>
    </row>
    <row r="214" spans="1:40" s="32" customFormat="1" x14ac:dyDescent="0.25">
      <c r="A214" s="11" t="s">
        <v>218</v>
      </c>
      <c r="B214" s="32">
        <v>0.54</v>
      </c>
      <c r="D214" s="32">
        <v>21.015000000000001</v>
      </c>
      <c r="E214" s="32">
        <v>0.29899999999999999</v>
      </c>
      <c r="F214" s="32">
        <v>0.20399999999999999</v>
      </c>
      <c r="G214" s="32">
        <v>0.27300000000000002</v>
      </c>
      <c r="H214" s="32">
        <v>1.33</v>
      </c>
      <c r="I214" s="32">
        <v>1E-3</v>
      </c>
      <c r="J214" s="32">
        <v>13.858000000000001</v>
      </c>
      <c r="K214" s="32">
        <v>0.56599999999999995</v>
      </c>
      <c r="L214" s="32">
        <v>50.536000000000001</v>
      </c>
      <c r="M214" s="32">
        <v>12.115</v>
      </c>
      <c r="O214" s="32">
        <v>100.73699999999999</v>
      </c>
      <c r="Q214" s="34">
        <f t="shared" si="49"/>
        <v>0.2925046976129167</v>
      </c>
      <c r="R214" s="34">
        <f t="shared" si="50"/>
        <v>0.30058305421163628</v>
      </c>
      <c r="S214" s="34">
        <f t="shared" si="51"/>
        <v>0.2471200827418952</v>
      </c>
      <c r="T214" s="34">
        <f t="shared" si="52"/>
        <v>50.681042271895485</v>
      </c>
      <c r="U214" s="34">
        <f t="shared" si="53"/>
        <v>34.813374212804227</v>
      </c>
      <c r="V214" s="34">
        <f t="shared" si="54"/>
        <v>29.411780344729888</v>
      </c>
      <c r="W214" s="34">
        <f t="shared" si="55"/>
        <v>35.774845442465882</v>
      </c>
      <c r="X214" s="34"/>
      <c r="Y214" s="32">
        <v>6.2399999999999997E-2</v>
      </c>
      <c r="AA214" s="32">
        <v>2.6981999999999999</v>
      </c>
      <c r="AB214" s="32">
        <v>3.6299999999999999E-2</v>
      </c>
      <c r="AC214" s="32">
        <v>6.08E-2</v>
      </c>
      <c r="AD214" s="32">
        <v>3.5400000000000001E-2</v>
      </c>
      <c r="AE214" s="32">
        <v>0.2407</v>
      </c>
      <c r="AF214" s="32">
        <v>2.0000000000000001E-4</v>
      </c>
      <c r="AG214" s="32">
        <v>2.2797000000000001</v>
      </c>
      <c r="AH214" s="32">
        <v>7.3599999999999999E-2</v>
      </c>
      <c r="AI214" s="32">
        <v>7.7583000000000002</v>
      </c>
      <c r="AJ214" s="32">
        <v>2.7725</v>
      </c>
      <c r="AL214" s="32">
        <v>16.0181</v>
      </c>
      <c r="AN214" s="34">
        <f t="shared" si="40"/>
        <v>3.8573717948717952</v>
      </c>
    </row>
    <row r="215" spans="1:40" s="32" customFormat="1" x14ac:dyDescent="0.25">
      <c r="A215" s="11" t="s">
        <v>179</v>
      </c>
      <c r="B215" s="32">
        <v>0.373</v>
      </c>
      <c r="D215" s="32">
        <v>21.268999999999998</v>
      </c>
      <c r="E215" s="32">
        <v>0.38500000000000001</v>
      </c>
      <c r="F215" s="32">
        <v>0.14499999999999999</v>
      </c>
      <c r="G215" s="32">
        <v>0.254</v>
      </c>
      <c r="H215" s="32">
        <v>1.204</v>
      </c>
      <c r="I215" s="32">
        <v>2E-3</v>
      </c>
      <c r="J215" s="32">
        <v>14.471</v>
      </c>
      <c r="K215" s="32">
        <v>0.60799999999999998</v>
      </c>
      <c r="L215" s="32">
        <v>50.579000000000001</v>
      </c>
      <c r="M215" s="32">
        <v>12.141999999999999</v>
      </c>
      <c r="O215" s="32">
        <v>101.432</v>
      </c>
      <c r="Q215" s="34">
        <f t="shared" si="49"/>
        <v>0.2960400862968891</v>
      </c>
      <c r="R215" s="34">
        <f t="shared" si="50"/>
        <v>0.30125294628458005</v>
      </c>
      <c r="S215" s="34">
        <f t="shared" si="51"/>
        <v>0.25805128570919078</v>
      </c>
      <c r="T215" s="34">
        <f t="shared" si="52"/>
        <v>50.436373748171917</v>
      </c>
      <c r="U215" s="34">
        <f t="shared" si="53"/>
        <v>34.610633398314086</v>
      </c>
      <c r="V215" s="34">
        <f t="shared" si="54"/>
        <v>30.16928740754209</v>
      </c>
      <c r="W215" s="34">
        <f t="shared" si="55"/>
        <v>35.220079194143821</v>
      </c>
      <c r="X215" s="34"/>
      <c r="Y215" s="32">
        <v>4.2900000000000001E-2</v>
      </c>
      <c r="AA215" s="32">
        <v>2.7210999999999999</v>
      </c>
      <c r="AB215" s="32">
        <v>4.6600000000000003E-2</v>
      </c>
      <c r="AC215" s="32">
        <v>4.2999999999999997E-2</v>
      </c>
      <c r="AD215" s="32">
        <v>3.2899999999999999E-2</v>
      </c>
      <c r="AE215" s="32">
        <v>0.217</v>
      </c>
      <c r="AF215" s="32">
        <v>4.0000000000000002E-4</v>
      </c>
      <c r="AG215" s="32">
        <v>2.3719000000000001</v>
      </c>
      <c r="AH215" s="32">
        <v>7.8799999999999995E-2</v>
      </c>
      <c r="AI215" s="32">
        <v>7.7371999999999996</v>
      </c>
      <c r="AJ215" s="32">
        <v>2.7688000000000001</v>
      </c>
      <c r="AL215" s="32">
        <v>16.060600000000001</v>
      </c>
      <c r="AN215" s="34">
        <f t="shared" si="40"/>
        <v>5.0582750582750577</v>
      </c>
    </row>
    <row r="216" spans="1:40" s="32" customFormat="1" x14ac:dyDescent="0.25">
      <c r="A216" s="11" t="s">
        <v>38</v>
      </c>
      <c r="B216" s="32">
        <v>0.63700000000000001</v>
      </c>
      <c r="D216" s="32">
        <v>20.741</v>
      </c>
      <c r="E216" s="32">
        <v>0.316</v>
      </c>
      <c r="F216" s="32">
        <v>0.157</v>
      </c>
      <c r="G216" s="32">
        <v>3.0000000000000001E-3</v>
      </c>
      <c r="H216" s="32">
        <v>1.4019999999999999</v>
      </c>
      <c r="I216" s="32">
        <v>7.0000000000000001E-3</v>
      </c>
      <c r="J216" s="32">
        <v>15.098000000000001</v>
      </c>
      <c r="K216" s="32">
        <v>0.56999999999999995</v>
      </c>
      <c r="L216" s="32">
        <v>50.377000000000002</v>
      </c>
      <c r="M216" s="32">
        <v>11.77</v>
      </c>
      <c r="O216" s="32">
        <v>101.078</v>
      </c>
      <c r="Q216" s="34">
        <f t="shared" si="49"/>
        <v>0.28869093186721412</v>
      </c>
      <c r="R216" s="34">
        <f t="shared" si="50"/>
        <v>0.29202332216846544</v>
      </c>
      <c r="S216" s="34">
        <f t="shared" si="51"/>
        <v>0.26923214094653874</v>
      </c>
      <c r="T216" s="34">
        <f t="shared" si="52"/>
        <v>50.286921689806377</v>
      </c>
      <c r="U216" s="34">
        <f t="shared" si="53"/>
        <v>33.965781085906457</v>
      </c>
      <c r="V216" s="34">
        <f t="shared" si="54"/>
        <v>31.676367184564779</v>
      </c>
      <c r="W216" s="34">
        <f t="shared" si="55"/>
        <v>34.357851729528761</v>
      </c>
      <c r="X216" s="34"/>
      <c r="Y216" s="32">
        <v>7.3599999999999999E-2</v>
      </c>
      <c r="AA216" s="32">
        <v>2.6638999999999999</v>
      </c>
      <c r="AB216" s="32">
        <v>3.8399999999999997E-2</v>
      </c>
      <c r="AC216" s="32">
        <v>4.6699999999999998E-2</v>
      </c>
      <c r="AD216" s="32">
        <v>4.0000000000000002E-4</v>
      </c>
      <c r="AE216" s="32">
        <v>0.25369999999999998</v>
      </c>
      <c r="AF216" s="32">
        <v>1.2999999999999999E-3</v>
      </c>
      <c r="AG216" s="32">
        <v>2.4843999999999999</v>
      </c>
      <c r="AH216" s="32">
        <v>7.4200000000000002E-2</v>
      </c>
      <c r="AI216" s="32">
        <v>7.7363999999999997</v>
      </c>
      <c r="AJ216" s="32">
        <v>2.6945000000000001</v>
      </c>
      <c r="AL216" s="32">
        <v>16.067499999999999</v>
      </c>
      <c r="AN216" s="34">
        <f t="shared" si="40"/>
        <v>3.4470108695652173</v>
      </c>
    </row>
    <row r="217" spans="1:40" s="32" customFormat="1" x14ac:dyDescent="0.25">
      <c r="A217" s="11" t="s">
        <v>189</v>
      </c>
      <c r="B217" s="32">
        <v>0.39200000000000002</v>
      </c>
      <c r="D217" s="32">
        <v>21.501000000000001</v>
      </c>
      <c r="E217" s="32">
        <v>0.24199999999999999</v>
      </c>
      <c r="F217" s="32">
        <v>0.16900000000000001</v>
      </c>
      <c r="G217" s="32">
        <v>2E-3</v>
      </c>
      <c r="H217" s="32">
        <v>1.05</v>
      </c>
      <c r="I217" s="32">
        <v>5.0000000000000001E-3</v>
      </c>
      <c r="J217" s="32">
        <v>15.502000000000001</v>
      </c>
      <c r="K217" s="32">
        <v>0.57599999999999996</v>
      </c>
      <c r="L217" s="32">
        <v>50.39</v>
      </c>
      <c r="M217" s="32">
        <v>11.273</v>
      </c>
      <c r="O217" s="32">
        <v>101.102</v>
      </c>
      <c r="Q217" s="34">
        <f t="shared" si="49"/>
        <v>0.29926926021295847</v>
      </c>
      <c r="R217" s="34">
        <f t="shared" si="50"/>
        <v>0.27969234586279618</v>
      </c>
      <c r="S217" s="34">
        <f t="shared" si="51"/>
        <v>0.27643639216805166</v>
      </c>
      <c r="T217" s="34">
        <f t="shared" si="52"/>
        <v>48.309308065965197</v>
      </c>
      <c r="U217" s="34">
        <f t="shared" si="53"/>
        <v>34.985966863071901</v>
      </c>
      <c r="V217" s="34">
        <f t="shared" si="54"/>
        <v>32.316698511756577</v>
      </c>
      <c r="W217" s="34">
        <f t="shared" si="55"/>
        <v>32.697334625171528</v>
      </c>
      <c r="X217" s="34"/>
      <c r="Y217" s="32">
        <v>4.5400000000000003E-2</v>
      </c>
      <c r="AA217" s="32">
        <v>2.7740999999999998</v>
      </c>
      <c r="AB217" s="32">
        <v>2.9499999999999998E-2</v>
      </c>
      <c r="AC217" s="32">
        <v>5.0500000000000003E-2</v>
      </c>
      <c r="AD217" s="32">
        <v>2.9999999999999997E-4</v>
      </c>
      <c r="AE217" s="32">
        <v>0.19089999999999999</v>
      </c>
      <c r="AF217" s="32">
        <v>1E-3</v>
      </c>
      <c r="AG217" s="32">
        <v>2.5625</v>
      </c>
      <c r="AH217" s="32">
        <v>7.5300000000000006E-2</v>
      </c>
      <c r="AI217" s="32">
        <v>7.7739000000000003</v>
      </c>
      <c r="AJ217" s="32">
        <v>2.5924</v>
      </c>
      <c r="AL217" s="32">
        <v>16.095800000000001</v>
      </c>
      <c r="AN217" s="34">
        <f t="shared" si="40"/>
        <v>4.2048458149779728</v>
      </c>
    </row>
    <row r="218" spans="1:40" s="32" customFormat="1" x14ac:dyDescent="0.25">
      <c r="A218" s="11" t="s">
        <v>214</v>
      </c>
      <c r="B218" s="32">
        <v>0.41899999999999998</v>
      </c>
      <c r="D218" s="32">
        <v>22.808</v>
      </c>
      <c r="E218" s="32">
        <v>0.22500000000000001</v>
      </c>
      <c r="F218" s="32">
        <v>0.16800000000000001</v>
      </c>
      <c r="G218" s="32">
        <v>6.0000000000000001E-3</v>
      </c>
      <c r="H218" s="32">
        <v>1.018</v>
      </c>
      <c r="I218" s="32">
        <v>0</v>
      </c>
      <c r="J218" s="32">
        <v>14.128</v>
      </c>
      <c r="K218" s="32">
        <v>0.626</v>
      </c>
      <c r="L218" s="32">
        <v>50.476999999999997</v>
      </c>
      <c r="M218" s="32">
        <v>11.526</v>
      </c>
      <c r="O218" s="32">
        <v>101.401</v>
      </c>
      <c r="Q218" s="34">
        <f t="shared" si="49"/>
        <v>0.31746120119702137</v>
      </c>
      <c r="R218" s="34">
        <f t="shared" si="50"/>
        <v>0.28596948269445477</v>
      </c>
      <c r="S218" s="34">
        <f t="shared" si="51"/>
        <v>0.25193480509290628</v>
      </c>
      <c r="T218" s="34">
        <f t="shared" si="52"/>
        <v>47.390610111216169</v>
      </c>
      <c r="U218" s="34">
        <f t="shared" si="53"/>
        <v>37.114099795393741</v>
      </c>
      <c r="V218" s="34">
        <f t="shared" si="54"/>
        <v>29.453468527476002</v>
      </c>
      <c r="W218" s="34">
        <f t="shared" si="55"/>
        <v>33.432431677130253</v>
      </c>
      <c r="X218" s="34"/>
      <c r="Y218" s="32">
        <v>4.8500000000000001E-2</v>
      </c>
      <c r="AA218" s="32">
        <v>2.9392999999999998</v>
      </c>
      <c r="AB218" s="32">
        <v>2.7400000000000001E-2</v>
      </c>
      <c r="AC218" s="32">
        <v>5.0200000000000002E-2</v>
      </c>
      <c r="AD218" s="32">
        <v>8.0000000000000004E-4</v>
      </c>
      <c r="AE218" s="32">
        <v>0.18490000000000001</v>
      </c>
      <c r="AF218" s="32">
        <v>0</v>
      </c>
      <c r="AG218" s="32">
        <v>2.3327</v>
      </c>
      <c r="AH218" s="32">
        <v>8.1699999999999995E-2</v>
      </c>
      <c r="AI218" s="32">
        <v>7.7781000000000002</v>
      </c>
      <c r="AJ218" s="32">
        <v>2.6474000000000002</v>
      </c>
      <c r="AL218" s="32">
        <v>16.091000000000001</v>
      </c>
      <c r="AN218" s="34">
        <f t="shared" si="40"/>
        <v>3.8123711340206188</v>
      </c>
    </row>
    <row r="219" spans="1:40" s="32" customFormat="1" x14ac:dyDescent="0.25">
      <c r="A219" s="11" t="s">
        <v>251</v>
      </c>
      <c r="B219" s="32">
        <v>0.35599999999999998</v>
      </c>
      <c r="D219" s="32">
        <v>22.547000000000001</v>
      </c>
      <c r="E219" s="32">
        <v>0.26300000000000001</v>
      </c>
      <c r="F219" s="32">
        <v>0.19</v>
      </c>
      <c r="G219" s="32">
        <v>0</v>
      </c>
      <c r="H219" s="32">
        <v>1.2869999999999999</v>
      </c>
      <c r="I219" s="32">
        <v>1.2999999999999999E-2</v>
      </c>
      <c r="J219" s="32">
        <v>14.036</v>
      </c>
      <c r="K219" s="32">
        <v>0.60899999999999999</v>
      </c>
      <c r="L219" s="32">
        <v>50.732999999999997</v>
      </c>
      <c r="M219" s="32">
        <v>11.394</v>
      </c>
      <c r="O219" s="32">
        <v>101.428</v>
      </c>
      <c r="Q219" s="34">
        <f t="shared" si="49"/>
        <v>0.31382838054144341</v>
      </c>
      <c r="R219" s="34">
        <f t="shared" si="50"/>
        <v>0.28269445478228505</v>
      </c>
      <c r="S219" s="34">
        <f t="shared" si="51"/>
        <v>0.25029423303256176</v>
      </c>
      <c r="T219" s="34">
        <f t="shared" si="52"/>
        <v>47.390382738469505</v>
      </c>
      <c r="U219" s="34">
        <f t="shared" si="53"/>
        <v>37.059760870266629</v>
      </c>
      <c r="V219" s="34">
        <f t="shared" si="54"/>
        <v>29.557060478055085</v>
      </c>
      <c r="W219" s="34">
        <f t="shared" si="55"/>
        <v>33.3831786516783</v>
      </c>
      <c r="X219" s="34"/>
      <c r="Y219" s="32">
        <v>4.1200000000000001E-2</v>
      </c>
      <c r="AA219" s="32">
        <v>2.8978000000000002</v>
      </c>
      <c r="AB219" s="32">
        <v>3.1899999999999998E-2</v>
      </c>
      <c r="AC219" s="32">
        <v>5.6500000000000002E-2</v>
      </c>
      <c r="AD219" s="32">
        <v>0</v>
      </c>
      <c r="AE219" s="32">
        <v>0.2331</v>
      </c>
      <c r="AF219" s="32">
        <v>2.5999999999999999E-3</v>
      </c>
      <c r="AG219" s="32">
        <v>2.3111999999999999</v>
      </c>
      <c r="AH219" s="32">
        <v>7.9299999999999995E-2</v>
      </c>
      <c r="AI219" s="32">
        <v>7.7961</v>
      </c>
      <c r="AJ219" s="32">
        <v>2.6101000000000001</v>
      </c>
      <c r="AL219" s="32">
        <v>16.059799999999999</v>
      </c>
      <c r="AN219" s="34">
        <f t="shared" si="40"/>
        <v>5.657766990291262</v>
      </c>
    </row>
    <row r="220" spans="1:40" s="32" customFormat="1" x14ac:dyDescent="0.25">
      <c r="A220" s="11" t="s">
        <v>199</v>
      </c>
      <c r="B220" s="32">
        <v>0.58699999999999997</v>
      </c>
      <c r="D220" s="32">
        <v>22.827999999999999</v>
      </c>
      <c r="E220" s="32">
        <v>0.24299999999999999</v>
      </c>
      <c r="F220" s="32">
        <v>0.14699999999999999</v>
      </c>
      <c r="G220" s="32">
        <v>0</v>
      </c>
      <c r="H220" s="32">
        <v>0.98599999999999999</v>
      </c>
      <c r="I220" s="32">
        <v>0</v>
      </c>
      <c r="J220" s="32">
        <v>14.237</v>
      </c>
      <c r="K220" s="32">
        <v>0.57799999999999996</v>
      </c>
      <c r="L220" s="32">
        <v>50.179000000000002</v>
      </c>
      <c r="M220" s="32">
        <v>11.492000000000001</v>
      </c>
      <c r="O220" s="32">
        <v>101.277</v>
      </c>
      <c r="Q220" s="34">
        <f t="shared" si="49"/>
        <v>0.31773957825875149</v>
      </c>
      <c r="R220" s="34">
        <f t="shared" si="50"/>
        <v>0.28512591489889594</v>
      </c>
      <c r="S220" s="34">
        <f t="shared" si="51"/>
        <v>0.25387852633831448</v>
      </c>
      <c r="T220" s="34">
        <f t="shared" si="52"/>
        <v>47.295112779715268</v>
      </c>
      <c r="U220" s="34">
        <f t="shared" si="53"/>
        <v>37.086874378846957</v>
      </c>
      <c r="V220" s="34">
        <f t="shared" si="54"/>
        <v>29.632949931494807</v>
      </c>
      <c r="W220" s="34">
        <f t="shared" si="55"/>
        <v>33.280175689658236</v>
      </c>
      <c r="X220" s="34"/>
      <c r="Y220" s="32">
        <v>6.8099999999999994E-2</v>
      </c>
      <c r="AA220" s="32">
        <v>2.9487999999999999</v>
      </c>
      <c r="AB220" s="32">
        <v>2.9700000000000001E-2</v>
      </c>
      <c r="AC220" s="32">
        <v>4.41E-2</v>
      </c>
      <c r="AD220" s="32">
        <v>0</v>
      </c>
      <c r="AE220" s="32">
        <v>0.17960000000000001</v>
      </c>
      <c r="AF220" s="32">
        <v>0</v>
      </c>
      <c r="AG220" s="32">
        <v>2.3561999999999999</v>
      </c>
      <c r="AH220" s="32">
        <v>7.5600000000000001E-2</v>
      </c>
      <c r="AI220" s="32">
        <v>7.7506000000000004</v>
      </c>
      <c r="AJ220" s="32">
        <v>2.6459000000000001</v>
      </c>
      <c r="AL220" s="32">
        <v>16.098600000000001</v>
      </c>
      <c r="AN220" s="34">
        <f t="shared" si="40"/>
        <v>2.6372980910425849</v>
      </c>
    </row>
    <row r="221" spans="1:40" s="32" customFormat="1" x14ac:dyDescent="0.25">
      <c r="A221" s="11" t="s">
        <v>665</v>
      </c>
      <c r="B221" s="32">
        <v>0.35699999999999998</v>
      </c>
      <c r="D221" s="32">
        <v>22.716999999999999</v>
      </c>
      <c r="E221" s="32">
        <v>0.23</v>
      </c>
      <c r="F221" s="32">
        <v>0.187</v>
      </c>
      <c r="G221" s="32">
        <v>0.24199999999999999</v>
      </c>
      <c r="H221" s="32">
        <v>1.038</v>
      </c>
      <c r="I221" s="32">
        <v>0</v>
      </c>
      <c r="J221" s="32">
        <v>14.598000000000001</v>
      </c>
      <c r="K221" s="32">
        <v>0.65300000000000002</v>
      </c>
      <c r="L221" s="32">
        <v>50.107999999999997</v>
      </c>
      <c r="M221" s="32">
        <v>11.26</v>
      </c>
      <c r="O221" s="32">
        <v>101.39</v>
      </c>
      <c r="Q221" s="34">
        <f t="shared" si="49"/>
        <v>0.31619458556614932</v>
      </c>
      <c r="R221" s="34">
        <f t="shared" si="50"/>
        <v>0.27936980523508248</v>
      </c>
      <c r="S221" s="34">
        <f t="shared" si="51"/>
        <v>0.26031598844466636</v>
      </c>
      <c r="T221" s="34">
        <f t="shared" si="52"/>
        <v>46.908413187571099</v>
      </c>
      <c r="U221" s="34">
        <f t="shared" si="53"/>
        <v>36.943782476324913</v>
      </c>
      <c r="V221" s="34">
        <f t="shared" si="54"/>
        <v>30.414996623012481</v>
      </c>
      <c r="W221" s="34">
        <f t="shared" si="55"/>
        <v>32.641220900662603</v>
      </c>
      <c r="X221" s="34"/>
      <c r="Y221" s="32">
        <v>4.1399999999999999E-2</v>
      </c>
      <c r="AA221" s="32">
        <v>2.9316</v>
      </c>
      <c r="AB221" s="32">
        <v>2.8000000000000001E-2</v>
      </c>
      <c r="AC221" s="32">
        <v>5.5899999999999998E-2</v>
      </c>
      <c r="AD221" s="32">
        <v>3.1600000000000003E-2</v>
      </c>
      <c r="AE221" s="32">
        <v>0.18890000000000001</v>
      </c>
      <c r="AF221" s="32">
        <v>0</v>
      </c>
      <c r="AG221" s="32">
        <v>2.4136000000000002</v>
      </c>
      <c r="AH221" s="32">
        <v>8.5400000000000004E-2</v>
      </c>
      <c r="AI221" s="32">
        <v>7.7320000000000002</v>
      </c>
      <c r="AJ221" s="32">
        <v>2.5901999999999998</v>
      </c>
      <c r="AL221" s="32">
        <v>16.098600000000001</v>
      </c>
      <c r="AN221" s="34">
        <f t="shared" si="40"/>
        <v>4.56280193236715</v>
      </c>
    </row>
    <row r="222" spans="1:40" s="32" customFormat="1" x14ac:dyDescent="0.25">
      <c r="A222" s="11" t="s">
        <v>259</v>
      </c>
      <c r="B222" s="32">
        <v>0.26700000000000002</v>
      </c>
      <c r="D222" s="32">
        <v>22.201000000000001</v>
      </c>
      <c r="E222" s="32">
        <v>0.39900000000000002</v>
      </c>
      <c r="F222" s="32">
        <v>0.19500000000000001</v>
      </c>
      <c r="G222" s="32">
        <v>0.23</v>
      </c>
      <c r="H222" s="32">
        <v>1.254</v>
      </c>
      <c r="I222" s="32">
        <v>0</v>
      </c>
      <c r="J222" s="32">
        <v>14.994999999999999</v>
      </c>
      <c r="K222" s="32">
        <v>0.64500000000000002</v>
      </c>
      <c r="L222" s="32">
        <v>50.198999999999998</v>
      </c>
      <c r="M222" s="32">
        <v>10.784000000000001</v>
      </c>
      <c r="O222" s="32">
        <v>101.169</v>
      </c>
      <c r="Q222" s="34">
        <f t="shared" si="49"/>
        <v>0.30901245737351246</v>
      </c>
      <c r="R222" s="34">
        <f t="shared" si="50"/>
        <v>0.26755985609725841</v>
      </c>
      <c r="S222" s="34">
        <f t="shared" si="51"/>
        <v>0.26739541353115298</v>
      </c>
      <c r="T222" s="34">
        <f t="shared" si="52"/>
        <v>46.405255654167355</v>
      </c>
      <c r="U222" s="34">
        <f t="shared" si="53"/>
        <v>36.614250460883802</v>
      </c>
      <c r="V222" s="34">
        <f t="shared" si="54"/>
        <v>31.683132538851623</v>
      </c>
      <c r="W222" s="34">
        <f t="shared" si="55"/>
        <v>31.702617000264571</v>
      </c>
      <c r="X222" s="34"/>
      <c r="Y222" s="32">
        <v>3.1099999999999999E-2</v>
      </c>
      <c r="AA222" s="32">
        <v>2.8672</v>
      </c>
      <c r="AB222" s="32">
        <v>4.87E-2</v>
      </c>
      <c r="AC222" s="32">
        <v>5.8200000000000002E-2</v>
      </c>
      <c r="AD222" s="32">
        <v>0.03</v>
      </c>
      <c r="AE222" s="32">
        <v>0.22819999999999999</v>
      </c>
      <c r="AF222" s="32">
        <v>0</v>
      </c>
      <c r="AG222" s="32">
        <v>2.4809999999999999</v>
      </c>
      <c r="AH222" s="32">
        <v>8.4400000000000003E-2</v>
      </c>
      <c r="AI222" s="32">
        <v>7.7515999999999998</v>
      </c>
      <c r="AJ222" s="32">
        <v>2.4824000000000002</v>
      </c>
      <c r="AL222" s="32">
        <v>16.062799999999999</v>
      </c>
      <c r="AN222" s="34">
        <f t="shared" si="40"/>
        <v>7.337620578778135</v>
      </c>
    </row>
    <row r="223" spans="1:40" s="32" customFormat="1" x14ac:dyDescent="0.25">
      <c r="A223" s="11" t="s">
        <v>62</v>
      </c>
      <c r="B223" s="32">
        <v>0.51100000000000001</v>
      </c>
      <c r="D223" s="32">
        <v>22.704999999999998</v>
      </c>
      <c r="E223" s="32">
        <v>0.25</v>
      </c>
      <c r="F223" s="32">
        <v>0.17100000000000001</v>
      </c>
      <c r="G223" s="32">
        <v>0.27100000000000002</v>
      </c>
      <c r="H223" s="32">
        <v>1.044</v>
      </c>
      <c r="I223" s="32">
        <v>0</v>
      </c>
      <c r="J223" s="32">
        <v>14.672000000000001</v>
      </c>
      <c r="K223" s="32">
        <v>0.60399999999999998</v>
      </c>
      <c r="L223" s="32">
        <v>50.237000000000002</v>
      </c>
      <c r="M223" s="32">
        <v>10.948</v>
      </c>
      <c r="O223" s="32">
        <v>101.413</v>
      </c>
      <c r="Q223" s="34">
        <f t="shared" si="49"/>
        <v>0.31602755932911125</v>
      </c>
      <c r="R223" s="34">
        <f t="shared" si="50"/>
        <v>0.27162883016995409</v>
      </c>
      <c r="S223" s="34">
        <f t="shared" si="51"/>
        <v>0.26163557901494344</v>
      </c>
      <c r="T223" s="34">
        <f t="shared" si="52"/>
        <v>46.222390332809624</v>
      </c>
      <c r="U223" s="34">
        <f t="shared" si="53"/>
        <v>37.210708571995461</v>
      </c>
      <c r="V223" s="34">
        <f t="shared" si="54"/>
        <v>30.806317346050339</v>
      </c>
      <c r="W223" s="34">
        <f t="shared" si="55"/>
        <v>31.9829740819542</v>
      </c>
      <c r="X223" s="34"/>
      <c r="Y223" s="32">
        <v>5.9299999999999999E-2</v>
      </c>
      <c r="AA223" s="32">
        <v>2.9276</v>
      </c>
      <c r="AB223" s="32">
        <v>3.0499999999999999E-2</v>
      </c>
      <c r="AC223" s="32">
        <v>5.1200000000000002E-2</v>
      </c>
      <c r="AD223" s="32">
        <v>3.5400000000000001E-2</v>
      </c>
      <c r="AE223" s="32">
        <v>0.1898</v>
      </c>
      <c r="AF223" s="32">
        <v>0</v>
      </c>
      <c r="AG223" s="32">
        <v>2.4239000000000002</v>
      </c>
      <c r="AH223" s="32">
        <v>7.8799999999999995E-2</v>
      </c>
      <c r="AI223" s="32">
        <v>7.7453000000000003</v>
      </c>
      <c r="AJ223" s="32">
        <v>2.5160999999999998</v>
      </c>
      <c r="AL223" s="32">
        <v>16.0579</v>
      </c>
      <c r="AN223" s="34">
        <f t="shared" si="40"/>
        <v>3.2006745362563236</v>
      </c>
    </row>
    <row r="224" spans="1:40" s="32" customFormat="1" x14ac:dyDescent="0.25">
      <c r="A224" s="11" t="s">
        <v>115</v>
      </c>
      <c r="B224" s="32">
        <v>0.47599999999999998</v>
      </c>
      <c r="D224" s="32">
        <v>23.512</v>
      </c>
      <c r="E224" s="32">
        <v>0.22900000000000001</v>
      </c>
      <c r="F224" s="32">
        <v>0.158</v>
      </c>
      <c r="G224" s="32">
        <v>0.183</v>
      </c>
      <c r="H224" s="32">
        <v>0.96799999999999997</v>
      </c>
      <c r="I224" s="32">
        <v>4.2000000000000003E-2</v>
      </c>
      <c r="J224" s="32">
        <v>13.808999999999999</v>
      </c>
      <c r="K224" s="32">
        <v>0.64300000000000002</v>
      </c>
      <c r="L224" s="32">
        <v>49.911999999999999</v>
      </c>
      <c r="M224" s="32">
        <v>10.981</v>
      </c>
      <c r="O224" s="32">
        <v>100.913</v>
      </c>
      <c r="Q224" s="34">
        <f t="shared" si="49"/>
        <v>0.32726007376992139</v>
      </c>
      <c r="R224" s="34">
        <f t="shared" si="50"/>
        <v>0.27244758714799655</v>
      </c>
      <c r="S224" s="34">
        <f t="shared" si="51"/>
        <v>0.2462462997967117</v>
      </c>
      <c r="T224" s="34">
        <f t="shared" si="52"/>
        <v>45.430066164401808</v>
      </c>
      <c r="U224" s="34">
        <f t="shared" si="53"/>
        <v>38.685329103898816</v>
      </c>
      <c r="V224" s="34">
        <f t="shared" si="54"/>
        <v>29.108711730445975</v>
      </c>
      <c r="W224" s="34">
        <f t="shared" si="55"/>
        <v>32.205959165655216</v>
      </c>
      <c r="X224" s="34"/>
      <c r="Y224" s="32">
        <v>5.5599999999999997E-2</v>
      </c>
      <c r="AA224" s="32">
        <v>3.0552000000000001</v>
      </c>
      <c r="AB224" s="32">
        <v>2.81E-2</v>
      </c>
      <c r="AC224" s="32">
        <v>4.7600000000000003E-2</v>
      </c>
      <c r="AD224" s="32">
        <v>2.41E-2</v>
      </c>
      <c r="AE224" s="32">
        <v>0.1774</v>
      </c>
      <c r="AF224" s="32">
        <v>8.3000000000000001E-3</v>
      </c>
      <c r="AG224" s="32">
        <v>2.2991000000000001</v>
      </c>
      <c r="AH224" s="32">
        <v>8.4599999999999995E-2</v>
      </c>
      <c r="AI224" s="32">
        <v>7.7550999999999997</v>
      </c>
      <c r="AJ224" s="32">
        <v>2.5434999999999999</v>
      </c>
      <c r="AL224" s="32">
        <v>16.078600000000002</v>
      </c>
      <c r="AN224" s="34">
        <f t="shared" si="40"/>
        <v>3.1906474820143886</v>
      </c>
    </row>
    <row r="225" spans="1:40" s="32" customFormat="1" x14ac:dyDescent="0.25">
      <c r="A225" s="11" t="s">
        <v>173</v>
      </c>
      <c r="B225" s="32">
        <v>0.56699999999999995</v>
      </c>
      <c r="D225" s="32">
        <v>23.445</v>
      </c>
      <c r="E225" s="32">
        <v>0.22500000000000001</v>
      </c>
      <c r="F225" s="32">
        <v>0.184</v>
      </c>
      <c r="G225" s="32">
        <v>0.251</v>
      </c>
      <c r="H225" s="32">
        <v>1.026</v>
      </c>
      <c r="I225" s="32">
        <v>0.01</v>
      </c>
      <c r="J225" s="32">
        <v>14.834</v>
      </c>
      <c r="K225" s="32">
        <v>0.63600000000000001</v>
      </c>
      <c r="L225" s="32">
        <v>49.654000000000003</v>
      </c>
      <c r="M225" s="32">
        <v>10.355</v>
      </c>
      <c r="O225" s="32">
        <v>101.187</v>
      </c>
      <c r="Q225" s="34">
        <f t="shared" si="49"/>
        <v>0.32632751061312548</v>
      </c>
      <c r="R225" s="34">
        <f t="shared" si="50"/>
        <v>0.25691601538270686</v>
      </c>
      <c r="S225" s="34">
        <f t="shared" si="51"/>
        <v>0.26452441242555008</v>
      </c>
      <c r="T225" s="34">
        <f t="shared" si="52"/>
        <v>44.049527158325056</v>
      </c>
      <c r="U225" s="34">
        <f t="shared" si="53"/>
        <v>38.49255153724917</v>
      </c>
      <c r="V225" s="34">
        <f t="shared" si="54"/>
        <v>31.202455346225697</v>
      </c>
      <c r="W225" s="34">
        <f t="shared" si="55"/>
        <v>30.304993116525115</v>
      </c>
      <c r="X225" s="34"/>
      <c r="Y225" s="32">
        <v>6.6299999999999998E-2</v>
      </c>
      <c r="AA225" s="32">
        <v>3.0472000000000001</v>
      </c>
      <c r="AB225" s="32">
        <v>2.7699999999999999E-2</v>
      </c>
      <c r="AC225" s="32">
        <v>5.5300000000000002E-2</v>
      </c>
      <c r="AD225" s="32">
        <v>3.3000000000000002E-2</v>
      </c>
      <c r="AE225" s="32">
        <v>0.188</v>
      </c>
      <c r="AF225" s="32">
        <v>2E-3</v>
      </c>
      <c r="AG225" s="32">
        <v>2.4701</v>
      </c>
      <c r="AH225" s="32">
        <v>8.3699999999999997E-2</v>
      </c>
      <c r="AI225" s="32">
        <v>7.7164000000000001</v>
      </c>
      <c r="AJ225" s="32">
        <v>2.3988999999999998</v>
      </c>
      <c r="AL225" s="32">
        <v>16.0886</v>
      </c>
      <c r="AN225" s="34">
        <f t="shared" si="40"/>
        <v>2.8355957767722475</v>
      </c>
    </row>
    <row r="226" spans="1:40" s="32" customFormat="1" x14ac:dyDescent="0.25">
      <c r="A226" s="11" t="s">
        <v>666</v>
      </c>
      <c r="B226" s="32">
        <v>0.60899999999999999</v>
      </c>
      <c r="D226" s="32">
        <v>24.152000000000001</v>
      </c>
      <c r="E226" s="32">
        <v>0.22700000000000001</v>
      </c>
      <c r="F226" s="32">
        <v>0.24099999999999999</v>
      </c>
      <c r="G226" s="32">
        <v>0.24299999999999999</v>
      </c>
      <c r="H226" s="32">
        <v>1</v>
      </c>
      <c r="I226" s="32">
        <v>5.0000000000000001E-3</v>
      </c>
      <c r="J226" s="32">
        <v>14.507</v>
      </c>
      <c r="K226" s="32">
        <v>0.65400000000000003</v>
      </c>
      <c r="L226" s="32">
        <v>49.747999999999998</v>
      </c>
      <c r="M226" s="32">
        <v>10.048</v>
      </c>
      <c r="O226" s="32">
        <v>101.434</v>
      </c>
      <c r="Q226" s="34">
        <f t="shared" si="49"/>
        <v>0.33616813974528503</v>
      </c>
      <c r="R226" s="34">
        <f t="shared" si="50"/>
        <v>0.24929909440516065</v>
      </c>
      <c r="S226" s="34">
        <f t="shared" si="51"/>
        <v>0.25869324868932558</v>
      </c>
      <c r="T226" s="34">
        <f t="shared" si="52"/>
        <v>42.581220581355204</v>
      </c>
      <c r="U226" s="34">
        <f t="shared" si="53"/>
        <v>39.822776187580978</v>
      </c>
      <c r="V226" s="34">
        <f t="shared" si="54"/>
        <v>30.645031833174276</v>
      </c>
      <c r="W226" s="34">
        <f t="shared" si="55"/>
        <v>29.532191979244743</v>
      </c>
      <c r="X226" s="34"/>
      <c r="Y226" s="32">
        <v>7.1099999999999997E-2</v>
      </c>
      <c r="AA226" s="32">
        <v>3.1381999999999999</v>
      </c>
      <c r="AB226" s="32">
        <v>2.7900000000000001E-2</v>
      </c>
      <c r="AC226" s="32">
        <v>7.2499999999999995E-2</v>
      </c>
      <c r="AD226" s="32">
        <v>3.2000000000000001E-2</v>
      </c>
      <c r="AE226" s="32">
        <v>0.1832</v>
      </c>
      <c r="AF226" s="32">
        <v>1E-3</v>
      </c>
      <c r="AG226" s="32">
        <v>2.415</v>
      </c>
      <c r="AH226" s="32">
        <v>8.5999999999999993E-2</v>
      </c>
      <c r="AI226" s="32">
        <v>7.7290000000000001</v>
      </c>
      <c r="AJ226" s="32">
        <v>2.3271999999999999</v>
      </c>
      <c r="AL226" s="32">
        <v>16.083100000000002</v>
      </c>
      <c r="AN226" s="34">
        <f t="shared" si="40"/>
        <v>2.5766526019690579</v>
      </c>
    </row>
    <row r="227" spans="1:40" s="32" customFormat="1" x14ac:dyDescent="0.25">
      <c r="A227" s="11" t="s">
        <v>667</v>
      </c>
      <c r="B227" s="32">
        <v>0.57299999999999995</v>
      </c>
      <c r="D227" s="32">
        <v>25.187000000000001</v>
      </c>
      <c r="E227" s="32">
        <v>0.151</v>
      </c>
      <c r="F227" s="32">
        <v>0.13500000000000001</v>
      </c>
      <c r="G227" s="32">
        <v>0</v>
      </c>
      <c r="H227" s="32">
        <v>0.98299999999999998</v>
      </c>
      <c r="I227" s="32">
        <v>0.01</v>
      </c>
      <c r="J227" s="32">
        <v>13.315</v>
      </c>
      <c r="K227" s="32">
        <v>0.71799999999999997</v>
      </c>
      <c r="L227" s="32">
        <v>49.868000000000002</v>
      </c>
      <c r="M227" s="32">
        <v>10.352</v>
      </c>
      <c r="O227" s="32">
        <v>101.292</v>
      </c>
      <c r="Q227" s="34">
        <f t="shared" si="49"/>
        <v>0.3505741526898184</v>
      </c>
      <c r="R227" s="34">
        <f t="shared" si="50"/>
        <v>0.25684158293015757</v>
      </c>
      <c r="S227" s="34">
        <f t="shared" si="51"/>
        <v>0.23743714112486178</v>
      </c>
      <c r="T227" s="34">
        <f t="shared" si="52"/>
        <v>42.28431498700062</v>
      </c>
      <c r="U227" s="34">
        <f t="shared" si="53"/>
        <v>41.495290167035634</v>
      </c>
      <c r="V227" s="34">
        <f t="shared" si="54"/>
        <v>28.103963146777861</v>
      </c>
      <c r="W227" s="34">
        <f t="shared" si="55"/>
        <v>30.400746686186498</v>
      </c>
      <c r="X227" s="34"/>
      <c r="Y227" s="32">
        <v>6.7100000000000007E-2</v>
      </c>
      <c r="AA227" s="32">
        <v>3.2824</v>
      </c>
      <c r="AB227" s="32">
        <v>1.8599999999999998E-2</v>
      </c>
      <c r="AC227" s="32">
        <v>4.0899999999999999E-2</v>
      </c>
      <c r="AD227" s="32">
        <v>0</v>
      </c>
      <c r="AE227" s="32">
        <v>0.18049999999999999</v>
      </c>
      <c r="AF227" s="32">
        <v>2E-3</v>
      </c>
      <c r="AG227" s="32">
        <v>2.2231000000000001</v>
      </c>
      <c r="AH227" s="32">
        <v>9.4799999999999995E-2</v>
      </c>
      <c r="AI227" s="32">
        <v>7.7705000000000002</v>
      </c>
      <c r="AJ227" s="32">
        <v>2.4045999999999998</v>
      </c>
      <c r="AL227" s="32">
        <v>16.084499999999998</v>
      </c>
      <c r="AN227" s="34">
        <f t="shared" si="40"/>
        <v>2.690014903129657</v>
      </c>
    </row>
    <row r="228" spans="1:40" s="19" customFormat="1" x14ac:dyDescent="0.25">
      <c r="A228" s="19" t="s">
        <v>155</v>
      </c>
      <c r="B228" s="20">
        <f>AVERAGE(B132:B227)</f>
        <v>0.47358333333333347</v>
      </c>
      <c r="C228" s="20">
        <f>AVERAGE(C132:C227)</f>
        <v>9.1052631578947395E-3</v>
      </c>
      <c r="D228" s="20">
        <f>AVERAGE(D132:D227)</f>
        <v>23.114885416666667</v>
      </c>
      <c r="E228" s="20">
        <f>AVERAGE(E132:E227)</f>
        <v>0.24126041666666675</v>
      </c>
      <c r="F228" s="20">
        <f>AVERAGE(F132:F227)</f>
        <v>0.15538541666666664</v>
      </c>
      <c r="G228" s="20">
        <f>AVERAGE(G132:G227)</f>
        <v>0.19743749999999996</v>
      </c>
      <c r="H228" s="20">
        <f>AVERAGE(H132:H227)</f>
        <v>1.0958229166666666</v>
      </c>
      <c r="I228" s="20">
        <f>AVERAGE(I132:I227)</f>
        <v>5.5625000000000023E-3</v>
      </c>
      <c r="J228" s="20">
        <f>AVERAGE(J132:J227)</f>
        <v>13.812770833333333</v>
      </c>
      <c r="K228" s="20">
        <f>AVERAGE(K132:K227)</f>
        <v>0.6234687499999999</v>
      </c>
      <c r="L228" s="20">
        <f>AVERAGE(L132:L227)</f>
        <v>49.75885416666668</v>
      </c>
      <c r="M228" s="20">
        <f>AVERAGE(M132:M227)</f>
        <v>10.601343749999996</v>
      </c>
      <c r="N228" s="20">
        <f>AVERAGE(N132:N227)</f>
        <v>0.13978947368421052</v>
      </c>
      <c r="O228" s="20">
        <f>AVERAGE(O132:O227)</f>
        <v>100.1393125</v>
      </c>
      <c r="P228" s="20"/>
      <c r="Q228" s="21">
        <f t="shared" si="49"/>
        <v>0.32173269422599576</v>
      </c>
      <c r="R228" s="21">
        <f t="shared" si="50"/>
        <v>0.26302800521027159</v>
      </c>
      <c r="S228" s="21">
        <f t="shared" si="51"/>
        <v>0.24631354244682999</v>
      </c>
      <c r="T228" s="21">
        <f t="shared" si="52"/>
        <v>44.980451912011375</v>
      </c>
      <c r="U228" s="21">
        <f t="shared" si="53"/>
        <v>38.712870404573572</v>
      </c>
      <c r="V228" s="21">
        <f t="shared" si="54"/>
        <v>29.637970957771252</v>
      </c>
      <c r="W228" s="21">
        <f t="shared" si="55"/>
        <v>31.649158637655177</v>
      </c>
      <c r="X228" s="21"/>
      <c r="AN228" s="20"/>
    </row>
    <row r="229" spans="1:40" x14ac:dyDescent="0.25">
      <c r="A229" s="2" t="s">
        <v>156</v>
      </c>
      <c r="B229" s="9">
        <f>MAX(B132:B227)</f>
        <v>0.95799999999999996</v>
      </c>
      <c r="C229" s="9">
        <f>MAX(C132:C227)</f>
        <v>3.5999999999999997E-2</v>
      </c>
      <c r="D229" s="9">
        <f>MAX(D132:D227)</f>
        <v>34.531999999999996</v>
      </c>
      <c r="E229" s="9">
        <f>MAX(E132:E227)</f>
        <v>0.48899999999999999</v>
      </c>
      <c r="F229" s="9">
        <f>MAX(F132:F227)</f>
        <v>0.24099999999999999</v>
      </c>
      <c r="G229" s="9">
        <f>MAX(G132:G227)</f>
        <v>1.212</v>
      </c>
      <c r="H229" s="9">
        <f>MAX(H132:H227)</f>
        <v>2.294</v>
      </c>
      <c r="I229" s="9">
        <f>MAX(I132:I227)</f>
        <v>0.105</v>
      </c>
      <c r="J229" s="9">
        <f>MAX(J132:J227)</f>
        <v>16.123000000000001</v>
      </c>
      <c r="K229" s="9">
        <f>MAX(K132:K227)</f>
        <v>0.86899999999999999</v>
      </c>
      <c r="L229" s="9">
        <f>MAX(L132:L227)</f>
        <v>51.741999999999997</v>
      </c>
      <c r="M229" s="9">
        <f>MAX(M132:M227)</f>
        <v>14.913</v>
      </c>
      <c r="N229" s="9">
        <f>MAX(N132:N227)</f>
        <v>0.61199999999999999</v>
      </c>
      <c r="O229" s="9">
        <f>MAX(O132:O227)</f>
        <v>101.434</v>
      </c>
      <c r="P229" s="9"/>
      <c r="Q229" s="9">
        <f>MAX(Q132:Q227)</f>
        <v>0.48064583478321382</v>
      </c>
      <c r="R229" s="9">
        <f>MAX(R132:R227)</f>
        <v>0.37000372162262746</v>
      </c>
      <c r="S229" s="9">
        <f>MAX(S132:S227)</f>
        <v>0.28751025357537718</v>
      </c>
      <c r="T229" s="14">
        <f>MAX(T132:T227)</f>
        <v>57.997837318564329</v>
      </c>
      <c r="U229" s="12">
        <f>MAX(U132:U227)</f>
        <v>59.973914066106268</v>
      </c>
      <c r="V229" s="12">
        <f>MAX(V132:V227)</f>
        <v>34.294341334634623</v>
      </c>
      <c r="W229" s="12">
        <f>MAX(W132:W227)</f>
        <v>43.606045906674659</v>
      </c>
      <c r="X229" s="12"/>
      <c r="AN229" s="9"/>
    </row>
    <row r="230" spans="1:40" x14ac:dyDescent="0.25">
      <c r="A230" s="2" t="s">
        <v>157</v>
      </c>
      <c r="B230" s="9">
        <f>MIN(B132:B227)</f>
        <v>0.14899999999999999</v>
      </c>
      <c r="C230" s="9">
        <f>MIN(C132:C227)</f>
        <v>0</v>
      </c>
      <c r="D230" s="9">
        <f>MIN(D132:D227)</f>
        <v>17.376999999999999</v>
      </c>
      <c r="E230" s="9">
        <f>MIN(E132:E227)</f>
        <v>2E-3</v>
      </c>
      <c r="F230" s="9">
        <f>MIN(F132:F227)</f>
        <v>5.7000000000000002E-2</v>
      </c>
      <c r="G230" s="9">
        <f>MIN(G132:G227)</f>
        <v>0</v>
      </c>
      <c r="H230" s="9">
        <f>MIN(H132:H227)</f>
        <v>0.54600000000000004</v>
      </c>
      <c r="I230" s="9">
        <f>MIN(I132:I227)</f>
        <v>0</v>
      </c>
      <c r="J230" s="9">
        <f>MIN(J132:J227)</f>
        <v>8.9039999999999999</v>
      </c>
      <c r="K230" s="9">
        <f>MIN(K132:K227)</f>
        <v>0.49</v>
      </c>
      <c r="L230" s="9">
        <f>MIN(L132:L227)</f>
        <v>47.304000000000002</v>
      </c>
      <c r="M230" s="9">
        <f>MIN(M132:M227)</f>
        <v>4.5220000000000002</v>
      </c>
      <c r="N230" s="9">
        <f>MIN(N132:N227)</f>
        <v>0</v>
      </c>
      <c r="O230" s="9">
        <f>MIN(O132:O227)</f>
        <v>98.608000000000004</v>
      </c>
      <c r="P230" s="9"/>
      <c r="Q230" s="9">
        <f>MIN(Q132:Q227)</f>
        <v>0.24186791008420905</v>
      </c>
      <c r="R230" s="9">
        <f>MIN(R132:R227)</f>
        <v>0.11219451680932888</v>
      </c>
      <c r="S230" s="9">
        <f>MIN(S132:S227)</f>
        <v>0.15877884375334356</v>
      </c>
      <c r="T230" s="9">
        <f>MIN(T132:T227)</f>
        <v>18.924912332290063</v>
      </c>
      <c r="U230" s="12">
        <f>MIN(U132:U227)</f>
        <v>28.014833752113383</v>
      </c>
      <c r="V230" s="12">
        <f>MIN(V132:V227)</f>
        <v>20.090650119917377</v>
      </c>
      <c r="W230" s="12">
        <f>MIN(W132:W227)</f>
        <v>13.999381296721063</v>
      </c>
      <c r="X230" s="12"/>
      <c r="AN230" s="9"/>
    </row>
    <row r="234" spans="1:40" s="32" customFormat="1" x14ac:dyDescent="0.25">
      <c r="A234" s="22" t="s">
        <v>158</v>
      </c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4"/>
      <c r="R234" s="24"/>
      <c r="S234" s="24"/>
      <c r="T234" s="25"/>
      <c r="U234" s="24"/>
      <c r="V234" s="24"/>
      <c r="W234" s="24"/>
      <c r="X234" s="24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6"/>
    </row>
    <row r="235" spans="1:40" s="27" customFormat="1" x14ac:dyDescent="0.25">
      <c r="A235" s="11" t="s">
        <v>659</v>
      </c>
      <c r="B235" s="11">
        <v>0.17399999999999999</v>
      </c>
      <c r="C235" s="11">
        <v>1.2999999999999999E-2</v>
      </c>
      <c r="D235" s="11">
        <v>18.478999999999999</v>
      </c>
      <c r="E235" s="11">
        <v>0.49199999999999999</v>
      </c>
      <c r="F235" s="11">
        <v>8.7999999999999995E-2</v>
      </c>
      <c r="G235" s="11">
        <v>8.3000000000000004E-2</v>
      </c>
      <c r="H235" s="11">
        <v>0.94399999999999995</v>
      </c>
      <c r="I235" s="11">
        <v>0</v>
      </c>
      <c r="J235" s="11">
        <v>7.23</v>
      </c>
      <c r="K235" s="11">
        <v>0.55700000000000005</v>
      </c>
      <c r="L235" s="11">
        <v>52.405000000000001</v>
      </c>
      <c r="M235" s="11">
        <v>19.09</v>
      </c>
      <c r="N235" s="11">
        <v>0.57499999999999996</v>
      </c>
      <c r="O235" s="11">
        <v>100.13</v>
      </c>
      <c r="P235" s="11"/>
      <c r="Q235" s="33">
        <f t="shared" ref="Q235:Q266" si="56">D235/(55.845+16)</f>
        <v>0.25720648618553832</v>
      </c>
      <c r="R235" s="33">
        <f t="shared" ref="R235:R266" si="57">M235/(24.305+16)</f>
        <v>0.47363850638878552</v>
      </c>
      <c r="S235" s="33">
        <f t="shared" ref="S235:S266" si="58">J235/(40.078+16)</f>
        <v>0.12892756517707479</v>
      </c>
      <c r="T235" s="33">
        <f t="shared" ref="T235:T266" si="59">R235/(Q235+R235)*100</f>
        <v>64.806971546790535</v>
      </c>
      <c r="U235" s="33">
        <f t="shared" ref="U235:U266" si="60">Q235/(Q235+R235+S235)*100</f>
        <v>29.915642673944127</v>
      </c>
      <c r="V235" s="33">
        <f t="shared" ref="V235:V266" si="61">S235/(Q235+R235+S235)*100</f>
        <v>14.995543183451304</v>
      </c>
      <c r="W235" s="33">
        <f t="shared" ref="W235:W266" si="62">R235/(Q235+R235+S235)*100</f>
        <v>55.088814142604562</v>
      </c>
      <c r="X235" s="33"/>
      <c r="Y235" s="11">
        <v>1.9599999999999999E-2</v>
      </c>
      <c r="Z235" s="11">
        <v>1.6000000000000001E-3</v>
      </c>
      <c r="AA235" s="11">
        <v>2.3153999999999999</v>
      </c>
      <c r="AB235" s="11">
        <v>5.8200000000000002E-2</v>
      </c>
      <c r="AC235" s="11">
        <v>2.5600000000000001E-2</v>
      </c>
      <c r="AD235" s="11">
        <v>1.0500000000000001E-2</v>
      </c>
      <c r="AE235" s="11">
        <v>0.16669999999999999</v>
      </c>
      <c r="AF235" s="11">
        <v>0</v>
      </c>
      <c r="AG235" s="11">
        <v>1.1607000000000001</v>
      </c>
      <c r="AH235" s="11">
        <v>7.0699999999999999E-2</v>
      </c>
      <c r="AI235" s="11">
        <v>7.8516000000000004</v>
      </c>
      <c r="AJ235" s="11">
        <v>4.2636000000000003</v>
      </c>
      <c r="AK235" s="11">
        <v>6.9099999999999995E-2</v>
      </c>
      <c r="AL235" s="11">
        <v>16.013300000000001</v>
      </c>
      <c r="AM235" s="11">
        <f t="shared" ref="AM235:AM266" si="63">AI235+AE235</f>
        <v>8.0183</v>
      </c>
      <c r="AN235" s="33">
        <f t="shared" ref="AN235:AN266" si="64">AE235/Y235</f>
        <v>8.5051020408163254</v>
      </c>
    </row>
    <row r="236" spans="1:40" s="32" customFormat="1" x14ac:dyDescent="0.25">
      <c r="A236" s="11" t="s">
        <v>654</v>
      </c>
      <c r="B236" s="11">
        <v>0.08</v>
      </c>
      <c r="C236" s="11">
        <v>2.1999999999999999E-2</v>
      </c>
      <c r="D236" s="11">
        <v>21.265000000000001</v>
      </c>
      <c r="E236" s="11">
        <v>0.23</v>
      </c>
      <c r="F236" s="11">
        <v>8.5000000000000006E-2</v>
      </c>
      <c r="G236" s="11">
        <v>3.2000000000000001E-2</v>
      </c>
      <c r="H236" s="11">
        <v>0.48399999999999999</v>
      </c>
      <c r="I236" s="11">
        <v>0</v>
      </c>
      <c r="J236" s="11">
        <v>4.3369999999999997</v>
      </c>
      <c r="K236" s="11">
        <v>0.60799999999999998</v>
      </c>
      <c r="L236" s="11">
        <v>52.505000000000003</v>
      </c>
      <c r="M236" s="11">
        <v>19.771999999999998</v>
      </c>
      <c r="N236" s="11">
        <v>0.30499999999999999</v>
      </c>
      <c r="O236" s="11">
        <v>99.724999999999994</v>
      </c>
      <c r="P236" s="11"/>
      <c r="Q236" s="33">
        <f t="shared" si="56"/>
        <v>0.29598441088454314</v>
      </c>
      <c r="R236" s="33">
        <f t="shared" si="57"/>
        <v>0.4905594839349956</v>
      </c>
      <c r="S236" s="33">
        <f t="shared" si="58"/>
        <v>7.7338706801241122E-2</v>
      </c>
      <c r="T236" s="33">
        <f t="shared" si="59"/>
        <v>62.368990105447011</v>
      </c>
      <c r="U236" s="33">
        <f t="shared" si="60"/>
        <v>34.262110422090892</v>
      </c>
      <c r="V236" s="33">
        <f t="shared" si="61"/>
        <v>8.9524556526710377</v>
      </c>
      <c r="W236" s="33">
        <f t="shared" si="62"/>
        <v>56.785433925238081</v>
      </c>
      <c r="X236" s="33"/>
      <c r="Y236" s="11">
        <v>8.9999999999999993E-3</v>
      </c>
      <c r="Z236" s="11">
        <v>2.5999999999999999E-3</v>
      </c>
      <c r="AA236" s="11">
        <v>2.6829000000000001</v>
      </c>
      <c r="AB236" s="11">
        <v>2.75E-2</v>
      </c>
      <c r="AC236" s="11">
        <v>2.4799999999999999E-2</v>
      </c>
      <c r="AD236" s="11">
        <v>4.1000000000000003E-3</v>
      </c>
      <c r="AE236" s="11">
        <v>8.5999999999999993E-2</v>
      </c>
      <c r="AF236" s="11">
        <v>0</v>
      </c>
      <c r="AG236" s="11">
        <v>0.70109999999999995</v>
      </c>
      <c r="AH236" s="11">
        <v>7.7700000000000005E-2</v>
      </c>
      <c r="AI236" s="11">
        <v>7.9207000000000001</v>
      </c>
      <c r="AJ236" s="11">
        <v>4.4462000000000002</v>
      </c>
      <c r="AK236" s="11">
        <v>3.6900000000000002E-2</v>
      </c>
      <c r="AL236" s="11">
        <v>16.019500000000001</v>
      </c>
      <c r="AM236" s="11">
        <f t="shared" si="63"/>
        <v>8.0067000000000004</v>
      </c>
      <c r="AN236" s="33">
        <f t="shared" si="64"/>
        <v>9.5555555555555554</v>
      </c>
    </row>
    <row r="237" spans="1:40" s="32" customFormat="1" x14ac:dyDescent="0.25">
      <c r="A237" s="11" t="s">
        <v>580</v>
      </c>
      <c r="B237" s="11">
        <v>0.14000000000000001</v>
      </c>
      <c r="C237" s="11">
        <v>0.06</v>
      </c>
      <c r="D237" s="11">
        <v>20.071000000000002</v>
      </c>
      <c r="E237" s="11">
        <v>0.30299999999999999</v>
      </c>
      <c r="F237" s="11">
        <v>6.3E-2</v>
      </c>
      <c r="G237" s="11">
        <v>0</v>
      </c>
      <c r="H237" s="11">
        <v>0.77400000000000002</v>
      </c>
      <c r="I237" s="11">
        <v>1.2999999999999999E-2</v>
      </c>
      <c r="J237" s="11">
        <v>6.1310000000000002</v>
      </c>
      <c r="K237" s="11">
        <v>0.63600000000000001</v>
      </c>
      <c r="L237" s="11">
        <v>52.338999999999999</v>
      </c>
      <c r="M237" s="11">
        <v>18.582000000000001</v>
      </c>
      <c r="N237" s="11">
        <v>0</v>
      </c>
      <c r="O237" s="11">
        <v>99.111999999999995</v>
      </c>
      <c r="P237" s="11"/>
      <c r="Q237" s="33">
        <f t="shared" si="56"/>
        <v>0.27936530029925538</v>
      </c>
      <c r="R237" s="33">
        <f t="shared" si="57"/>
        <v>0.46103461109043548</v>
      </c>
      <c r="S237" s="33">
        <f t="shared" si="58"/>
        <v>0.10932986197795927</v>
      </c>
      <c r="T237" s="33">
        <f t="shared" si="59"/>
        <v>62.268323374741939</v>
      </c>
      <c r="U237" s="33">
        <f t="shared" si="60"/>
        <v>32.876957952417563</v>
      </c>
      <c r="V237" s="33">
        <f t="shared" si="61"/>
        <v>12.866427116548243</v>
      </c>
      <c r="W237" s="33">
        <f t="shared" si="62"/>
        <v>54.2566149310342</v>
      </c>
      <c r="X237" s="33"/>
      <c r="Y237" s="11">
        <v>1.5900000000000001E-2</v>
      </c>
      <c r="Z237" s="11">
        <v>7.3000000000000001E-3</v>
      </c>
      <c r="AA237" s="11">
        <v>2.5444</v>
      </c>
      <c r="AB237" s="11">
        <v>3.6299999999999999E-2</v>
      </c>
      <c r="AC237" s="11">
        <v>1.8599999999999998E-2</v>
      </c>
      <c r="AD237" s="11">
        <v>0</v>
      </c>
      <c r="AE237" s="11">
        <v>0.13819999999999999</v>
      </c>
      <c r="AF237" s="11">
        <v>2.5000000000000001E-3</v>
      </c>
      <c r="AG237" s="11">
        <v>0.99580000000000002</v>
      </c>
      <c r="AH237" s="11">
        <v>8.1699999999999995E-2</v>
      </c>
      <c r="AI237" s="11">
        <v>7.9339000000000004</v>
      </c>
      <c r="AJ237" s="11">
        <v>4.1989000000000001</v>
      </c>
      <c r="AK237" s="11">
        <v>0</v>
      </c>
      <c r="AL237" s="11">
        <v>15.9735</v>
      </c>
      <c r="AM237" s="11">
        <f t="shared" si="63"/>
        <v>8.0721000000000007</v>
      </c>
      <c r="AN237" s="33">
        <f t="shared" si="64"/>
        <v>8.6918238993710677</v>
      </c>
    </row>
    <row r="238" spans="1:40" s="32" customFormat="1" x14ac:dyDescent="0.25">
      <c r="A238" s="11" t="s">
        <v>655</v>
      </c>
      <c r="B238" s="11">
        <v>0.17299999999999999</v>
      </c>
      <c r="C238" s="11">
        <v>3.4000000000000002E-2</v>
      </c>
      <c r="D238" s="11">
        <v>20.170999999999999</v>
      </c>
      <c r="E238" s="11">
        <v>0.33800000000000002</v>
      </c>
      <c r="F238" s="11">
        <v>0.09</v>
      </c>
      <c r="G238" s="11">
        <v>0</v>
      </c>
      <c r="H238" s="11">
        <v>0.93</v>
      </c>
      <c r="I238" s="11">
        <v>0</v>
      </c>
      <c r="J238" s="11">
        <v>6.0529999999999999</v>
      </c>
      <c r="K238" s="11">
        <v>0.59399999999999997</v>
      </c>
      <c r="L238" s="11">
        <v>52.173000000000002</v>
      </c>
      <c r="M238" s="11">
        <v>18.614999999999998</v>
      </c>
      <c r="N238" s="11">
        <v>0.13900000000000001</v>
      </c>
      <c r="O238" s="11">
        <v>99.31</v>
      </c>
      <c r="P238" s="11"/>
      <c r="Q238" s="33">
        <f t="shared" si="56"/>
        <v>0.28075718560790591</v>
      </c>
      <c r="R238" s="33">
        <f t="shared" si="57"/>
        <v>0.46185336806847782</v>
      </c>
      <c r="S238" s="33">
        <f t="shared" si="58"/>
        <v>0.10793894218766717</v>
      </c>
      <c r="T238" s="33">
        <f t="shared" si="59"/>
        <v>62.19321362752207</v>
      </c>
      <c r="U238" s="33">
        <f t="shared" si="60"/>
        <v>33.008917996323312</v>
      </c>
      <c r="V238" s="33">
        <f t="shared" si="61"/>
        <v>12.690495110812433</v>
      </c>
      <c r="W238" s="33">
        <f t="shared" si="62"/>
        <v>54.300586892864253</v>
      </c>
      <c r="X238" s="33"/>
      <c r="Y238" s="11">
        <v>1.9699999999999999E-2</v>
      </c>
      <c r="Z238" s="11">
        <v>4.1000000000000003E-3</v>
      </c>
      <c r="AA238" s="11">
        <v>2.5546000000000002</v>
      </c>
      <c r="AB238" s="11">
        <v>4.0399999999999998E-2</v>
      </c>
      <c r="AC238" s="11">
        <v>2.64E-2</v>
      </c>
      <c r="AD238" s="11">
        <v>0</v>
      </c>
      <c r="AE238" s="11">
        <v>0.16600000000000001</v>
      </c>
      <c r="AF238" s="11">
        <v>0</v>
      </c>
      <c r="AG238" s="11">
        <v>0.98209999999999997</v>
      </c>
      <c r="AH238" s="11">
        <v>7.6100000000000001E-2</v>
      </c>
      <c r="AI238" s="11">
        <v>7.9008000000000003</v>
      </c>
      <c r="AJ238" s="11">
        <v>4.2022000000000004</v>
      </c>
      <c r="AK238" s="11">
        <v>1.6899999999999998E-2</v>
      </c>
      <c r="AL238" s="11">
        <v>15.9893</v>
      </c>
      <c r="AM238" s="11">
        <f t="shared" si="63"/>
        <v>8.0668000000000006</v>
      </c>
      <c r="AN238" s="33">
        <f t="shared" si="64"/>
        <v>8.4263959390862961</v>
      </c>
    </row>
    <row r="239" spans="1:40" s="32" customFormat="1" x14ac:dyDescent="0.25">
      <c r="A239" s="11" t="s">
        <v>581</v>
      </c>
      <c r="B239" s="11">
        <v>0.17</v>
      </c>
      <c r="C239" s="11">
        <v>2.1999999999999999E-2</v>
      </c>
      <c r="D239" s="11">
        <v>20.132000000000001</v>
      </c>
      <c r="E239" s="11">
        <v>0.34499999999999997</v>
      </c>
      <c r="F239" s="11">
        <v>9.7000000000000003E-2</v>
      </c>
      <c r="G239" s="11">
        <v>0</v>
      </c>
      <c r="H239" s="11">
        <v>0.79400000000000004</v>
      </c>
      <c r="I239" s="11">
        <v>4.0000000000000001E-3</v>
      </c>
      <c r="J239" s="11">
        <v>5.9930000000000003</v>
      </c>
      <c r="K239" s="11">
        <v>0.62</v>
      </c>
      <c r="L239" s="11">
        <v>51.927</v>
      </c>
      <c r="M239" s="11">
        <v>18.567</v>
      </c>
      <c r="N239" s="11">
        <v>2.8000000000000001E-2</v>
      </c>
      <c r="O239" s="11">
        <v>98.698999999999998</v>
      </c>
      <c r="P239" s="11"/>
      <c r="Q239" s="33">
        <f t="shared" si="56"/>
        <v>0.28021435033753223</v>
      </c>
      <c r="R239" s="33">
        <f t="shared" si="57"/>
        <v>0.46066244882768886</v>
      </c>
      <c r="S239" s="33">
        <f t="shared" si="58"/>
        <v>0.10686900388744248</v>
      </c>
      <c r="T239" s="33">
        <f t="shared" si="59"/>
        <v>62.178009804968625</v>
      </c>
      <c r="U239" s="33">
        <f t="shared" si="60"/>
        <v>33.054053388233029</v>
      </c>
      <c r="V239" s="33">
        <f t="shared" si="61"/>
        <v>12.606255731684652</v>
      </c>
      <c r="W239" s="33">
        <f t="shared" si="62"/>
        <v>54.339690880082323</v>
      </c>
      <c r="X239" s="33"/>
      <c r="Y239" s="11">
        <v>1.95E-2</v>
      </c>
      <c r="Z239" s="11">
        <v>2.7000000000000001E-3</v>
      </c>
      <c r="AA239" s="11">
        <v>2.5653000000000001</v>
      </c>
      <c r="AB239" s="11">
        <v>4.1599999999999998E-2</v>
      </c>
      <c r="AC239" s="11">
        <v>2.86E-2</v>
      </c>
      <c r="AD239" s="11">
        <v>0</v>
      </c>
      <c r="AE239" s="11">
        <v>0.14249999999999999</v>
      </c>
      <c r="AF239" s="11">
        <v>8.0000000000000004E-4</v>
      </c>
      <c r="AG239" s="11">
        <v>0.97829999999999995</v>
      </c>
      <c r="AH239" s="11">
        <v>0.08</v>
      </c>
      <c r="AI239" s="11">
        <v>7.9118000000000004</v>
      </c>
      <c r="AJ239" s="11">
        <v>4.2169999999999996</v>
      </c>
      <c r="AK239" s="11">
        <v>3.3999999999999998E-3</v>
      </c>
      <c r="AL239" s="11">
        <v>15.9915</v>
      </c>
      <c r="AM239" s="11">
        <f t="shared" si="63"/>
        <v>8.0542999999999996</v>
      </c>
      <c r="AN239" s="33">
        <f t="shared" si="64"/>
        <v>7.3076923076923075</v>
      </c>
    </row>
    <row r="240" spans="1:40" s="32" customFormat="1" x14ac:dyDescent="0.25">
      <c r="A240" s="11" t="s">
        <v>656</v>
      </c>
      <c r="B240" s="11">
        <v>0.17299999999999999</v>
      </c>
      <c r="C240" s="11">
        <v>1.2E-2</v>
      </c>
      <c r="D240" s="11">
        <v>19.895</v>
      </c>
      <c r="E240" s="11">
        <v>0.313</v>
      </c>
      <c r="F240" s="11">
        <v>6.7000000000000004E-2</v>
      </c>
      <c r="G240" s="11">
        <v>9.6000000000000002E-2</v>
      </c>
      <c r="H240" s="11">
        <v>0.85799999999999998</v>
      </c>
      <c r="I240" s="11">
        <v>0</v>
      </c>
      <c r="J240" s="11">
        <v>6.7750000000000004</v>
      </c>
      <c r="K240" s="11">
        <v>0.65700000000000003</v>
      </c>
      <c r="L240" s="11">
        <v>51.948</v>
      </c>
      <c r="M240" s="11">
        <v>18.189</v>
      </c>
      <c r="N240" s="11">
        <v>0</v>
      </c>
      <c r="O240" s="11">
        <v>98.983000000000004</v>
      </c>
      <c r="P240" s="11"/>
      <c r="Q240" s="33">
        <f t="shared" si="56"/>
        <v>0.27691558215603035</v>
      </c>
      <c r="R240" s="33">
        <f t="shared" si="57"/>
        <v>0.45128395980647562</v>
      </c>
      <c r="S240" s="33">
        <f t="shared" si="58"/>
        <v>0.12081386640037091</v>
      </c>
      <c r="T240" s="33">
        <f t="shared" si="59"/>
        <v>61.972568478999627</v>
      </c>
      <c r="U240" s="33">
        <f t="shared" si="60"/>
        <v>32.616161232364639</v>
      </c>
      <c r="V240" s="33">
        <f t="shared" si="61"/>
        <v>14.229912650417628</v>
      </c>
      <c r="W240" s="33">
        <f t="shared" si="62"/>
        <v>53.153926117217722</v>
      </c>
      <c r="X240" s="33"/>
      <c r="Y240" s="11">
        <v>1.9800000000000002E-2</v>
      </c>
      <c r="Z240" s="11">
        <v>1.5E-3</v>
      </c>
      <c r="AA240" s="11">
        <v>2.5291000000000001</v>
      </c>
      <c r="AB240" s="11">
        <v>3.7600000000000001E-2</v>
      </c>
      <c r="AC240" s="11">
        <v>1.9699999999999999E-2</v>
      </c>
      <c r="AD240" s="11">
        <v>1.24E-2</v>
      </c>
      <c r="AE240" s="11">
        <v>0.15359999999999999</v>
      </c>
      <c r="AF240" s="11">
        <v>0</v>
      </c>
      <c r="AG240" s="11">
        <v>1.1033999999999999</v>
      </c>
      <c r="AH240" s="11">
        <v>8.4599999999999995E-2</v>
      </c>
      <c r="AI240" s="11">
        <v>7.8963000000000001</v>
      </c>
      <c r="AJ240" s="11">
        <v>4.1214000000000004</v>
      </c>
      <c r="AK240" s="11">
        <v>0</v>
      </c>
      <c r="AL240" s="11">
        <v>15.9794</v>
      </c>
      <c r="AM240" s="11">
        <f t="shared" si="63"/>
        <v>8.0499000000000009</v>
      </c>
      <c r="AN240" s="33">
        <f t="shared" si="64"/>
        <v>7.757575757575756</v>
      </c>
    </row>
    <row r="241" spans="1:40" s="32" customFormat="1" x14ac:dyDescent="0.25">
      <c r="A241" s="11" t="s">
        <v>657</v>
      </c>
      <c r="B241" s="11">
        <v>0.155</v>
      </c>
      <c r="C241" s="11">
        <v>0.03</v>
      </c>
      <c r="D241" s="11">
        <v>20.89</v>
      </c>
      <c r="E241" s="11">
        <v>0.26900000000000002</v>
      </c>
      <c r="F241" s="11">
        <v>7.2999999999999995E-2</v>
      </c>
      <c r="G241" s="11">
        <v>3.4000000000000002E-2</v>
      </c>
      <c r="H241" s="11">
        <v>0.81399999999999995</v>
      </c>
      <c r="I241" s="11">
        <v>0</v>
      </c>
      <c r="J241" s="11">
        <v>5.1959999999999997</v>
      </c>
      <c r="K241" s="11">
        <v>0.66700000000000004</v>
      </c>
      <c r="L241" s="11">
        <v>52.264000000000003</v>
      </c>
      <c r="M241" s="11">
        <v>18.684999999999999</v>
      </c>
      <c r="N241" s="11">
        <v>0.13900000000000001</v>
      </c>
      <c r="O241" s="11">
        <v>99.215999999999994</v>
      </c>
      <c r="P241" s="11"/>
      <c r="Q241" s="33">
        <f t="shared" si="56"/>
        <v>0.29076484097710348</v>
      </c>
      <c r="R241" s="33">
        <f t="shared" si="57"/>
        <v>0.46359012529462845</v>
      </c>
      <c r="S241" s="33">
        <f t="shared" si="58"/>
        <v>9.2656656799457893E-2</v>
      </c>
      <c r="T241" s="33">
        <f t="shared" si="59"/>
        <v>61.4551697837746</v>
      </c>
      <c r="U241" s="33">
        <f t="shared" si="60"/>
        <v>34.328317706292587</v>
      </c>
      <c r="V241" s="33">
        <f t="shared" si="61"/>
        <v>10.939242659208499</v>
      </c>
      <c r="W241" s="33">
        <f t="shared" si="62"/>
        <v>54.732439634498917</v>
      </c>
      <c r="X241" s="33"/>
      <c r="Y241" s="11">
        <v>1.7600000000000001E-2</v>
      </c>
      <c r="Z241" s="11">
        <v>3.7000000000000002E-3</v>
      </c>
      <c r="AA241" s="11">
        <v>2.6495000000000002</v>
      </c>
      <c r="AB241" s="11">
        <v>3.2199999999999999E-2</v>
      </c>
      <c r="AC241" s="11">
        <v>2.1399999999999999E-2</v>
      </c>
      <c r="AD241" s="11">
        <v>4.4000000000000003E-3</v>
      </c>
      <c r="AE241" s="11">
        <v>0.14549999999999999</v>
      </c>
      <c r="AF241" s="11">
        <v>0</v>
      </c>
      <c r="AG241" s="11">
        <v>0.84430000000000005</v>
      </c>
      <c r="AH241" s="11">
        <v>8.5699999999999998E-2</v>
      </c>
      <c r="AI241" s="11">
        <v>7.9260000000000002</v>
      </c>
      <c r="AJ241" s="11">
        <v>4.2241999999999997</v>
      </c>
      <c r="AK241" s="11">
        <v>1.6899999999999998E-2</v>
      </c>
      <c r="AL241" s="11">
        <v>15.971399999999999</v>
      </c>
      <c r="AM241" s="11">
        <f t="shared" si="63"/>
        <v>8.0715000000000003</v>
      </c>
      <c r="AN241" s="33">
        <f t="shared" si="64"/>
        <v>8.2670454545454533</v>
      </c>
    </row>
    <row r="242" spans="1:40" s="32" customFormat="1" x14ac:dyDescent="0.25">
      <c r="A242" s="11" t="s">
        <v>658</v>
      </c>
      <c r="B242" s="11">
        <v>0.126</v>
      </c>
      <c r="C242" s="11">
        <v>1.2E-2</v>
      </c>
      <c r="D242" s="11">
        <v>21.818000000000001</v>
      </c>
      <c r="E242" s="11">
        <v>0.24399999999999999</v>
      </c>
      <c r="F242" s="11">
        <v>7.1999999999999995E-2</v>
      </c>
      <c r="G242" s="11">
        <v>0</v>
      </c>
      <c r="H242" s="11">
        <v>0.68899999999999995</v>
      </c>
      <c r="I242" s="11">
        <v>1.7999999999999999E-2</v>
      </c>
      <c r="J242" s="11">
        <v>4.2590000000000003</v>
      </c>
      <c r="K242" s="11">
        <v>0.65800000000000003</v>
      </c>
      <c r="L242" s="11">
        <v>52.491</v>
      </c>
      <c r="M242" s="11">
        <v>19.324000000000002</v>
      </c>
      <c r="N242" s="11">
        <v>0.44600000000000001</v>
      </c>
      <c r="O242" s="11">
        <v>100.157</v>
      </c>
      <c r="P242" s="11"/>
      <c r="Q242" s="33">
        <f t="shared" si="56"/>
        <v>0.30368153664138076</v>
      </c>
      <c r="R242" s="33">
        <f t="shared" si="57"/>
        <v>0.47944423768763184</v>
      </c>
      <c r="S242" s="33">
        <f t="shared" si="58"/>
        <v>7.5947787010949036E-2</v>
      </c>
      <c r="T242" s="33">
        <f t="shared" si="59"/>
        <v>61.221869258283945</v>
      </c>
      <c r="U242" s="33">
        <f t="shared" si="60"/>
        <v>35.349887402855913</v>
      </c>
      <c r="V242" s="33">
        <f t="shared" si="61"/>
        <v>8.8406616649321119</v>
      </c>
      <c r="W242" s="33">
        <f t="shared" si="62"/>
        <v>55.809450932211981</v>
      </c>
      <c r="X242" s="33"/>
      <c r="Y242" s="11">
        <v>1.4200000000000001E-2</v>
      </c>
      <c r="Z242" s="11">
        <v>1.5E-3</v>
      </c>
      <c r="AA242" s="11">
        <v>2.7490999999999999</v>
      </c>
      <c r="AB242" s="11">
        <v>2.9100000000000001E-2</v>
      </c>
      <c r="AC242" s="11">
        <v>2.1000000000000001E-2</v>
      </c>
      <c r="AD242" s="11">
        <v>0</v>
      </c>
      <c r="AE242" s="11">
        <v>0.12230000000000001</v>
      </c>
      <c r="AF242" s="11">
        <v>3.5000000000000001E-3</v>
      </c>
      <c r="AG242" s="11">
        <v>0.68759999999999999</v>
      </c>
      <c r="AH242" s="11">
        <v>8.3900000000000002E-2</v>
      </c>
      <c r="AI242" s="11">
        <v>7.9081999999999999</v>
      </c>
      <c r="AJ242" s="11">
        <v>4.3398000000000003</v>
      </c>
      <c r="AK242" s="11">
        <v>5.3800000000000001E-2</v>
      </c>
      <c r="AL242" s="11">
        <v>16.013999999999999</v>
      </c>
      <c r="AM242" s="11">
        <f t="shared" si="63"/>
        <v>8.0305</v>
      </c>
      <c r="AN242" s="33">
        <f t="shared" si="64"/>
        <v>8.612676056338028</v>
      </c>
    </row>
    <row r="243" spans="1:40" s="32" customFormat="1" x14ac:dyDescent="0.25">
      <c r="A243" s="11" t="s">
        <v>582</v>
      </c>
      <c r="B243" s="11">
        <v>0.152</v>
      </c>
      <c r="C243" s="11">
        <v>1.9E-2</v>
      </c>
      <c r="D243" s="11">
        <v>21.579000000000001</v>
      </c>
      <c r="E243" s="11">
        <v>0.21</v>
      </c>
      <c r="F243" s="11">
        <v>7.5999999999999998E-2</v>
      </c>
      <c r="G243" s="11">
        <v>0</v>
      </c>
      <c r="H243" s="11">
        <v>0.79600000000000004</v>
      </c>
      <c r="I243" s="11">
        <v>1.2999999999999999E-2</v>
      </c>
      <c r="J243" s="11">
        <v>4.9580000000000002</v>
      </c>
      <c r="K243" s="11">
        <v>0.65300000000000002</v>
      </c>
      <c r="L243" s="11">
        <v>52.680999999999997</v>
      </c>
      <c r="M243" s="11">
        <v>19.103999999999999</v>
      </c>
      <c r="N243" s="11">
        <v>5.6000000000000001E-2</v>
      </c>
      <c r="O243" s="11">
        <v>100.297</v>
      </c>
      <c r="P243" s="11"/>
      <c r="Q243" s="33">
        <f t="shared" si="56"/>
        <v>0.3003549307537059</v>
      </c>
      <c r="R243" s="33">
        <f t="shared" si="57"/>
        <v>0.47398585783401559</v>
      </c>
      <c r="S243" s="33">
        <f t="shared" si="58"/>
        <v>8.8412568208566633E-2</v>
      </c>
      <c r="T243" s="33">
        <f t="shared" si="59"/>
        <v>61.211531772527813</v>
      </c>
      <c r="U243" s="33">
        <f t="shared" si="60"/>
        <v>34.813533715943009</v>
      </c>
      <c r="V243" s="33">
        <f t="shared" si="61"/>
        <v>10.247722308131506</v>
      </c>
      <c r="W243" s="33">
        <f t="shared" si="62"/>
        <v>54.938743975925476</v>
      </c>
      <c r="X243" s="33"/>
      <c r="Y243" s="11">
        <v>1.72E-2</v>
      </c>
      <c r="Z243" s="11">
        <v>2.3E-3</v>
      </c>
      <c r="AA243" s="11">
        <v>2.7107999999999999</v>
      </c>
      <c r="AB243" s="11">
        <v>2.4899999999999999E-2</v>
      </c>
      <c r="AC243" s="11">
        <v>2.23E-2</v>
      </c>
      <c r="AD243" s="11">
        <v>0</v>
      </c>
      <c r="AE243" s="11">
        <v>0.14099999999999999</v>
      </c>
      <c r="AF243" s="11">
        <v>2.5000000000000001E-3</v>
      </c>
      <c r="AG243" s="11">
        <v>0.79790000000000005</v>
      </c>
      <c r="AH243" s="11">
        <v>8.3099999999999993E-2</v>
      </c>
      <c r="AI243" s="11">
        <v>7.9130000000000003</v>
      </c>
      <c r="AJ243" s="11">
        <v>4.2777000000000003</v>
      </c>
      <c r="AK243" s="11">
        <v>6.7000000000000002E-3</v>
      </c>
      <c r="AL243" s="11">
        <v>15.9994</v>
      </c>
      <c r="AM243" s="11">
        <f t="shared" si="63"/>
        <v>8.0540000000000003</v>
      </c>
      <c r="AN243" s="33">
        <f t="shared" si="64"/>
        <v>8.1976744186046506</v>
      </c>
    </row>
    <row r="244" spans="1:40" s="32" customFormat="1" x14ac:dyDescent="0.25">
      <c r="A244" s="11" t="s">
        <v>213</v>
      </c>
      <c r="B244" s="11">
        <v>0.14599999999999999</v>
      </c>
      <c r="C244" s="11">
        <v>4.0000000000000001E-3</v>
      </c>
      <c r="D244" s="11">
        <v>21.649000000000001</v>
      </c>
      <c r="E244" s="11">
        <v>0.28100000000000003</v>
      </c>
      <c r="F244" s="11">
        <v>4.9000000000000002E-2</v>
      </c>
      <c r="G244" s="11">
        <v>0</v>
      </c>
      <c r="H244" s="11">
        <v>0.84599999999999997</v>
      </c>
      <c r="I244" s="11">
        <v>0</v>
      </c>
      <c r="J244" s="11">
        <v>5.0339999999999998</v>
      </c>
      <c r="K244" s="11">
        <v>0.7</v>
      </c>
      <c r="L244" s="11">
        <v>52.600999999999999</v>
      </c>
      <c r="M244" s="11">
        <v>19.085000000000001</v>
      </c>
      <c r="N244" s="11">
        <v>0</v>
      </c>
      <c r="O244" s="11">
        <v>100.395</v>
      </c>
      <c r="P244" s="11"/>
      <c r="Q244" s="33">
        <f t="shared" si="56"/>
        <v>0.30132925046976133</v>
      </c>
      <c r="R244" s="33">
        <f t="shared" si="57"/>
        <v>0.47351445230120337</v>
      </c>
      <c r="S244" s="33">
        <f t="shared" si="58"/>
        <v>8.9767823388851239E-2</v>
      </c>
      <c r="T244" s="33">
        <f t="shared" si="59"/>
        <v>61.110963489519257</v>
      </c>
      <c r="U244" s="33">
        <f t="shared" si="60"/>
        <v>34.851403358930384</v>
      </c>
      <c r="V244" s="33">
        <f t="shared" si="61"/>
        <v>10.382445835247681</v>
      </c>
      <c r="W244" s="33">
        <f t="shared" si="62"/>
        <v>54.766150805821937</v>
      </c>
      <c r="X244" s="33"/>
      <c r="Y244" s="11">
        <v>1.6500000000000001E-2</v>
      </c>
      <c r="Z244" s="11">
        <v>4.0000000000000002E-4</v>
      </c>
      <c r="AA244" s="11">
        <v>2.7185000000000001</v>
      </c>
      <c r="AB244" s="11">
        <v>3.3399999999999999E-2</v>
      </c>
      <c r="AC244" s="11">
        <v>1.4200000000000001E-2</v>
      </c>
      <c r="AD244" s="11">
        <v>0</v>
      </c>
      <c r="AE244" s="11">
        <v>0.14979999999999999</v>
      </c>
      <c r="AF244" s="11">
        <v>0</v>
      </c>
      <c r="AG244" s="11">
        <v>0.80989999999999995</v>
      </c>
      <c r="AH244" s="11">
        <v>8.8999999999999996E-2</v>
      </c>
      <c r="AI244" s="11">
        <v>7.8978999999999999</v>
      </c>
      <c r="AJ244" s="11">
        <v>4.2716000000000003</v>
      </c>
      <c r="AK244" s="11">
        <v>0</v>
      </c>
      <c r="AL244" s="11">
        <v>16.001200000000001</v>
      </c>
      <c r="AM244" s="11">
        <f t="shared" si="63"/>
        <v>8.0477000000000007</v>
      </c>
      <c r="AN244" s="33">
        <f t="shared" si="64"/>
        <v>9.0787878787878782</v>
      </c>
    </row>
    <row r="245" spans="1:40" s="32" customFormat="1" x14ac:dyDescent="0.25">
      <c r="A245" s="11" t="s">
        <v>467</v>
      </c>
      <c r="B245" s="11">
        <v>0.14099999999999999</v>
      </c>
      <c r="C245" s="11">
        <v>2.8000000000000001E-2</v>
      </c>
      <c r="D245" s="11">
        <v>20.81</v>
      </c>
      <c r="E245" s="11">
        <v>0.248</v>
      </c>
      <c r="F245" s="11">
        <v>7.9000000000000001E-2</v>
      </c>
      <c r="G245" s="11">
        <v>7.6999999999999999E-2</v>
      </c>
      <c r="H245" s="11">
        <v>0.877</v>
      </c>
      <c r="I245" s="11">
        <v>1.4E-2</v>
      </c>
      <c r="J245" s="11">
        <v>6.1230000000000002</v>
      </c>
      <c r="K245" s="11">
        <v>0.61699999999999999</v>
      </c>
      <c r="L245" s="11">
        <v>51.848999999999997</v>
      </c>
      <c r="M245" s="11">
        <v>18.247</v>
      </c>
      <c r="N245" s="11">
        <v>0.19400000000000001</v>
      </c>
      <c r="O245" s="11">
        <v>99.304000000000002</v>
      </c>
      <c r="P245" s="11"/>
      <c r="Q245" s="33">
        <f t="shared" si="56"/>
        <v>0.28965133273018301</v>
      </c>
      <c r="R245" s="33">
        <f t="shared" si="57"/>
        <v>0.45272298722242899</v>
      </c>
      <c r="S245" s="33">
        <f t="shared" si="58"/>
        <v>0.10918720353792931</v>
      </c>
      <c r="T245" s="33">
        <f t="shared" si="59"/>
        <v>60.983115263379219</v>
      </c>
      <c r="U245" s="33">
        <f t="shared" si="60"/>
        <v>34.014140463146497</v>
      </c>
      <c r="V245" s="33">
        <f t="shared" si="61"/>
        <v>12.821998238057089</v>
      </c>
      <c r="W245" s="33">
        <f t="shared" si="62"/>
        <v>53.163861298796398</v>
      </c>
      <c r="X245" s="33"/>
      <c r="Y245" s="11">
        <v>1.61E-2</v>
      </c>
      <c r="Z245" s="11">
        <v>3.3999999999999998E-3</v>
      </c>
      <c r="AA245" s="11">
        <v>2.6457999999999999</v>
      </c>
      <c r="AB245" s="11">
        <v>2.98E-2</v>
      </c>
      <c r="AC245" s="11">
        <v>2.3400000000000001E-2</v>
      </c>
      <c r="AD245" s="11">
        <v>9.9000000000000008E-3</v>
      </c>
      <c r="AE245" s="11">
        <v>0.15709999999999999</v>
      </c>
      <c r="AF245" s="11">
        <v>2.7000000000000001E-3</v>
      </c>
      <c r="AG245" s="11">
        <v>0.99739999999999995</v>
      </c>
      <c r="AH245" s="11">
        <v>7.9399999999999998E-2</v>
      </c>
      <c r="AI245" s="11">
        <v>7.8823999999999996</v>
      </c>
      <c r="AJ245" s="11">
        <v>4.1353</v>
      </c>
      <c r="AK245" s="11">
        <v>2.3699999999999999E-2</v>
      </c>
      <c r="AL245" s="11">
        <v>16.006399999999999</v>
      </c>
      <c r="AM245" s="11">
        <f t="shared" si="63"/>
        <v>8.0395000000000003</v>
      </c>
      <c r="AN245" s="33">
        <f t="shared" si="64"/>
        <v>9.7577639751552798</v>
      </c>
    </row>
    <row r="246" spans="1:40" s="32" customFormat="1" x14ac:dyDescent="0.25">
      <c r="A246" s="11" t="s">
        <v>482</v>
      </c>
      <c r="B246" s="11">
        <v>0.16300000000000001</v>
      </c>
      <c r="C246" s="11">
        <v>1.4E-2</v>
      </c>
      <c r="D246" s="11">
        <v>21.172000000000001</v>
      </c>
      <c r="E246" s="11">
        <v>0.29799999999999999</v>
      </c>
      <c r="F246" s="11">
        <v>5.3999999999999999E-2</v>
      </c>
      <c r="G246" s="11">
        <v>0</v>
      </c>
      <c r="H246" s="11">
        <v>0.872</v>
      </c>
      <c r="I246" s="11">
        <v>5.0000000000000001E-3</v>
      </c>
      <c r="J246" s="11">
        <v>5.26</v>
      </c>
      <c r="K246" s="11">
        <v>0.64600000000000002</v>
      </c>
      <c r="L246" s="11">
        <v>51.972999999999999</v>
      </c>
      <c r="M246" s="11">
        <v>18.542000000000002</v>
      </c>
      <c r="N246" s="11">
        <v>8.4000000000000005E-2</v>
      </c>
      <c r="O246" s="11">
        <v>99.082999999999998</v>
      </c>
      <c r="P246" s="11"/>
      <c r="Q246" s="33">
        <f t="shared" si="56"/>
        <v>0.2946899575474981</v>
      </c>
      <c r="R246" s="33">
        <f t="shared" si="57"/>
        <v>0.46004217838977801</v>
      </c>
      <c r="S246" s="33">
        <f t="shared" si="58"/>
        <v>9.3797924319697551E-2</v>
      </c>
      <c r="T246" s="33">
        <f t="shared" si="59"/>
        <v>60.954364665878089</v>
      </c>
      <c r="U246" s="33">
        <f t="shared" si="60"/>
        <v>34.729465855134528</v>
      </c>
      <c r="V246" s="33">
        <f t="shared" si="61"/>
        <v>11.054166341648669</v>
      </c>
      <c r="W246" s="33">
        <f t="shared" si="62"/>
        <v>54.216367803216805</v>
      </c>
      <c r="X246" s="33"/>
      <c r="Y246" s="11">
        <v>1.8700000000000001E-2</v>
      </c>
      <c r="Z246" s="11">
        <v>1.8E-3</v>
      </c>
      <c r="AA246" s="11">
        <v>2.6939000000000002</v>
      </c>
      <c r="AB246" s="11">
        <v>3.5900000000000001E-2</v>
      </c>
      <c r="AC246" s="11">
        <v>1.5900000000000001E-2</v>
      </c>
      <c r="AD246" s="11">
        <v>0</v>
      </c>
      <c r="AE246" s="11">
        <v>0.15640000000000001</v>
      </c>
      <c r="AF246" s="11">
        <v>8.9999999999999998E-4</v>
      </c>
      <c r="AG246" s="11">
        <v>0.85740000000000005</v>
      </c>
      <c r="AH246" s="11">
        <v>8.3299999999999999E-2</v>
      </c>
      <c r="AI246" s="11">
        <v>7.907</v>
      </c>
      <c r="AJ246" s="11">
        <v>4.2053000000000003</v>
      </c>
      <c r="AK246" s="11">
        <v>1.0200000000000001E-2</v>
      </c>
      <c r="AL246" s="11">
        <v>15.986700000000001</v>
      </c>
      <c r="AM246" s="11">
        <f t="shared" si="63"/>
        <v>8.0633999999999997</v>
      </c>
      <c r="AN246" s="33">
        <f t="shared" si="64"/>
        <v>8.3636363636363633</v>
      </c>
    </row>
    <row r="247" spans="1:40" s="32" customFormat="1" x14ac:dyDescent="0.25">
      <c r="A247" s="11" t="s">
        <v>190</v>
      </c>
      <c r="B247" s="11">
        <v>0.151</v>
      </c>
      <c r="C247" s="11">
        <v>0.01</v>
      </c>
      <c r="D247" s="11">
        <v>21.140999999999998</v>
      </c>
      <c r="E247" s="11">
        <v>0.29599999999999999</v>
      </c>
      <c r="F247" s="11">
        <v>5.5E-2</v>
      </c>
      <c r="G247" s="11">
        <v>0</v>
      </c>
      <c r="H247" s="11">
        <v>0.79600000000000004</v>
      </c>
      <c r="I247" s="11">
        <v>0.01</v>
      </c>
      <c r="J247" s="11">
        <v>5.33</v>
      </c>
      <c r="K247" s="11">
        <v>0.65900000000000003</v>
      </c>
      <c r="L247" s="11">
        <v>51.914999999999999</v>
      </c>
      <c r="M247" s="11">
        <v>18.471</v>
      </c>
      <c r="N247" s="11">
        <v>0.13900000000000001</v>
      </c>
      <c r="O247" s="11">
        <v>98.972999999999999</v>
      </c>
      <c r="P247" s="11"/>
      <c r="Q247" s="33">
        <f t="shared" si="56"/>
        <v>0.29425847310181641</v>
      </c>
      <c r="R247" s="33">
        <f t="shared" si="57"/>
        <v>0.45828061034611089</v>
      </c>
      <c r="S247" s="33">
        <f t="shared" si="58"/>
        <v>9.504618566995969E-2</v>
      </c>
      <c r="T247" s="33">
        <f t="shared" si="59"/>
        <v>60.897914862626813</v>
      </c>
      <c r="U247" s="33">
        <f t="shared" si="60"/>
        <v>34.717270795428284</v>
      </c>
      <c r="V247" s="33">
        <f t="shared" si="61"/>
        <v>11.213760919757105</v>
      </c>
      <c r="W247" s="33">
        <f t="shared" si="62"/>
        <v>54.068968284814609</v>
      </c>
      <c r="X247" s="33"/>
      <c r="Y247" s="11">
        <v>1.7299999999999999E-2</v>
      </c>
      <c r="Z247" s="11">
        <v>1.1999999999999999E-3</v>
      </c>
      <c r="AA247" s="11">
        <v>2.6945999999999999</v>
      </c>
      <c r="AB247" s="11">
        <v>3.56E-2</v>
      </c>
      <c r="AC247" s="11">
        <v>1.6299999999999999E-2</v>
      </c>
      <c r="AD247" s="11">
        <v>0</v>
      </c>
      <c r="AE247" s="11">
        <v>0.1431</v>
      </c>
      <c r="AF247" s="11">
        <v>2E-3</v>
      </c>
      <c r="AG247" s="11">
        <v>0.87029999999999996</v>
      </c>
      <c r="AH247" s="11">
        <v>8.5099999999999995E-2</v>
      </c>
      <c r="AI247" s="11">
        <v>7.9119000000000002</v>
      </c>
      <c r="AJ247" s="11">
        <v>4.1962999999999999</v>
      </c>
      <c r="AK247" s="11">
        <v>1.7000000000000001E-2</v>
      </c>
      <c r="AL247" s="11">
        <v>15.9907</v>
      </c>
      <c r="AM247" s="11">
        <f t="shared" si="63"/>
        <v>8.0549999999999997</v>
      </c>
      <c r="AN247" s="33">
        <f t="shared" si="64"/>
        <v>8.2716763005780347</v>
      </c>
    </row>
    <row r="248" spans="1:40" s="32" customFormat="1" x14ac:dyDescent="0.25">
      <c r="A248" s="11" t="s">
        <v>483</v>
      </c>
      <c r="B248" s="11">
        <v>0.16400000000000001</v>
      </c>
      <c r="C248" s="11">
        <v>1.4E-2</v>
      </c>
      <c r="D248" s="11">
        <v>20.100000000000001</v>
      </c>
      <c r="E248" s="11">
        <v>0.39100000000000001</v>
      </c>
      <c r="F248" s="11">
        <v>7.4999999999999997E-2</v>
      </c>
      <c r="G248" s="11">
        <v>0.02</v>
      </c>
      <c r="H248" s="11">
        <v>1.1879999999999999</v>
      </c>
      <c r="I248" s="11">
        <v>3.0000000000000001E-3</v>
      </c>
      <c r="J248" s="11">
        <v>6.9009999999999998</v>
      </c>
      <c r="K248" s="11">
        <v>0.61399999999999999</v>
      </c>
      <c r="L248" s="11">
        <v>51.524999999999999</v>
      </c>
      <c r="M248" s="11">
        <v>17.553000000000001</v>
      </c>
      <c r="N248" s="11">
        <v>0</v>
      </c>
      <c r="O248" s="11">
        <v>98.548000000000002</v>
      </c>
      <c r="P248" s="11"/>
      <c r="Q248" s="33">
        <f t="shared" si="56"/>
        <v>0.27976894703876404</v>
      </c>
      <c r="R248" s="33">
        <f t="shared" si="57"/>
        <v>0.43550427986602158</v>
      </c>
      <c r="S248" s="33">
        <f t="shared" si="58"/>
        <v>0.12306073683084275</v>
      </c>
      <c r="T248" s="33">
        <f t="shared" si="59"/>
        <v>60.886422626300011</v>
      </c>
      <c r="U248" s="33">
        <f t="shared" si="60"/>
        <v>33.372016301487953</v>
      </c>
      <c r="V248" s="33">
        <f t="shared" si="61"/>
        <v>14.679202102522758</v>
      </c>
      <c r="W248" s="33">
        <f t="shared" si="62"/>
        <v>51.948781595989281</v>
      </c>
      <c r="X248" s="33"/>
      <c r="Y248" s="11">
        <v>1.89E-2</v>
      </c>
      <c r="Z248" s="11">
        <v>1.8E-3</v>
      </c>
      <c r="AA248" s="11">
        <v>2.5716000000000001</v>
      </c>
      <c r="AB248" s="11">
        <v>4.7300000000000002E-2</v>
      </c>
      <c r="AC248" s="11">
        <v>2.23E-2</v>
      </c>
      <c r="AD248" s="11">
        <v>2.5999999999999999E-3</v>
      </c>
      <c r="AE248" s="11">
        <v>0.21429999999999999</v>
      </c>
      <c r="AF248" s="11">
        <v>5.9999999999999995E-4</v>
      </c>
      <c r="AG248" s="11">
        <v>1.1312</v>
      </c>
      <c r="AH248" s="11">
        <v>7.9600000000000004E-2</v>
      </c>
      <c r="AI248" s="11">
        <v>7.8822999999999999</v>
      </c>
      <c r="AJ248" s="11">
        <v>4.0030000000000001</v>
      </c>
      <c r="AK248" s="11">
        <v>0</v>
      </c>
      <c r="AL248" s="11">
        <v>15.9755</v>
      </c>
      <c r="AM248" s="11">
        <f t="shared" si="63"/>
        <v>8.0966000000000005</v>
      </c>
      <c r="AN248" s="33">
        <f t="shared" si="64"/>
        <v>11.338624338624339</v>
      </c>
    </row>
    <row r="249" spans="1:40" s="32" customFormat="1" x14ac:dyDescent="0.25">
      <c r="A249" s="11" t="s">
        <v>232</v>
      </c>
      <c r="B249" s="11">
        <v>0.158</v>
      </c>
      <c r="C249" s="11">
        <v>0</v>
      </c>
      <c r="D249" s="11">
        <v>21.277999999999999</v>
      </c>
      <c r="E249" s="11">
        <v>0.23599999999999999</v>
      </c>
      <c r="F249" s="11">
        <v>6.9000000000000006E-2</v>
      </c>
      <c r="G249" s="11">
        <v>0</v>
      </c>
      <c r="H249" s="11">
        <v>0.78</v>
      </c>
      <c r="I249" s="11">
        <v>0</v>
      </c>
      <c r="J249" s="11">
        <v>5.3220000000000001</v>
      </c>
      <c r="K249" s="11">
        <v>0.59799999999999998</v>
      </c>
      <c r="L249" s="11">
        <v>52.112000000000002</v>
      </c>
      <c r="M249" s="11">
        <v>18.417999999999999</v>
      </c>
      <c r="N249" s="11">
        <v>0.112</v>
      </c>
      <c r="O249" s="11">
        <v>99.082999999999998</v>
      </c>
      <c r="P249" s="11"/>
      <c r="Q249" s="33">
        <f t="shared" si="56"/>
        <v>0.2961653559746677</v>
      </c>
      <c r="R249" s="33">
        <f t="shared" si="57"/>
        <v>0.45696563701773973</v>
      </c>
      <c r="S249" s="33">
        <f t="shared" si="58"/>
        <v>9.4903527229929743E-2</v>
      </c>
      <c r="T249" s="33">
        <f t="shared" si="59"/>
        <v>60.675452380744943</v>
      </c>
      <c r="U249" s="33">
        <f t="shared" si="60"/>
        <v>34.923738233794914</v>
      </c>
      <c r="V249" s="33">
        <f t="shared" si="61"/>
        <v>11.190998121756646</v>
      </c>
      <c r="W249" s="33">
        <f t="shared" si="62"/>
        <v>53.885263644448422</v>
      </c>
      <c r="X249" s="33"/>
      <c r="Y249" s="11">
        <v>1.7999999999999999E-2</v>
      </c>
      <c r="Z249" s="11">
        <v>0</v>
      </c>
      <c r="AA249" s="11">
        <v>2.7075999999999998</v>
      </c>
      <c r="AB249" s="11">
        <v>2.8400000000000002E-2</v>
      </c>
      <c r="AC249" s="11">
        <v>2.0299999999999999E-2</v>
      </c>
      <c r="AD249" s="11">
        <v>0</v>
      </c>
      <c r="AE249" s="11">
        <v>0.1399</v>
      </c>
      <c r="AF249" s="11">
        <v>0</v>
      </c>
      <c r="AG249" s="11">
        <v>0.86760000000000004</v>
      </c>
      <c r="AH249" s="11">
        <v>7.7100000000000002E-2</v>
      </c>
      <c r="AI249" s="11">
        <v>7.9288999999999996</v>
      </c>
      <c r="AJ249" s="11">
        <v>4.1775000000000002</v>
      </c>
      <c r="AK249" s="11">
        <v>1.3599999999999999E-2</v>
      </c>
      <c r="AL249" s="11">
        <v>15.978899999999999</v>
      </c>
      <c r="AM249" s="11">
        <f t="shared" si="63"/>
        <v>8.0687999999999995</v>
      </c>
      <c r="AN249" s="33">
        <f t="shared" si="64"/>
        <v>7.772222222222223</v>
      </c>
    </row>
    <row r="250" spans="1:40" s="32" customFormat="1" x14ac:dyDescent="0.25">
      <c r="A250" s="11" t="s">
        <v>26</v>
      </c>
      <c r="B250" s="11">
        <v>0.17</v>
      </c>
      <c r="C250" s="11">
        <v>1.4E-2</v>
      </c>
      <c r="D250" s="11">
        <v>21.475000000000001</v>
      </c>
      <c r="E250" s="11">
        <v>0.312</v>
      </c>
      <c r="F250" s="11">
        <v>7.3999999999999996E-2</v>
      </c>
      <c r="G250" s="11">
        <v>2.7E-2</v>
      </c>
      <c r="H250" s="11">
        <v>0.82399999999999995</v>
      </c>
      <c r="I250" s="11">
        <v>0.01</v>
      </c>
      <c r="J250" s="11">
        <v>5.5250000000000004</v>
      </c>
      <c r="K250" s="11">
        <v>0.65700000000000003</v>
      </c>
      <c r="L250" s="11">
        <v>52.100999999999999</v>
      </c>
      <c r="M250" s="11">
        <v>18.356999999999999</v>
      </c>
      <c r="N250" s="11">
        <v>5.6000000000000001E-2</v>
      </c>
      <c r="O250" s="11">
        <v>99.602000000000004</v>
      </c>
      <c r="P250" s="11"/>
      <c r="Q250" s="33">
        <f t="shared" si="56"/>
        <v>0.29890737003270934</v>
      </c>
      <c r="R250" s="33">
        <f t="shared" si="57"/>
        <v>0.45545217714923708</v>
      </c>
      <c r="S250" s="33">
        <f t="shared" si="58"/>
        <v>9.8523485145689926E-2</v>
      </c>
      <c r="T250" s="33">
        <f t="shared" si="59"/>
        <v>60.376007548478086</v>
      </c>
      <c r="U250" s="33">
        <f t="shared" si="60"/>
        <v>35.046701447084665</v>
      </c>
      <c r="V250" s="33">
        <f t="shared" si="61"/>
        <v>11.551816768684638</v>
      </c>
      <c r="W250" s="33">
        <f t="shared" si="62"/>
        <v>53.40148178423069</v>
      </c>
      <c r="X250" s="33"/>
      <c r="Y250" s="11">
        <v>1.9400000000000001E-2</v>
      </c>
      <c r="Z250" s="11">
        <v>1.8E-3</v>
      </c>
      <c r="AA250" s="11">
        <v>2.7233000000000001</v>
      </c>
      <c r="AB250" s="11">
        <v>3.73E-2</v>
      </c>
      <c r="AC250" s="11">
        <v>2.18E-2</v>
      </c>
      <c r="AD250" s="11">
        <v>3.5000000000000001E-3</v>
      </c>
      <c r="AE250" s="11">
        <v>0.1472</v>
      </c>
      <c r="AF250" s="11">
        <v>1.8E-3</v>
      </c>
      <c r="AG250" s="11">
        <v>0.89770000000000005</v>
      </c>
      <c r="AH250" s="11">
        <v>8.43E-2</v>
      </c>
      <c r="AI250" s="11">
        <v>7.9001999999999999</v>
      </c>
      <c r="AJ250" s="11">
        <v>4.1494</v>
      </c>
      <c r="AK250" s="11">
        <v>6.7999999999999996E-3</v>
      </c>
      <c r="AL250" s="11">
        <v>15.9945</v>
      </c>
      <c r="AM250" s="11">
        <f t="shared" si="63"/>
        <v>8.0473999999999997</v>
      </c>
      <c r="AN250" s="33">
        <f t="shared" si="64"/>
        <v>7.5876288659793811</v>
      </c>
    </row>
    <row r="251" spans="1:40" s="32" customFormat="1" x14ac:dyDescent="0.25">
      <c r="A251" s="11" t="s">
        <v>220</v>
      </c>
      <c r="B251" s="11">
        <v>0.152</v>
      </c>
      <c r="C251" s="11">
        <v>0.01</v>
      </c>
      <c r="D251" s="11">
        <v>21.053000000000001</v>
      </c>
      <c r="E251" s="11">
        <v>0.28000000000000003</v>
      </c>
      <c r="F251" s="11">
        <v>9.8000000000000004E-2</v>
      </c>
      <c r="G251" s="11">
        <v>0</v>
      </c>
      <c r="H251" s="11">
        <v>0.96899999999999997</v>
      </c>
      <c r="I251" s="11">
        <v>4.2999999999999997E-2</v>
      </c>
      <c r="J251" s="11">
        <v>5.8949999999999996</v>
      </c>
      <c r="K251" s="11">
        <v>0.61199999999999999</v>
      </c>
      <c r="L251" s="11">
        <v>52.1</v>
      </c>
      <c r="M251" s="11">
        <v>17.916</v>
      </c>
      <c r="N251" s="11">
        <v>0.13900000000000001</v>
      </c>
      <c r="O251" s="11">
        <v>99.266999999999996</v>
      </c>
      <c r="P251" s="11"/>
      <c r="Q251" s="33">
        <f t="shared" si="56"/>
        <v>0.29303361403020395</v>
      </c>
      <c r="R251" s="33">
        <f t="shared" si="57"/>
        <v>0.44451060662448827</v>
      </c>
      <c r="S251" s="33">
        <f t="shared" si="58"/>
        <v>0.10512143799707549</v>
      </c>
      <c r="T251" s="33">
        <f t="shared" si="59"/>
        <v>60.269010884515062</v>
      </c>
      <c r="U251" s="33">
        <f t="shared" si="60"/>
        <v>34.774600225081713</v>
      </c>
      <c r="V251" s="33">
        <f t="shared" si="61"/>
        <v>12.474869115381502</v>
      </c>
      <c r="W251" s="33">
        <f t="shared" si="62"/>
        <v>52.750530659536778</v>
      </c>
      <c r="X251" s="33"/>
      <c r="Y251" s="11">
        <v>1.7399999999999999E-2</v>
      </c>
      <c r="Z251" s="11">
        <v>1.1999999999999999E-3</v>
      </c>
      <c r="AA251" s="11">
        <v>2.6768000000000001</v>
      </c>
      <c r="AB251" s="11">
        <v>3.3700000000000001E-2</v>
      </c>
      <c r="AC251" s="11">
        <v>2.9000000000000001E-2</v>
      </c>
      <c r="AD251" s="11">
        <v>0</v>
      </c>
      <c r="AE251" s="11">
        <v>0.1736</v>
      </c>
      <c r="AF251" s="11">
        <v>8.3000000000000001E-3</v>
      </c>
      <c r="AG251" s="11">
        <v>0.96030000000000004</v>
      </c>
      <c r="AH251" s="11">
        <v>7.8799999999999995E-2</v>
      </c>
      <c r="AI251" s="11">
        <v>7.9207000000000001</v>
      </c>
      <c r="AJ251" s="11">
        <v>4.0602</v>
      </c>
      <c r="AK251" s="11">
        <v>1.7000000000000001E-2</v>
      </c>
      <c r="AL251" s="11">
        <v>15.977</v>
      </c>
      <c r="AM251" s="11">
        <f t="shared" si="63"/>
        <v>8.0943000000000005</v>
      </c>
      <c r="AN251" s="33">
        <f t="shared" si="64"/>
        <v>9.9770114942528743</v>
      </c>
    </row>
    <row r="252" spans="1:40" s="32" customFormat="1" x14ac:dyDescent="0.25">
      <c r="A252" s="11" t="s">
        <v>484</v>
      </c>
      <c r="B252" s="11">
        <v>0.153</v>
      </c>
      <c r="C252" s="11">
        <v>4.2000000000000003E-2</v>
      </c>
      <c r="D252" s="11">
        <v>21.687000000000001</v>
      </c>
      <c r="E252" s="11">
        <v>0.29199999999999998</v>
      </c>
      <c r="F252" s="11">
        <v>6.5000000000000002E-2</v>
      </c>
      <c r="G252" s="11">
        <v>4.0000000000000001E-3</v>
      </c>
      <c r="H252" s="11">
        <v>0.80300000000000005</v>
      </c>
      <c r="I252" s="11">
        <v>1.7000000000000001E-2</v>
      </c>
      <c r="J252" s="11">
        <v>5.6689999999999996</v>
      </c>
      <c r="K252" s="11">
        <v>0.629</v>
      </c>
      <c r="L252" s="11">
        <v>52.249000000000002</v>
      </c>
      <c r="M252" s="11">
        <v>18.349</v>
      </c>
      <c r="N252" s="11">
        <v>0</v>
      </c>
      <c r="O252" s="11">
        <v>99.959000000000003</v>
      </c>
      <c r="P252" s="11"/>
      <c r="Q252" s="33">
        <f t="shared" si="56"/>
        <v>0.30185816688704853</v>
      </c>
      <c r="R252" s="33">
        <f t="shared" si="57"/>
        <v>0.45525369060910559</v>
      </c>
      <c r="S252" s="33">
        <f t="shared" si="58"/>
        <v>0.10109133706622916</v>
      </c>
      <c r="T252" s="33">
        <f t="shared" si="59"/>
        <v>60.130307840465711</v>
      </c>
      <c r="U252" s="33">
        <f t="shared" si="60"/>
        <v>35.173274674300487</v>
      </c>
      <c r="V252" s="33">
        <f t="shared" si="61"/>
        <v>11.779417474410341</v>
      </c>
      <c r="W252" s="33">
        <f t="shared" si="62"/>
        <v>53.047307851289162</v>
      </c>
      <c r="X252" s="33"/>
      <c r="Y252" s="11">
        <v>1.7399999999999999E-2</v>
      </c>
      <c r="Z252" s="11">
        <v>5.1000000000000004E-3</v>
      </c>
      <c r="AA252" s="11">
        <v>2.7427000000000001</v>
      </c>
      <c r="AB252" s="11">
        <v>3.49E-2</v>
      </c>
      <c r="AC252" s="11">
        <v>1.9E-2</v>
      </c>
      <c r="AD252" s="11">
        <v>5.0000000000000001E-4</v>
      </c>
      <c r="AE252" s="11">
        <v>0.1431</v>
      </c>
      <c r="AF252" s="11">
        <v>3.3E-3</v>
      </c>
      <c r="AG252" s="11">
        <v>0.91859999999999997</v>
      </c>
      <c r="AH252" s="11">
        <v>8.0500000000000002E-2</v>
      </c>
      <c r="AI252" s="11">
        <v>7.9012000000000002</v>
      </c>
      <c r="AJ252" s="11">
        <v>4.1363000000000003</v>
      </c>
      <c r="AK252" s="11">
        <v>0</v>
      </c>
      <c r="AL252" s="11">
        <v>16.002600000000001</v>
      </c>
      <c r="AM252" s="11">
        <f t="shared" si="63"/>
        <v>8.0442999999999998</v>
      </c>
      <c r="AN252" s="33">
        <f t="shared" si="64"/>
        <v>8.224137931034484</v>
      </c>
    </row>
    <row r="253" spans="1:40" s="32" customFormat="1" x14ac:dyDescent="0.25">
      <c r="A253" s="11" t="s">
        <v>262</v>
      </c>
      <c r="B253" s="11">
        <v>0.153</v>
      </c>
      <c r="C253" s="11">
        <v>2.5000000000000001E-2</v>
      </c>
      <c r="D253" s="11">
        <v>21.875</v>
      </c>
      <c r="E253" s="11">
        <v>0.22900000000000001</v>
      </c>
      <c r="F253" s="11">
        <v>4.4999999999999998E-2</v>
      </c>
      <c r="G253" s="11">
        <v>0</v>
      </c>
      <c r="H253" s="11">
        <v>0.77900000000000003</v>
      </c>
      <c r="I253" s="11">
        <v>0</v>
      </c>
      <c r="J253" s="11">
        <v>5.3150000000000004</v>
      </c>
      <c r="K253" s="11">
        <v>0.63</v>
      </c>
      <c r="L253" s="11">
        <v>52.131</v>
      </c>
      <c r="M253" s="11">
        <v>18.170000000000002</v>
      </c>
      <c r="N253" s="11">
        <v>0</v>
      </c>
      <c r="O253" s="11">
        <v>99.352000000000004</v>
      </c>
      <c r="P253" s="11"/>
      <c r="Q253" s="33">
        <f t="shared" si="56"/>
        <v>0.30447491126731158</v>
      </c>
      <c r="R253" s="33">
        <f t="shared" si="57"/>
        <v>0.45081255427366335</v>
      </c>
      <c r="S253" s="33">
        <f t="shared" si="58"/>
        <v>9.4778701094903522E-2</v>
      </c>
      <c r="T253" s="33">
        <f t="shared" si="59"/>
        <v>59.687546112097692</v>
      </c>
      <c r="U253" s="33">
        <f t="shared" si="60"/>
        <v>35.817789628337472</v>
      </c>
      <c r="V253" s="33">
        <f t="shared" si="61"/>
        <v>11.149567506019977</v>
      </c>
      <c r="W253" s="33">
        <f t="shared" si="62"/>
        <v>53.032642865642558</v>
      </c>
      <c r="X253" s="33"/>
      <c r="Y253" s="11">
        <v>1.7500000000000002E-2</v>
      </c>
      <c r="Z253" s="11">
        <v>3.0999999999999999E-3</v>
      </c>
      <c r="AA253" s="11">
        <v>2.7820999999999998</v>
      </c>
      <c r="AB253" s="11">
        <v>2.76E-2</v>
      </c>
      <c r="AC253" s="11">
        <v>1.3100000000000001E-2</v>
      </c>
      <c r="AD253" s="11">
        <v>0</v>
      </c>
      <c r="AE253" s="11">
        <v>0.13969999999999999</v>
      </c>
      <c r="AF253" s="11">
        <v>0</v>
      </c>
      <c r="AG253" s="11">
        <v>0.86599999999999999</v>
      </c>
      <c r="AH253" s="11">
        <v>8.1199999999999994E-2</v>
      </c>
      <c r="AI253" s="11">
        <v>7.9279000000000002</v>
      </c>
      <c r="AJ253" s="11">
        <v>4.1192000000000002</v>
      </c>
      <c r="AK253" s="11">
        <v>0</v>
      </c>
      <c r="AL253" s="11">
        <v>15.977399999999999</v>
      </c>
      <c r="AM253" s="11">
        <f t="shared" si="63"/>
        <v>8.0676000000000005</v>
      </c>
      <c r="AN253" s="33">
        <f t="shared" si="64"/>
        <v>7.9828571428571413</v>
      </c>
    </row>
    <row r="254" spans="1:40" s="32" customFormat="1" x14ac:dyDescent="0.25">
      <c r="A254" s="11" t="s">
        <v>120</v>
      </c>
      <c r="B254" s="11">
        <v>0.14799999999999999</v>
      </c>
      <c r="C254" s="11">
        <v>3.4000000000000002E-2</v>
      </c>
      <c r="D254" s="11">
        <v>22.690999999999999</v>
      </c>
      <c r="E254" s="11">
        <v>0.26</v>
      </c>
      <c r="F254" s="11">
        <v>4.2000000000000003E-2</v>
      </c>
      <c r="G254" s="11">
        <v>0</v>
      </c>
      <c r="H254" s="11">
        <v>0.73899999999999999</v>
      </c>
      <c r="I254" s="11">
        <v>3.0000000000000001E-3</v>
      </c>
      <c r="J254" s="11">
        <v>4.8159999999999998</v>
      </c>
      <c r="K254" s="11">
        <v>0.65700000000000003</v>
      </c>
      <c r="L254" s="11">
        <v>52.033000000000001</v>
      </c>
      <c r="M254" s="11">
        <v>18.803000000000001</v>
      </c>
      <c r="N254" s="11">
        <v>0.59</v>
      </c>
      <c r="O254" s="11">
        <v>100.816</v>
      </c>
      <c r="P254" s="11"/>
      <c r="Q254" s="33">
        <f t="shared" si="56"/>
        <v>0.3158326953859002</v>
      </c>
      <c r="R254" s="33">
        <f t="shared" si="57"/>
        <v>0.46651780176156804</v>
      </c>
      <c r="S254" s="33">
        <f t="shared" si="58"/>
        <v>8.5880380898034875E-2</v>
      </c>
      <c r="T254" s="33">
        <f t="shared" si="59"/>
        <v>59.630281243833906</v>
      </c>
      <c r="U254" s="33">
        <f t="shared" si="60"/>
        <v>36.376579475827832</v>
      </c>
      <c r="V254" s="33">
        <f t="shared" si="61"/>
        <v>9.8914220940128761</v>
      </c>
      <c r="W254" s="33">
        <f t="shared" si="62"/>
        <v>53.731998430159301</v>
      </c>
      <c r="X254" s="33"/>
      <c r="Y254" s="11">
        <v>1.6799999999999999E-2</v>
      </c>
      <c r="Z254" s="11">
        <v>4.1000000000000003E-3</v>
      </c>
      <c r="AA254" s="11">
        <v>2.8614000000000002</v>
      </c>
      <c r="AB254" s="11">
        <v>3.1E-2</v>
      </c>
      <c r="AC254" s="11">
        <v>1.24E-2</v>
      </c>
      <c r="AD254" s="11">
        <v>0</v>
      </c>
      <c r="AE254" s="11">
        <v>0.1313</v>
      </c>
      <c r="AF254" s="11">
        <v>5.9999999999999995E-4</v>
      </c>
      <c r="AG254" s="11">
        <v>0.77810000000000001</v>
      </c>
      <c r="AH254" s="11">
        <v>8.4000000000000005E-2</v>
      </c>
      <c r="AI254" s="11">
        <v>7.8455000000000004</v>
      </c>
      <c r="AJ254" s="11">
        <v>4.2263999999999999</v>
      </c>
      <c r="AK254" s="11">
        <v>7.1400000000000005E-2</v>
      </c>
      <c r="AL254" s="11">
        <v>16.062999999999999</v>
      </c>
      <c r="AM254" s="11">
        <f t="shared" si="63"/>
        <v>7.9768000000000008</v>
      </c>
      <c r="AN254" s="33">
        <f t="shared" si="64"/>
        <v>7.8154761904761907</v>
      </c>
    </row>
    <row r="255" spans="1:40" s="32" customFormat="1" x14ac:dyDescent="0.25">
      <c r="A255" s="11" t="s">
        <v>163</v>
      </c>
      <c r="B255" s="11">
        <v>0.14499999999999999</v>
      </c>
      <c r="C255" s="11">
        <v>4.0000000000000001E-3</v>
      </c>
      <c r="D255" s="11">
        <v>21.312000000000001</v>
      </c>
      <c r="E255" s="11">
        <v>0.23799999999999999</v>
      </c>
      <c r="F255" s="11">
        <v>8.6999999999999994E-2</v>
      </c>
      <c r="G255" s="11">
        <v>0</v>
      </c>
      <c r="H255" s="11">
        <v>0.873</v>
      </c>
      <c r="I255" s="11">
        <v>0</v>
      </c>
      <c r="J255" s="11">
        <v>6.4450000000000003</v>
      </c>
      <c r="K255" s="11">
        <v>0.69499999999999995</v>
      </c>
      <c r="L255" s="11">
        <v>51.822000000000003</v>
      </c>
      <c r="M255" s="11">
        <v>17.638999999999999</v>
      </c>
      <c r="N255" s="11">
        <v>0.44800000000000001</v>
      </c>
      <c r="O255" s="11">
        <v>99.707999999999998</v>
      </c>
      <c r="P255" s="11"/>
      <c r="Q255" s="33">
        <f t="shared" si="56"/>
        <v>0.29663859697960893</v>
      </c>
      <c r="R255" s="33">
        <f t="shared" si="57"/>
        <v>0.43763801017243514</v>
      </c>
      <c r="S255" s="33">
        <f t="shared" si="58"/>
        <v>0.11492920574913514</v>
      </c>
      <c r="T255" s="33">
        <f t="shared" si="59"/>
        <v>59.601246438975132</v>
      </c>
      <c r="U255" s="33">
        <f t="shared" si="60"/>
        <v>34.931296097254609</v>
      </c>
      <c r="V255" s="33">
        <f t="shared" si="61"/>
        <v>13.533728102554718</v>
      </c>
      <c r="W255" s="33">
        <f t="shared" si="62"/>
        <v>51.534975800190665</v>
      </c>
      <c r="X255" s="33"/>
      <c r="Y255" s="11">
        <v>1.66E-2</v>
      </c>
      <c r="Z255" s="11">
        <v>4.0000000000000002E-4</v>
      </c>
      <c r="AA255" s="11">
        <v>2.7117</v>
      </c>
      <c r="AB255" s="11">
        <v>2.86E-2</v>
      </c>
      <c r="AC255" s="11">
        <v>2.5700000000000001E-2</v>
      </c>
      <c r="AD255" s="11">
        <v>0</v>
      </c>
      <c r="AE255" s="11">
        <v>0.15659999999999999</v>
      </c>
      <c r="AF255" s="11">
        <v>0</v>
      </c>
      <c r="AG255" s="11">
        <v>1.0507</v>
      </c>
      <c r="AH255" s="11">
        <v>8.9599999999999999E-2</v>
      </c>
      <c r="AI255" s="11">
        <v>7.8841999999999999</v>
      </c>
      <c r="AJ255" s="11">
        <v>4.0004</v>
      </c>
      <c r="AK255" s="11">
        <v>5.4699999999999999E-2</v>
      </c>
      <c r="AL255" s="11">
        <v>16.019200000000001</v>
      </c>
      <c r="AM255" s="11">
        <f t="shared" si="63"/>
        <v>8.0407999999999991</v>
      </c>
      <c r="AN255" s="33">
        <f t="shared" si="64"/>
        <v>9.4337349397590362</v>
      </c>
    </row>
    <row r="256" spans="1:40" s="32" customFormat="1" x14ac:dyDescent="0.25">
      <c r="A256" s="11" t="s">
        <v>55</v>
      </c>
      <c r="B256" s="11">
        <v>0.13100000000000001</v>
      </c>
      <c r="C256" s="11">
        <v>2.3E-2</v>
      </c>
      <c r="D256" s="11">
        <v>21.81</v>
      </c>
      <c r="E256" s="11">
        <v>0.33600000000000002</v>
      </c>
      <c r="F256" s="11">
        <v>0.122</v>
      </c>
      <c r="G256" s="11">
        <v>0</v>
      </c>
      <c r="H256" s="11">
        <v>0.84499999999999997</v>
      </c>
      <c r="I256" s="11">
        <v>6.0000000000000001E-3</v>
      </c>
      <c r="J256" s="11">
        <v>6.2160000000000002</v>
      </c>
      <c r="K256" s="11">
        <v>0.59499999999999997</v>
      </c>
      <c r="L256" s="11">
        <v>51.616999999999997</v>
      </c>
      <c r="M256" s="11">
        <v>17.984000000000002</v>
      </c>
      <c r="N256" s="11">
        <v>0</v>
      </c>
      <c r="O256" s="11">
        <v>99.685000000000002</v>
      </c>
      <c r="P256" s="11"/>
      <c r="Q256" s="33">
        <f t="shared" si="56"/>
        <v>0.30357018581668871</v>
      </c>
      <c r="R256" s="33">
        <f t="shared" si="57"/>
        <v>0.44619774221560604</v>
      </c>
      <c r="S256" s="33">
        <f t="shared" si="58"/>
        <v>0.11084560790327758</v>
      </c>
      <c r="T256" s="33">
        <f t="shared" si="59"/>
        <v>59.511446880185439</v>
      </c>
      <c r="U256" s="33">
        <f t="shared" si="60"/>
        <v>35.273694072993841</v>
      </c>
      <c r="V256" s="33">
        <f t="shared" si="61"/>
        <v>12.879835521385029</v>
      </c>
      <c r="W256" s="33">
        <f t="shared" si="62"/>
        <v>51.846470405621126</v>
      </c>
      <c r="X256" s="33"/>
      <c r="Y256" s="11">
        <v>1.4999999999999999E-2</v>
      </c>
      <c r="Z256" s="11">
        <v>2.8E-3</v>
      </c>
      <c r="AA256" s="11">
        <v>2.7763</v>
      </c>
      <c r="AB256" s="11">
        <v>4.0500000000000001E-2</v>
      </c>
      <c r="AC256" s="11">
        <v>3.5900000000000001E-2</v>
      </c>
      <c r="AD256" s="11">
        <v>0</v>
      </c>
      <c r="AE256" s="11">
        <v>0.1517</v>
      </c>
      <c r="AF256" s="11">
        <v>1.1000000000000001E-3</v>
      </c>
      <c r="AG256" s="11">
        <v>1.0138</v>
      </c>
      <c r="AH256" s="11">
        <v>7.6700000000000004E-2</v>
      </c>
      <c r="AI256" s="11">
        <v>7.8564999999999996</v>
      </c>
      <c r="AJ256" s="11">
        <v>4.0804999999999998</v>
      </c>
      <c r="AK256" s="11">
        <v>0</v>
      </c>
      <c r="AL256" s="11">
        <v>16.050799999999999</v>
      </c>
      <c r="AM256" s="11">
        <f t="shared" si="63"/>
        <v>8.0082000000000004</v>
      </c>
      <c r="AN256" s="33">
        <f t="shared" si="64"/>
        <v>10.113333333333333</v>
      </c>
    </row>
    <row r="257" spans="1:40" s="32" customFormat="1" x14ac:dyDescent="0.25">
      <c r="A257" s="11" t="s">
        <v>468</v>
      </c>
      <c r="B257" s="11">
        <v>0.13</v>
      </c>
      <c r="C257" s="11">
        <v>1.6E-2</v>
      </c>
      <c r="D257" s="11">
        <v>22.428999999999998</v>
      </c>
      <c r="E257" s="11">
        <v>0.246</v>
      </c>
      <c r="F257" s="11">
        <v>3.6999999999999998E-2</v>
      </c>
      <c r="G257" s="11">
        <v>0</v>
      </c>
      <c r="H257" s="11">
        <v>0.72899999999999998</v>
      </c>
      <c r="I257" s="11">
        <v>0</v>
      </c>
      <c r="J257" s="11">
        <v>4.7140000000000004</v>
      </c>
      <c r="K257" s="11">
        <v>0.64200000000000002</v>
      </c>
      <c r="L257" s="11">
        <v>52.098999999999997</v>
      </c>
      <c r="M257" s="11">
        <v>18.460999999999999</v>
      </c>
      <c r="N257" s="11">
        <v>2.8000000000000001E-2</v>
      </c>
      <c r="O257" s="11">
        <v>99.531000000000006</v>
      </c>
      <c r="P257" s="11"/>
      <c r="Q257" s="33">
        <f t="shared" si="56"/>
        <v>0.31218595587723569</v>
      </c>
      <c r="R257" s="33">
        <f t="shared" si="57"/>
        <v>0.45803250217094649</v>
      </c>
      <c r="S257" s="33">
        <f t="shared" si="58"/>
        <v>8.406148578765292E-2</v>
      </c>
      <c r="T257" s="33">
        <f t="shared" si="59"/>
        <v>59.467868808500249</v>
      </c>
      <c r="U257" s="33">
        <f t="shared" si="60"/>
        <v>36.543753383168237</v>
      </c>
      <c r="V257" s="33">
        <f t="shared" si="61"/>
        <v>9.8400397193225952</v>
      </c>
      <c r="W257" s="33">
        <f t="shared" si="62"/>
        <v>53.61620689750918</v>
      </c>
      <c r="X257" s="33"/>
      <c r="Y257" s="11">
        <v>1.49E-2</v>
      </c>
      <c r="Z257" s="11">
        <v>1.9E-3</v>
      </c>
      <c r="AA257" s="11">
        <v>2.8508</v>
      </c>
      <c r="AB257" s="11">
        <v>2.9600000000000001E-2</v>
      </c>
      <c r="AC257" s="11">
        <v>1.0800000000000001E-2</v>
      </c>
      <c r="AD257" s="11">
        <v>0</v>
      </c>
      <c r="AE257" s="11">
        <v>0.13059999999999999</v>
      </c>
      <c r="AF257" s="11">
        <v>0</v>
      </c>
      <c r="AG257" s="11">
        <v>0.76770000000000005</v>
      </c>
      <c r="AH257" s="11">
        <v>8.2699999999999996E-2</v>
      </c>
      <c r="AI257" s="11">
        <v>7.9177999999999997</v>
      </c>
      <c r="AJ257" s="11">
        <v>4.1824000000000003</v>
      </c>
      <c r="AK257" s="11">
        <v>3.3999999999999998E-3</v>
      </c>
      <c r="AL257" s="11">
        <v>15.992599999999999</v>
      </c>
      <c r="AM257" s="11">
        <f t="shared" si="63"/>
        <v>8.0483999999999991</v>
      </c>
      <c r="AN257" s="33">
        <f t="shared" si="64"/>
        <v>8.7651006711409387</v>
      </c>
    </row>
    <row r="258" spans="1:40" s="32" customFormat="1" x14ac:dyDescent="0.25">
      <c r="A258" s="11" t="s">
        <v>206</v>
      </c>
      <c r="B258" s="11">
        <v>0.159</v>
      </c>
      <c r="C258" s="11">
        <v>0</v>
      </c>
      <c r="D258" s="11">
        <v>22.445</v>
      </c>
      <c r="E258" s="11">
        <v>0.26900000000000002</v>
      </c>
      <c r="F258" s="11">
        <v>0.04</v>
      </c>
      <c r="G258" s="11">
        <v>0</v>
      </c>
      <c r="H258" s="11">
        <v>0.85099999999999998</v>
      </c>
      <c r="I258" s="11">
        <v>8.9999999999999993E-3</v>
      </c>
      <c r="J258" s="11">
        <v>5.226</v>
      </c>
      <c r="K258" s="11">
        <v>0.625</v>
      </c>
      <c r="L258" s="11">
        <v>52.003</v>
      </c>
      <c r="M258" s="11">
        <v>18.135000000000002</v>
      </c>
      <c r="N258" s="11">
        <v>0.53300000000000003</v>
      </c>
      <c r="O258" s="11">
        <v>100.295</v>
      </c>
      <c r="P258" s="11"/>
      <c r="Q258" s="33">
        <f t="shared" si="56"/>
        <v>0.31240865752661984</v>
      </c>
      <c r="R258" s="33">
        <f t="shared" si="57"/>
        <v>0.44994417566058809</v>
      </c>
      <c r="S258" s="33">
        <f t="shared" si="58"/>
        <v>9.3191625949570242E-2</v>
      </c>
      <c r="T258" s="33">
        <f t="shared" si="59"/>
        <v>59.020463501064611</v>
      </c>
      <c r="U258" s="33">
        <f t="shared" si="60"/>
        <v>36.515771236696679</v>
      </c>
      <c r="V258" s="33">
        <f t="shared" si="61"/>
        <v>10.89266898456664</v>
      </c>
      <c r="W258" s="33">
        <f t="shared" si="62"/>
        <v>52.591559778736688</v>
      </c>
      <c r="X258" s="33"/>
      <c r="Y258" s="11">
        <v>1.8100000000000002E-2</v>
      </c>
      <c r="Z258" s="11">
        <v>0</v>
      </c>
      <c r="AA258" s="11">
        <v>2.8428</v>
      </c>
      <c r="AB258" s="11">
        <v>3.2199999999999999E-2</v>
      </c>
      <c r="AC258" s="11">
        <v>1.1599999999999999E-2</v>
      </c>
      <c r="AD258" s="11">
        <v>0</v>
      </c>
      <c r="AE258" s="11">
        <v>0.15190000000000001</v>
      </c>
      <c r="AF258" s="11">
        <v>1.6999999999999999E-3</v>
      </c>
      <c r="AG258" s="11">
        <v>0.84809999999999997</v>
      </c>
      <c r="AH258" s="11">
        <v>8.0199999999999994E-2</v>
      </c>
      <c r="AI258" s="11">
        <v>7.8754999999999997</v>
      </c>
      <c r="AJ258" s="11">
        <v>4.0941999999999998</v>
      </c>
      <c r="AK258" s="11">
        <v>6.4799999999999996E-2</v>
      </c>
      <c r="AL258" s="11">
        <v>16.021100000000001</v>
      </c>
      <c r="AM258" s="11">
        <f t="shared" si="63"/>
        <v>8.0274000000000001</v>
      </c>
      <c r="AN258" s="33">
        <f t="shared" si="64"/>
        <v>8.3922651933701662</v>
      </c>
    </row>
    <row r="259" spans="1:40" s="32" customFormat="1" x14ac:dyDescent="0.25">
      <c r="A259" s="11" t="s">
        <v>172</v>
      </c>
      <c r="B259" s="11">
        <v>0.13600000000000001</v>
      </c>
      <c r="C259" s="11">
        <v>0</v>
      </c>
      <c r="D259" s="11">
        <v>22.207000000000001</v>
      </c>
      <c r="E259" s="11">
        <v>0.30199999999999999</v>
      </c>
      <c r="F259" s="11">
        <v>7.1999999999999995E-2</v>
      </c>
      <c r="G259" s="11">
        <v>0</v>
      </c>
      <c r="H259" s="11">
        <v>0.86499999999999999</v>
      </c>
      <c r="I259" s="11">
        <v>0</v>
      </c>
      <c r="J259" s="11">
        <v>5.9109999999999996</v>
      </c>
      <c r="K259" s="11">
        <v>0.65900000000000003</v>
      </c>
      <c r="L259" s="11">
        <v>52.127000000000002</v>
      </c>
      <c r="M259" s="11">
        <v>17.864000000000001</v>
      </c>
      <c r="N259" s="11">
        <v>0.22500000000000001</v>
      </c>
      <c r="O259" s="11">
        <v>100.36799999999999</v>
      </c>
      <c r="P259" s="11"/>
      <c r="Q259" s="33">
        <f t="shared" si="56"/>
        <v>0.30909597049203147</v>
      </c>
      <c r="R259" s="33">
        <f t="shared" si="57"/>
        <v>0.44322044411363359</v>
      </c>
      <c r="S259" s="33">
        <f t="shared" si="58"/>
        <v>0.10540675487713541</v>
      </c>
      <c r="T259" s="33">
        <f t="shared" si="59"/>
        <v>58.914099906480502</v>
      </c>
      <c r="U259" s="33">
        <f t="shared" si="60"/>
        <v>36.036798525381286</v>
      </c>
      <c r="V259" s="33">
        <f t="shared" si="61"/>
        <v>12.289134609794294</v>
      </c>
      <c r="W259" s="33">
        <f t="shared" si="62"/>
        <v>51.674066864824418</v>
      </c>
      <c r="X259" s="33"/>
      <c r="Y259" s="11">
        <v>1.55E-2</v>
      </c>
      <c r="Z259" s="11">
        <v>0</v>
      </c>
      <c r="AA259" s="11">
        <v>2.8089</v>
      </c>
      <c r="AB259" s="11">
        <v>3.61E-2</v>
      </c>
      <c r="AC259" s="11">
        <v>2.1100000000000001E-2</v>
      </c>
      <c r="AD259" s="11">
        <v>0</v>
      </c>
      <c r="AE259" s="11">
        <v>0.15409999999999999</v>
      </c>
      <c r="AF259" s="11">
        <v>0</v>
      </c>
      <c r="AG259" s="11">
        <v>0.95789999999999997</v>
      </c>
      <c r="AH259" s="11">
        <v>8.4400000000000003E-2</v>
      </c>
      <c r="AI259" s="11">
        <v>7.8836000000000004</v>
      </c>
      <c r="AJ259" s="11">
        <v>4.0274999999999999</v>
      </c>
      <c r="AK259" s="11">
        <v>2.7300000000000001E-2</v>
      </c>
      <c r="AL259" s="11">
        <v>16.016400000000001</v>
      </c>
      <c r="AM259" s="11">
        <f t="shared" si="63"/>
        <v>8.037700000000001</v>
      </c>
      <c r="AN259" s="33">
        <f t="shared" si="64"/>
        <v>9.9419354838709673</v>
      </c>
    </row>
    <row r="260" spans="1:40" s="32" customFormat="1" x14ac:dyDescent="0.25">
      <c r="A260" s="11" t="s">
        <v>126</v>
      </c>
      <c r="B260" s="11">
        <v>0.16500000000000001</v>
      </c>
      <c r="C260" s="11">
        <v>2.9000000000000001E-2</v>
      </c>
      <c r="D260" s="11">
        <v>22.576000000000001</v>
      </c>
      <c r="E260" s="11">
        <v>0.16700000000000001</v>
      </c>
      <c r="F260" s="11">
        <v>5.7000000000000002E-2</v>
      </c>
      <c r="G260" s="11">
        <v>0</v>
      </c>
      <c r="H260" s="11">
        <v>0.79800000000000004</v>
      </c>
      <c r="I260" s="11">
        <v>0</v>
      </c>
      <c r="J260" s="11">
        <v>4.907</v>
      </c>
      <c r="K260" s="11">
        <v>0.61899999999999999</v>
      </c>
      <c r="L260" s="11">
        <v>51.374000000000002</v>
      </c>
      <c r="M260" s="11">
        <v>17.986000000000001</v>
      </c>
      <c r="N260" s="11">
        <v>0.22500000000000001</v>
      </c>
      <c r="O260" s="11">
        <v>98.903000000000006</v>
      </c>
      <c r="P260" s="11"/>
      <c r="Q260" s="33">
        <f t="shared" si="56"/>
        <v>0.31423202728095206</v>
      </c>
      <c r="R260" s="33">
        <f t="shared" si="57"/>
        <v>0.4462473638506389</v>
      </c>
      <c r="S260" s="33">
        <f t="shared" si="58"/>
        <v>8.7503120653375649E-2</v>
      </c>
      <c r="T260" s="33">
        <f t="shared" si="59"/>
        <v>58.679744520969088</v>
      </c>
      <c r="U260" s="33">
        <f t="shared" si="60"/>
        <v>37.056427805274808</v>
      </c>
      <c r="V260" s="33">
        <f t="shared" si="61"/>
        <v>10.318977035173207</v>
      </c>
      <c r="W260" s="33">
        <f t="shared" si="62"/>
        <v>52.624595159551987</v>
      </c>
      <c r="X260" s="33"/>
      <c r="Y260" s="11">
        <v>1.9099999999999999E-2</v>
      </c>
      <c r="Z260" s="11">
        <v>3.5999999999999999E-3</v>
      </c>
      <c r="AA260" s="11">
        <v>2.8984999999999999</v>
      </c>
      <c r="AB260" s="11">
        <v>2.0199999999999999E-2</v>
      </c>
      <c r="AC260" s="11">
        <v>1.7000000000000001E-2</v>
      </c>
      <c r="AD260" s="11">
        <v>0</v>
      </c>
      <c r="AE260" s="11">
        <v>0.1444</v>
      </c>
      <c r="AF260" s="11">
        <v>0</v>
      </c>
      <c r="AG260" s="11">
        <v>0.80720000000000003</v>
      </c>
      <c r="AH260" s="11">
        <v>8.0500000000000002E-2</v>
      </c>
      <c r="AI260" s="11">
        <v>7.8865999999999996</v>
      </c>
      <c r="AJ260" s="11">
        <v>4.1159999999999997</v>
      </c>
      <c r="AK260" s="11">
        <v>2.7699999999999999E-2</v>
      </c>
      <c r="AL260" s="11">
        <v>16.020800000000001</v>
      </c>
      <c r="AM260" s="11">
        <f t="shared" si="63"/>
        <v>8.0309999999999988</v>
      </c>
      <c r="AN260" s="33">
        <f t="shared" si="64"/>
        <v>7.5602094240837703</v>
      </c>
    </row>
    <row r="261" spans="1:40" s="32" customFormat="1" x14ac:dyDescent="0.25">
      <c r="A261" s="11" t="s">
        <v>28</v>
      </c>
      <c r="B261" s="11">
        <v>0.189</v>
      </c>
      <c r="C261" s="11">
        <v>3.6999999999999998E-2</v>
      </c>
      <c r="D261" s="11">
        <v>22.055</v>
      </c>
      <c r="E261" s="11">
        <v>0.23100000000000001</v>
      </c>
      <c r="F261" s="11">
        <v>6.2E-2</v>
      </c>
      <c r="G261" s="11">
        <v>0</v>
      </c>
      <c r="H261" s="11">
        <v>0.86</v>
      </c>
      <c r="I261" s="11">
        <v>8.9999999999999993E-3</v>
      </c>
      <c r="J261" s="11">
        <v>5.4450000000000003</v>
      </c>
      <c r="K261" s="11">
        <v>0.65200000000000002</v>
      </c>
      <c r="L261" s="11">
        <v>51.322000000000003</v>
      </c>
      <c r="M261" s="11">
        <v>17.568999999999999</v>
      </c>
      <c r="N261" s="11">
        <v>0.16800000000000001</v>
      </c>
      <c r="O261" s="11">
        <v>98.599000000000004</v>
      </c>
      <c r="P261" s="11"/>
      <c r="Q261" s="33">
        <f t="shared" si="56"/>
        <v>0.30698030482288258</v>
      </c>
      <c r="R261" s="33">
        <f t="shared" si="57"/>
        <v>0.43590125294628457</v>
      </c>
      <c r="S261" s="33">
        <f t="shared" si="58"/>
        <v>9.7096900745390347E-2</v>
      </c>
      <c r="T261" s="33">
        <f t="shared" si="59"/>
        <v>58.677086325210745</v>
      </c>
      <c r="U261" s="33">
        <f t="shared" si="60"/>
        <v>36.546211597587337</v>
      </c>
      <c r="V261" s="33">
        <f t="shared" si="61"/>
        <v>11.559451288441295</v>
      </c>
      <c r="W261" s="33">
        <f t="shared" si="62"/>
        <v>51.894337113971353</v>
      </c>
      <c r="X261" s="33"/>
      <c r="Y261" s="11">
        <v>2.1899999999999999E-2</v>
      </c>
      <c r="Z261" s="11">
        <v>4.5999999999999999E-3</v>
      </c>
      <c r="AA261" s="11">
        <v>2.8380999999999998</v>
      </c>
      <c r="AB261" s="11">
        <v>2.81E-2</v>
      </c>
      <c r="AC261" s="11">
        <v>1.8599999999999998E-2</v>
      </c>
      <c r="AD261" s="11">
        <v>0</v>
      </c>
      <c r="AE261" s="11">
        <v>0.156</v>
      </c>
      <c r="AF261" s="11">
        <v>1.6999999999999999E-3</v>
      </c>
      <c r="AG261" s="11">
        <v>0.89770000000000005</v>
      </c>
      <c r="AH261" s="11">
        <v>8.5000000000000006E-2</v>
      </c>
      <c r="AI261" s="11">
        <v>7.8968999999999996</v>
      </c>
      <c r="AJ261" s="11">
        <v>4.0297999999999998</v>
      </c>
      <c r="AK261" s="11">
        <v>2.0799999999999999E-2</v>
      </c>
      <c r="AL261" s="11">
        <v>15.9992</v>
      </c>
      <c r="AM261" s="11">
        <f t="shared" si="63"/>
        <v>8.0528999999999993</v>
      </c>
      <c r="AN261" s="33">
        <f t="shared" si="64"/>
        <v>7.1232876712328768</v>
      </c>
    </row>
    <row r="262" spans="1:40" s="32" customFormat="1" x14ac:dyDescent="0.25">
      <c r="A262" s="11" t="s">
        <v>207</v>
      </c>
      <c r="B262" s="11">
        <v>0.17199999999999999</v>
      </c>
      <c r="C262" s="11">
        <v>2.5000000000000001E-2</v>
      </c>
      <c r="D262" s="11">
        <v>21.969000000000001</v>
      </c>
      <c r="E262" s="11">
        <v>0.26500000000000001</v>
      </c>
      <c r="F262" s="11">
        <v>0.09</v>
      </c>
      <c r="G262" s="11">
        <v>0</v>
      </c>
      <c r="H262" s="11">
        <v>0.84</v>
      </c>
      <c r="I262" s="11">
        <v>8.0000000000000002E-3</v>
      </c>
      <c r="J262" s="11">
        <v>5.8639999999999999</v>
      </c>
      <c r="K262" s="11">
        <v>0.64</v>
      </c>
      <c r="L262" s="11">
        <v>51.835000000000001</v>
      </c>
      <c r="M262" s="11">
        <v>17.47</v>
      </c>
      <c r="N262" s="11">
        <v>0.36699999999999999</v>
      </c>
      <c r="O262" s="11">
        <v>99.545000000000002</v>
      </c>
      <c r="P262" s="11"/>
      <c r="Q262" s="33">
        <f t="shared" si="56"/>
        <v>0.30578328345744316</v>
      </c>
      <c r="R262" s="33">
        <f t="shared" si="57"/>
        <v>0.43344498201215725</v>
      </c>
      <c r="S262" s="33">
        <f t="shared" si="58"/>
        <v>0.1045686365419594</v>
      </c>
      <c r="T262" s="33">
        <f t="shared" si="59"/>
        <v>58.634795537317288</v>
      </c>
      <c r="U262" s="33">
        <f t="shared" si="60"/>
        <v>36.238967306999434</v>
      </c>
      <c r="V262" s="33">
        <f t="shared" si="61"/>
        <v>12.392631010219903</v>
      </c>
      <c r="W262" s="33">
        <f t="shared" si="62"/>
        <v>51.368401682780672</v>
      </c>
      <c r="X262" s="33"/>
      <c r="Y262" s="11">
        <v>1.9800000000000002E-2</v>
      </c>
      <c r="Z262" s="11">
        <v>3.0999999999999999E-3</v>
      </c>
      <c r="AA262" s="11">
        <v>2.8018999999999998</v>
      </c>
      <c r="AB262" s="11">
        <v>3.1899999999999998E-2</v>
      </c>
      <c r="AC262" s="11">
        <v>2.6700000000000002E-2</v>
      </c>
      <c r="AD262" s="11">
        <v>0</v>
      </c>
      <c r="AE262" s="11">
        <v>0.15090000000000001</v>
      </c>
      <c r="AF262" s="11">
        <v>1.6000000000000001E-3</v>
      </c>
      <c r="AG262" s="11">
        <v>0.95820000000000005</v>
      </c>
      <c r="AH262" s="11">
        <v>8.2699999999999996E-2</v>
      </c>
      <c r="AI262" s="11">
        <v>7.9048999999999996</v>
      </c>
      <c r="AJ262" s="11">
        <v>3.9714999999999998</v>
      </c>
      <c r="AK262" s="11">
        <v>4.48E-2</v>
      </c>
      <c r="AL262" s="11">
        <v>15.997999999999999</v>
      </c>
      <c r="AM262" s="11">
        <f t="shared" si="63"/>
        <v>8.0557999999999996</v>
      </c>
      <c r="AN262" s="33">
        <f t="shared" si="64"/>
        <v>7.6212121212121211</v>
      </c>
    </row>
    <row r="263" spans="1:40" s="32" customFormat="1" x14ac:dyDescent="0.25">
      <c r="A263" s="11" t="s">
        <v>182</v>
      </c>
      <c r="B263" s="11">
        <v>0.152</v>
      </c>
      <c r="C263" s="11">
        <v>1.4E-2</v>
      </c>
      <c r="D263" s="11">
        <v>23.010999999999999</v>
      </c>
      <c r="E263" s="11">
        <v>0.29399999999999998</v>
      </c>
      <c r="F263" s="11">
        <v>4.8000000000000001E-2</v>
      </c>
      <c r="G263" s="11">
        <v>0</v>
      </c>
      <c r="H263" s="11">
        <v>0.82499999999999996</v>
      </c>
      <c r="I263" s="11">
        <v>1.4E-2</v>
      </c>
      <c r="J263" s="11">
        <v>4.7839999999999998</v>
      </c>
      <c r="K263" s="11">
        <v>0.65100000000000002</v>
      </c>
      <c r="L263" s="11">
        <v>51.448</v>
      </c>
      <c r="M263" s="11">
        <v>17.466999999999999</v>
      </c>
      <c r="N263" s="11">
        <v>0</v>
      </c>
      <c r="O263" s="11">
        <v>98.707999999999998</v>
      </c>
      <c r="P263" s="11"/>
      <c r="Q263" s="33">
        <f t="shared" si="56"/>
        <v>0.32028672837358202</v>
      </c>
      <c r="R263" s="33">
        <f t="shared" si="57"/>
        <v>0.43337054955960796</v>
      </c>
      <c r="S263" s="33">
        <f t="shared" si="58"/>
        <v>8.5309747137915046E-2</v>
      </c>
      <c r="T263" s="33">
        <f t="shared" si="59"/>
        <v>57.502337235841736</v>
      </c>
      <c r="U263" s="33">
        <f t="shared" si="60"/>
        <v>38.176319068849779</v>
      </c>
      <c r="V263" s="33">
        <f t="shared" si="61"/>
        <v>10.168426718640672</v>
      </c>
      <c r="W263" s="33">
        <f t="shared" si="62"/>
        <v>51.65525421250954</v>
      </c>
      <c r="X263" s="33"/>
      <c r="Y263" s="11">
        <v>1.7600000000000001E-2</v>
      </c>
      <c r="Z263" s="11">
        <v>1.8E-3</v>
      </c>
      <c r="AA263" s="11">
        <v>2.9615</v>
      </c>
      <c r="AB263" s="11">
        <v>3.5700000000000003E-2</v>
      </c>
      <c r="AC263" s="11">
        <v>1.43E-2</v>
      </c>
      <c r="AD263" s="11">
        <v>0</v>
      </c>
      <c r="AE263" s="11">
        <v>0.1497</v>
      </c>
      <c r="AF263" s="11">
        <v>2.8E-3</v>
      </c>
      <c r="AG263" s="11">
        <v>0.78879999999999995</v>
      </c>
      <c r="AH263" s="11">
        <v>8.48E-2</v>
      </c>
      <c r="AI263" s="11">
        <v>7.9170999999999996</v>
      </c>
      <c r="AJ263" s="11">
        <v>4.0069999999999997</v>
      </c>
      <c r="AK263" s="11">
        <v>0</v>
      </c>
      <c r="AL263" s="11">
        <v>15.9811</v>
      </c>
      <c r="AM263" s="11">
        <f t="shared" si="63"/>
        <v>8.0667999999999989</v>
      </c>
      <c r="AN263" s="33">
        <f t="shared" si="64"/>
        <v>8.5056818181818183</v>
      </c>
    </row>
    <row r="264" spans="1:40" s="32" customFormat="1" x14ac:dyDescent="0.25">
      <c r="A264" s="11" t="s">
        <v>132</v>
      </c>
      <c r="B264" s="11">
        <v>0.16300000000000001</v>
      </c>
      <c r="C264" s="11">
        <v>5.5E-2</v>
      </c>
      <c r="D264" s="11">
        <v>23.451000000000001</v>
      </c>
      <c r="E264" s="11">
        <v>0.218</v>
      </c>
      <c r="F264" s="11">
        <v>5.1999999999999998E-2</v>
      </c>
      <c r="G264" s="11">
        <v>1E-3</v>
      </c>
      <c r="H264" s="11">
        <v>0.79400000000000004</v>
      </c>
      <c r="I264" s="11">
        <v>0</v>
      </c>
      <c r="J264" s="11">
        <v>4.8239999999999998</v>
      </c>
      <c r="K264" s="11">
        <v>0.65</v>
      </c>
      <c r="L264" s="11">
        <v>51.844000000000001</v>
      </c>
      <c r="M264" s="11">
        <v>17.573</v>
      </c>
      <c r="N264" s="11">
        <v>0</v>
      </c>
      <c r="O264" s="11">
        <v>99.625</v>
      </c>
      <c r="P264" s="11"/>
      <c r="Q264" s="33">
        <f t="shared" si="56"/>
        <v>0.32641102373164455</v>
      </c>
      <c r="R264" s="33">
        <f t="shared" si="57"/>
        <v>0.43600049621635034</v>
      </c>
      <c r="S264" s="33">
        <f t="shared" si="58"/>
        <v>8.6023039338064836E-2</v>
      </c>
      <c r="T264" s="33">
        <f t="shared" si="59"/>
        <v>57.18702889564031</v>
      </c>
      <c r="U264" s="33">
        <f t="shared" si="60"/>
        <v>38.472150875880487</v>
      </c>
      <c r="V264" s="33">
        <f t="shared" si="61"/>
        <v>10.1390305706608</v>
      </c>
      <c r="W264" s="33">
        <f t="shared" si="62"/>
        <v>51.388818553458712</v>
      </c>
      <c r="X264" s="33"/>
      <c r="Y264" s="11">
        <v>1.8700000000000001E-2</v>
      </c>
      <c r="Z264" s="11">
        <v>6.7999999999999996E-3</v>
      </c>
      <c r="AA264" s="11">
        <v>2.9939</v>
      </c>
      <c r="AB264" s="11">
        <v>2.63E-2</v>
      </c>
      <c r="AC264" s="11">
        <v>1.54E-2</v>
      </c>
      <c r="AD264" s="11">
        <v>2.0000000000000001E-4</v>
      </c>
      <c r="AE264" s="11">
        <v>0.1429</v>
      </c>
      <c r="AF264" s="11">
        <v>0</v>
      </c>
      <c r="AG264" s="11">
        <v>0.78910000000000002</v>
      </c>
      <c r="AH264" s="11">
        <v>8.4000000000000005E-2</v>
      </c>
      <c r="AI264" s="11">
        <v>7.9139999999999997</v>
      </c>
      <c r="AJ264" s="11">
        <v>3.9988999999999999</v>
      </c>
      <c r="AK264" s="11">
        <v>0</v>
      </c>
      <c r="AL264" s="11">
        <v>15.9902</v>
      </c>
      <c r="AM264" s="11">
        <f t="shared" si="63"/>
        <v>8.0568999999999988</v>
      </c>
      <c r="AN264" s="33">
        <f t="shared" si="64"/>
        <v>7.6417112299465231</v>
      </c>
    </row>
    <row r="265" spans="1:40" s="32" customFormat="1" x14ac:dyDescent="0.25">
      <c r="A265" s="11" t="s">
        <v>469</v>
      </c>
      <c r="B265" s="11">
        <v>0.123</v>
      </c>
      <c r="C265" s="11">
        <v>4.2999999999999997E-2</v>
      </c>
      <c r="D265" s="11">
        <v>22.933</v>
      </c>
      <c r="E265" s="11">
        <v>9.0999999999999998E-2</v>
      </c>
      <c r="F265" s="11">
        <v>0.08</v>
      </c>
      <c r="G265" s="11">
        <v>1.4E-2</v>
      </c>
      <c r="H265" s="11">
        <v>0.622</v>
      </c>
      <c r="I265" s="11">
        <v>0</v>
      </c>
      <c r="J265" s="11">
        <v>6.18</v>
      </c>
      <c r="K265" s="11">
        <v>0.64800000000000002</v>
      </c>
      <c r="L265" s="11">
        <v>51.683999999999997</v>
      </c>
      <c r="M265" s="11">
        <v>16.38</v>
      </c>
      <c r="N265" s="11">
        <v>0.34100000000000003</v>
      </c>
      <c r="O265" s="11">
        <v>99.138999999999996</v>
      </c>
      <c r="P265" s="11"/>
      <c r="Q265" s="33">
        <f t="shared" si="56"/>
        <v>0.31920105783283459</v>
      </c>
      <c r="R265" s="33">
        <f t="shared" si="57"/>
        <v>0.40640119091924076</v>
      </c>
      <c r="S265" s="33">
        <f t="shared" si="58"/>
        <v>0.11020364492314276</v>
      </c>
      <c r="T265" s="33">
        <f t="shared" si="59"/>
        <v>56.008810835163281</v>
      </c>
      <c r="U265" s="33">
        <f t="shared" si="60"/>
        <v>38.190812035224944</v>
      </c>
      <c r="V265" s="33">
        <f t="shared" si="61"/>
        <v>13.185315604626052</v>
      </c>
      <c r="W265" s="33">
        <f t="shared" si="62"/>
        <v>48.623872360149008</v>
      </c>
      <c r="X265" s="33"/>
      <c r="Y265" s="11">
        <v>1.4200000000000001E-2</v>
      </c>
      <c r="Z265" s="11">
        <v>5.3E-3</v>
      </c>
      <c r="AA265" s="11">
        <v>2.9518</v>
      </c>
      <c r="AB265" s="11">
        <v>1.11E-2</v>
      </c>
      <c r="AC265" s="11">
        <v>2.3800000000000002E-2</v>
      </c>
      <c r="AD265" s="11">
        <v>1.8E-3</v>
      </c>
      <c r="AE265" s="11">
        <v>0.1128</v>
      </c>
      <c r="AF265" s="11">
        <v>0</v>
      </c>
      <c r="AG265" s="11">
        <v>1.0192000000000001</v>
      </c>
      <c r="AH265" s="11">
        <v>8.4500000000000006E-2</v>
      </c>
      <c r="AI265" s="11">
        <v>7.9542999999999999</v>
      </c>
      <c r="AJ265" s="11">
        <v>3.7578999999999998</v>
      </c>
      <c r="AK265" s="11">
        <v>4.2099999999999999E-2</v>
      </c>
      <c r="AL265" s="11">
        <v>15.9788</v>
      </c>
      <c r="AM265" s="11">
        <f t="shared" si="63"/>
        <v>8.0670999999999999</v>
      </c>
      <c r="AN265" s="33">
        <f t="shared" si="64"/>
        <v>7.9436619718309851</v>
      </c>
    </row>
    <row r="266" spans="1:40" s="32" customFormat="1" x14ac:dyDescent="0.25">
      <c r="A266" s="11" t="s">
        <v>187</v>
      </c>
      <c r="B266" s="11">
        <v>0.14899999999999999</v>
      </c>
      <c r="C266" s="11">
        <v>0</v>
      </c>
      <c r="D266" s="11">
        <v>23.952000000000002</v>
      </c>
      <c r="E266" s="11">
        <v>0.20300000000000001</v>
      </c>
      <c r="F266" s="11">
        <v>7.6999999999999999E-2</v>
      </c>
      <c r="G266" s="11">
        <v>0</v>
      </c>
      <c r="H266" s="11">
        <v>0.83299999999999996</v>
      </c>
      <c r="I266" s="11">
        <v>1E-3</v>
      </c>
      <c r="J266" s="11">
        <v>5.0990000000000002</v>
      </c>
      <c r="K266" s="11">
        <v>0.71799999999999997</v>
      </c>
      <c r="L266" s="11">
        <v>51.347000000000001</v>
      </c>
      <c r="M266" s="11">
        <v>16.887</v>
      </c>
      <c r="N266" s="11">
        <v>0.28399999999999997</v>
      </c>
      <c r="O266" s="11">
        <v>99.55</v>
      </c>
      <c r="P266" s="11"/>
      <c r="Q266" s="33">
        <f t="shared" si="56"/>
        <v>0.33338436912798386</v>
      </c>
      <c r="R266" s="33">
        <f t="shared" si="57"/>
        <v>0.41898027540007443</v>
      </c>
      <c r="S266" s="33">
        <f t="shared" si="58"/>
        <v>9.0926923214094652E-2</v>
      </c>
      <c r="T266" s="33">
        <f t="shared" si="59"/>
        <v>55.688458840711675</v>
      </c>
      <c r="U266" s="33">
        <f t="shared" si="60"/>
        <v>39.533701258343463</v>
      </c>
      <c r="V266" s="33">
        <f t="shared" si="61"/>
        <v>10.782382593667379</v>
      </c>
      <c r="W266" s="33">
        <f t="shared" si="62"/>
        <v>49.683916147989152</v>
      </c>
      <c r="X266" s="33"/>
      <c r="Y266" s="11">
        <v>1.72E-2</v>
      </c>
      <c r="Z266" s="11">
        <v>0</v>
      </c>
      <c r="AA266" s="11">
        <v>3.0775999999999999</v>
      </c>
      <c r="AB266" s="11">
        <v>2.47E-2</v>
      </c>
      <c r="AC266" s="11">
        <v>2.29E-2</v>
      </c>
      <c r="AD266" s="11">
        <v>0</v>
      </c>
      <c r="AE266" s="11">
        <v>0.15079999999999999</v>
      </c>
      <c r="AF266" s="11">
        <v>2.9999999999999997E-4</v>
      </c>
      <c r="AG266" s="11">
        <v>0.83950000000000002</v>
      </c>
      <c r="AH266" s="11">
        <v>9.35E-2</v>
      </c>
      <c r="AI266" s="11">
        <v>7.8887999999999998</v>
      </c>
      <c r="AJ266" s="11">
        <v>3.8675000000000002</v>
      </c>
      <c r="AK266" s="11">
        <v>3.5000000000000003E-2</v>
      </c>
      <c r="AL266" s="11">
        <v>16.017800000000001</v>
      </c>
      <c r="AM266" s="11">
        <f t="shared" si="63"/>
        <v>8.0396000000000001</v>
      </c>
      <c r="AN266" s="33">
        <f t="shared" si="64"/>
        <v>8.7674418604651159</v>
      </c>
    </row>
    <row r="267" spans="1:40" s="32" customFormat="1" x14ac:dyDescent="0.25">
      <c r="A267" s="11" t="s">
        <v>470</v>
      </c>
      <c r="B267" s="11">
        <v>0.157</v>
      </c>
      <c r="C267" s="11">
        <v>0</v>
      </c>
      <c r="D267" s="11">
        <v>24.210999999999999</v>
      </c>
      <c r="E267" s="11">
        <v>0.27</v>
      </c>
      <c r="F267" s="11">
        <v>3.3000000000000002E-2</v>
      </c>
      <c r="G267" s="11">
        <v>3.0000000000000001E-3</v>
      </c>
      <c r="H267" s="11">
        <v>0.73799999999999999</v>
      </c>
      <c r="I267" s="11">
        <v>3.0000000000000001E-3</v>
      </c>
      <c r="J267" s="11">
        <v>4.8579999999999997</v>
      </c>
      <c r="K267" s="11">
        <v>0.70799999999999996</v>
      </c>
      <c r="L267" s="11">
        <v>51.749000000000002</v>
      </c>
      <c r="M267" s="11">
        <v>17.047000000000001</v>
      </c>
      <c r="N267" s="11">
        <v>0</v>
      </c>
      <c r="O267" s="11">
        <v>99.777000000000001</v>
      </c>
      <c r="P267" s="11"/>
      <c r="Q267" s="33">
        <f t="shared" ref="Q267:Q298" si="65">D267/(55.845+16)</f>
        <v>0.33698935207738878</v>
      </c>
      <c r="R267" s="33">
        <f t="shared" ref="R267:R298" si="66">M267/(24.305+16)</f>
        <v>0.4229500062027044</v>
      </c>
      <c r="S267" s="33">
        <f t="shared" ref="S267:S298" si="67">J267/(40.078+16)</f>
        <v>8.6629337708192145E-2</v>
      </c>
      <c r="T267" s="33">
        <f t="shared" ref="T267:T298" si="68">R267/(Q267+R267)*100</f>
        <v>55.655757475166382</v>
      </c>
      <c r="U267" s="33">
        <f t="shared" ref="U267:U298" si="69">Q267/(Q267+R267+S267)*100</f>
        <v>39.806498122870821</v>
      </c>
      <c r="V267" s="33">
        <f t="shared" ref="V267:V298" si="70">S267/(Q267+R267+S267)*100</f>
        <v>10.232995635051322</v>
      </c>
      <c r="W267" s="33">
        <f t="shared" ref="W267:W298" si="71">R267/(Q267+R267+S267)*100</f>
        <v>49.960506242077855</v>
      </c>
      <c r="X267" s="33"/>
      <c r="Y267" s="11">
        <v>1.8100000000000002E-2</v>
      </c>
      <c r="Z267" s="11">
        <v>0</v>
      </c>
      <c r="AA267" s="11">
        <v>3.0979999999999999</v>
      </c>
      <c r="AB267" s="11">
        <v>3.2599999999999997E-2</v>
      </c>
      <c r="AC267" s="11">
        <v>9.7999999999999997E-3</v>
      </c>
      <c r="AD267" s="11">
        <v>5.0000000000000001E-4</v>
      </c>
      <c r="AE267" s="11">
        <v>0.1331</v>
      </c>
      <c r="AF267" s="11">
        <v>5.0000000000000001E-4</v>
      </c>
      <c r="AG267" s="11">
        <v>0.79649999999999999</v>
      </c>
      <c r="AH267" s="11">
        <v>9.1700000000000004E-2</v>
      </c>
      <c r="AI267" s="11">
        <v>7.9175000000000004</v>
      </c>
      <c r="AJ267" s="11">
        <v>3.8879999999999999</v>
      </c>
      <c r="AK267" s="11">
        <v>0</v>
      </c>
      <c r="AL267" s="11">
        <v>15.9863</v>
      </c>
      <c r="AM267" s="11">
        <f t="shared" ref="AM267:AM298" si="72">AI267+AE267</f>
        <v>8.0506000000000011</v>
      </c>
      <c r="AN267" s="33">
        <f t="shared" ref="AN267:AN298" si="73">AE267/Y267</f>
        <v>7.3535911602209936</v>
      </c>
    </row>
    <row r="268" spans="1:40" s="32" customFormat="1" x14ac:dyDescent="0.25">
      <c r="A268" s="11" t="s">
        <v>196</v>
      </c>
      <c r="B268" s="11">
        <v>0.16600000000000001</v>
      </c>
      <c r="C268" s="11">
        <v>0</v>
      </c>
      <c r="D268" s="11">
        <v>24.285</v>
      </c>
      <c r="E268" s="11">
        <v>9.4E-2</v>
      </c>
      <c r="F268" s="11">
        <v>5.0999999999999997E-2</v>
      </c>
      <c r="G268" s="11">
        <v>0</v>
      </c>
      <c r="H268" s="11">
        <v>0.55100000000000005</v>
      </c>
      <c r="I268" s="11">
        <v>5.0000000000000001E-3</v>
      </c>
      <c r="J268" s="11">
        <v>5.0039999999999996</v>
      </c>
      <c r="K268" s="11">
        <v>0.68700000000000006</v>
      </c>
      <c r="L268" s="11">
        <v>52.008000000000003</v>
      </c>
      <c r="M268" s="11">
        <v>16.533000000000001</v>
      </c>
      <c r="N268" s="11">
        <v>8.5999999999999993E-2</v>
      </c>
      <c r="O268" s="11">
        <v>99.47</v>
      </c>
      <c r="P268" s="11"/>
      <c r="Q268" s="33">
        <f t="shared" si="65"/>
        <v>0.33801934720579024</v>
      </c>
      <c r="R268" s="33">
        <f t="shared" si="66"/>
        <v>0.41019724599925572</v>
      </c>
      <c r="S268" s="33">
        <f t="shared" si="67"/>
        <v>8.923285423873889E-2</v>
      </c>
      <c r="T268" s="33">
        <f t="shared" si="68"/>
        <v>54.823329196983295</v>
      </c>
      <c r="U268" s="33">
        <f t="shared" si="69"/>
        <v>40.362955428241584</v>
      </c>
      <c r="V268" s="33">
        <f t="shared" si="70"/>
        <v>10.655312330924763</v>
      </c>
      <c r="W268" s="33">
        <f t="shared" si="71"/>
        <v>48.981732240833665</v>
      </c>
      <c r="X268" s="33"/>
      <c r="Y268" s="11">
        <v>1.9199999999999998E-2</v>
      </c>
      <c r="Z268" s="11">
        <v>0</v>
      </c>
      <c r="AA268" s="11">
        <v>3.1172</v>
      </c>
      <c r="AB268" s="11">
        <v>1.14E-2</v>
      </c>
      <c r="AC268" s="11">
        <v>1.52E-2</v>
      </c>
      <c r="AD268" s="11">
        <v>0</v>
      </c>
      <c r="AE268" s="11">
        <v>9.9699999999999997E-2</v>
      </c>
      <c r="AF268" s="11">
        <v>1.1000000000000001E-3</v>
      </c>
      <c r="AG268" s="11">
        <v>0.82289999999999996</v>
      </c>
      <c r="AH268" s="11">
        <v>8.9300000000000004E-2</v>
      </c>
      <c r="AI268" s="11">
        <v>7.9821999999999997</v>
      </c>
      <c r="AJ268" s="11">
        <v>3.7826</v>
      </c>
      <c r="AK268" s="11">
        <v>1.06E-2</v>
      </c>
      <c r="AL268" s="11">
        <v>15.9514</v>
      </c>
      <c r="AM268" s="11">
        <f t="shared" si="72"/>
        <v>8.0818999999999992</v>
      </c>
      <c r="AN268" s="33">
        <f t="shared" si="73"/>
        <v>5.1927083333333339</v>
      </c>
    </row>
    <row r="269" spans="1:40" s="32" customFormat="1" x14ac:dyDescent="0.25">
      <c r="A269" s="11" t="s">
        <v>471</v>
      </c>
      <c r="B269" s="11">
        <v>0.17199999999999999</v>
      </c>
      <c r="C269" s="11">
        <v>0</v>
      </c>
      <c r="D269" s="11">
        <v>23.920999999999999</v>
      </c>
      <c r="E269" s="11">
        <v>0.14899999999999999</v>
      </c>
      <c r="F269" s="11">
        <v>7.5999999999999998E-2</v>
      </c>
      <c r="G269" s="11">
        <v>0</v>
      </c>
      <c r="H269" s="11">
        <v>0.90800000000000003</v>
      </c>
      <c r="I269" s="11">
        <v>0.03</v>
      </c>
      <c r="J269" s="11">
        <v>5.835</v>
      </c>
      <c r="K269" s="11">
        <v>0.67500000000000004</v>
      </c>
      <c r="L269" s="11">
        <v>51.103999999999999</v>
      </c>
      <c r="M269" s="11">
        <v>16.158000000000001</v>
      </c>
      <c r="N269" s="11">
        <v>0</v>
      </c>
      <c r="O269" s="11">
        <v>99.028000000000006</v>
      </c>
      <c r="P269" s="11"/>
      <c r="Q269" s="33">
        <f t="shared" si="65"/>
        <v>0.33295288468230216</v>
      </c>
      <c r="R269" s="33">
        <f t="shared" si="66"/>
        <v>0.40089318943059177</v>
      </c>
      <c r="S269" s="33">
        <f t="shared" si="67"/>
        <v>0.1040514996968508</v>
      </c>
      <c r="T269" s="33">
        <f t="shared" si="68"/>
        <v>54.629056906137905</v>
      </c>
      <c r="U269" s="33">
        <f t="shared" si="69"/>
        <v>39.736704710628906</v>
      </c>
      <c r="V269" s="33">
        <f t="shared" si="70"/>
        <v>12.418164576339615</v>
      </c>
      <c r="W269" s="33">
        <f t="shared" si="71"/>
        <v>47.845130713031473</v>
      </c>
      <c r="X269" s="33"/>
      <c r="Y269" s="11">
        <v>0.02</v>
      </c>
      <c r="Z269" s="11">
        <v>0</v>
      </c>
      <c r="AA269" s="11">
        <v>3.0924999999999998</v>
      </c>
      <c r="AB269" s="11">
        <v>1.8200000000000001E-2</v>
      </c>
      <c r="AC269" s="11">
        <v>2.2700000000000001E-2</v>
      </c>
      <c r="AD269" s="11">
        <v>0</v>
      </c>
      <c r="AE269" s="11">
        <v>0.16550000000000001</v>
      </c>
      <c r="AF269" s="11">
        <v>5.8999999999999999E-3</v>
      </c>
      <c r="AG269" s="11">
        <v>0.96650000000000003</v>
      </c>
      <c r="AH269" s="11">
        <v>8.8300000000000003E-2</v>
      </c>
      <c r="AI269" s="11">
        <v>7.8997000000000002</v>
      </c>
      <c r="AJ269" s="11">
        <v>3.7233999999999998</v>
      </c>
      <c r="AK269" s="11">
        <v>0</v>
      </c>
      <c r="AL269" s="11">
        <v>16.002700000000001</v>
      </c>
      <c r="AM269" s="11">
        <f t="shared" si="72"/>
        <v>8.0652000000000008</v>
      </c>
      <c r="AN269" s="33">
        <f t="shared" si="73"/>
        <v>8.2750000000000004</v>
      </c>
    </row>
    <row r="270" spans="1:40" s="32" customFormat="1" x14ac:dyDescent="0.25">
      <c r="A270" s="11" t="s">
        <v>485</v>
      </c>
      <c r="B270" s="11">
        <v>0.14799999999999999</v>
      </c>
      <c r="C270" s="11">
        <v>1.9E-2</v>
      </c>
      <c r="D270" s="11">
        <v>25.067</v>
      </c>
      <c r="E270" s="11">
        <v>0.114</v>
      </c>
      <c r="F270" s="11">
        <v>4.7E-2</v>
      </c>
      <c r="G270" s="11">
        <v>0</v>
      </c>
      <c r="H270" s="11">
        <v>0.51400000000000001</v>
      </c>
      <c r="I270" s="11">
        <v>0</v>
      </c>
      <c r="J270" s="11">
        <v>4.5940000000000003</v>
      </c>
      <c r="K270" s="11">
        <v>0.626</v>
      </c>
      <c r="L270" s="11">
        <v>51.512</v>
      </c>
      <c r="M270" s="11">
        <v>16.597000000000001</v>
      </c>
      <c r="N270" s="11">
        <v>0</v>
      </c>
      <c r="O270" s="11">
        <v>99.238</v>
      </c>
      <c r="P270" s="11"/>
      <c r="Q270" s="33">
        <f t="shared" si="65"/>
        <v>0.34890389031943769</v>
      </c>
      <c r="R270" s="33">
        <f t="shared" si="66"/>
        <v>0.41178513832030766</v>
      </c>
      <c r="S270" s="33">
        <f t="shared" si="67"/>
        <v>8.1921609187203537E-2</v>
      </c>
      <c r="T270" s="33">
        <f t="shared" si="68"/>
        <v>54.133177003572229</v>
      </c>
      <c r="U270" s="33">
        <f t="shared" si="69"/>
        <v>41.407487000074383</v>
      </c>
      <c r="V270" s="33">
        <f t="shared" si="70"/>
        <v>9.7223563897169996</v>
      </c>
      <c r="W270" s="33">
        <f t="shared" si="71"/>
        <v>48.870156610208618</v>
      </c>
      <c r="X270" s="33"/>
      <c r="Y270" s="11">
        <v>1.72E-2</v>
      </c>
      <c r="Z270" s="11">
        <v>2.3999999999999998E-3</v>
      </c>
      <c r="AA270" s="11">
        <v>3.2353999999999998</v>
      </c>
      <c r="AB270" s="11">
        <v>1.3899999999999999E-2</v>
      </c>
      <c r="AC270" s="11">
        <v>1.4E-2</v>
      </c>
      <c r="AD270" s="11">
        <v>0</v>
      </c>
      <c r="AE270" s="11">
        <v>9.35E-2</v>
      </c>
      <c r="AF270" s="11">
        <v>0</v>
      </c>
      <c r="AG270" s="11">
        <v>0.75960000000000005</v>
      </c>
      <c r="AH270" s="11">
        <v>8.1799999999999998E-2</v>
      </c>
      <c r="AI270" s="11">
        <v>7.9499000000000004</v>
      </c>
      <c r="AJ270" s="11">
        <v>3.8182999999999998</v>
      </c>
      <c r="AK270" s="11">
        <v>0</v>
      </c>
      <c r="AL270" s="11">
        <v>15.986000000000001</v>
      </c>
      <c r="AM270" s="11">
        <f t="shared" si="72"/>
        <v>8.0434000000000001</v>
      </c>
      <c r="AN270" s="33">
        <f t="shared" si="73"/>
        <v>5.4360465116279073</v>
      </c>
    </row>
    <row r="271" spans="1:40" s="32" customFormat="1" x14ac:dyDescent="0.25">
      <c r="A271" s="11" t="s">
        <v>211</v>
      </c>
      <c r="B271" s="11">
        <v>0.156</v>
      </c>
      <c r="C271" s="11">
        <v>2.3E-2</v>
      </c>
      <c r="D271" s="11">
        <v>25.884</v>
      </c>
      <c r="E271" s="11">
        <v>6.7000000000000004E-2</v>
      </c>
      <c r="F271" s="11">
        <v>4.2999999999999997E-2</v>
      </c>
      <c r="G271" s="11">
        <v>0</v>
      </c>
      <c r="H271" s="11">
        <v>0.44700000000000001</v>
      </c>
      <c r="I271" s="11">
        <v>3.0000000000000001E-3</v>
      </c>
      <c r="J271" s="11">
        <v>3.964</v>
      </c>
      <c r="K271" s="11">
        <v>0.70899999999999996</v>
      </c>
      <c r="L271" s="11">
        <v>51.543999999999997</v>
      </c>
      <c r="M271" s="11">
        <v>16.96</v>
      </c>
      <c r="N271" s="11">
        <v>0</v>
      </c>
      <c r="O271" s="11">
        <v>99.8</v>
      </c>
      <c r="P271" s="11"/>
      <c r="Q271" s="33">
        <f t="shared" si="65"/>
        <v>0.36027559329111281</v>
      </c>
      <c r="R271" s="33">
        <f t="shared" si="66"/>
        <v>0.42079146507877435</v>
      </c>
      <c r="S271" s="33">
        <f t="shared" si="67"/>
        <v>7.0687257034844325E-2</v>
      </c>
      <c r="T271" s="33">
        <f t="shared" si="68"/>
        <v>53.873922932683925</v>
      </c>
      <c r="U271" s="33">
        <f t="shared" si="69"/>
        <v>42.298064920272139</v>
      </c>
      <c r="V271" s="33">
        <f t="shared" si="70"/>
        <v>8.2990195360801398</v>
      </c>
      <c r="W271" s="33">
        <f t="shared" si="71"/>
        <v>49.402915543647723</v>
      </c>
      <c r="X271" s="33"/>
      <c r="Y271" s="11">
        <v>1.7999999999999999E-2</v>
      </c>
      <c r="Z271" s="11">
        <v>2.8E-3</v>
      </c>
      <c r="AA271" s="11">
        <v>3.3296999999999999</v>
      </c>
      <c r="AB271" s="11">
        <v>8.0999999999999996E-3</v>
      </c>
      <c r="AC271" s="11">
        <v>1.2800000000000001E-2</v>
      </c>
      <c r="AD271" s="11">
        <v>0</v>
      </c>
      <c r="AE271" s="11">
        <v>8.1000000000000003E-2</v>
      </c>
      <c r="AF271" s="11">
        <v>5.9999999999999995E-4</v>
      </c>
      <c r="AG271" s="11">
        <v>0.65329999999999999</v>
      </c>
      <c r="AH271" s="11">
        <v>9.2399999999999996E-2</v>
      </c>
      <c r="AI271" s="11">
        <v>7.9283000000000001</v>
      </c>
      <c r="AJ271" s="11">
        <v>3.8887999999999998</v>
      </c>
      <c r="AK271" s="11">
        <v>0</v>
      </c>
      <c r="AL271" s="11">
        <v>16.015799999999999</v>
      </c>
      <c r="AM271" s="11">
        <f t="shared" si="72"/>
        <v>8.0092999999999996</v>
      </c>
      <c r="AN271" s="33">
        <f t="shared" si="73"/>
        <v>4.5000000000000009</v>
      </c>
    </row>
    <row r="272" spans="1:40" s="32" customFormat="1" x14ac:dyDescent="0.25">
      <c r="A272" s="11" t="s">
        <v>241</v>
      </c>
      <c r="B272" s="11">
        <v>0.16800000000000001</v>
      </c>
      <c r="C272" s="11">
        <v>0</v>
      </c>
      <c r="D272" s="11">
        <v>24.927</v>
      </c>
      <c r="E272" s="11">
        <v>0.107</v>
      </c>
      <c r="F272" s="11">
        <v>0.08</v>
      </c>
      <c r="G272" s="11">
        <v>0</v>
      </c>
      <c r="H272" s="11">
        <v>1.056</v>
      </c>
      <c r="I272" s="11">
        <v>0.02</v>
      </c>
      <c r="J272" s="11">
        <v>5.1779999999999999</v>
      </c>
      <c r="K272" s="11">
        <v>0.69399999999999995</v>
      </c>
      <c r="L272" s="11">
        <v>50.951000000000001</v>
      </c>
      <c r="M272" s="11">
        <v>16.312999999999999</v>
      </c>
      <c r="N272" s="11">
        <v>0.22900000000000001</v>
      </c>
      <c r="O272" s="11">
        <v>99.722999999999999</v>
      </c>
      <c r="P272" s="11"/>
      <c r="Q272" s="33">
        <f t="shared" si="65"/>
        <v>0.34695525088732687</v>
      </c>
      <c r="R272" s="33">
        <f t="shared" si="66"/>
        <v>0.40473886614563948</v>
      </c>
      <c r="S272" s="33">
        <f t="shared" si="67"/>
        <v>9.2335675309390491E-2</v>
      </c>
      <c r="T272" s="33">
        <f t="shared" si="68"/>
        <v>53.843559098639219</v>
      </c>
      <c r="U272" s="33">
        <f t="shared" si="69"/>
        <v>41.106991013250195</v>
      </c>
      <c r="V272" s="33">
        <f t="shared" si="70"/>
        <v>10.939859723806663</v>
      </c>
      <c r="W272" s="33">
        <f t="shared" si="71"/>
        <v>47.95314926294315</v>
      </c>
      <c r="X272" s="33"/>
      <c r="Y272" s="11">
        <v>1.9400000000000001E-2</v>
      </c>
      <c r="Z272" s="11">
        <v>0</v>
      </c>
      <c r="AA272" s="11">
        <v>3.2128999999999999</v>
      </c>
      <c r="AB272" s="11">
        <v>1.3100000000000001E-2</v>
      </c>
      <c r="AC272" s="11">
        <v>2.3900000000000001E-2</v>
      </c>
      <c r="AD272" s="11">
        <v>0</v>
      </c>
      <c r="AE272" s="11">
        <v>0.19189999999999999</v>
      </c>
      <c r="AF272" s="11">
        <v>3.8999999999999998E-3</v>
      </c>
      <c r="AG272" s="11">
        <v>0.85499999999999998</v>
      </c>
      <c r="AH272" s="11">
        <v>9.0700000000000003E-2</v>
      </c>
      <c r="AI272" s="11">
        <v>7.8525</v>
      </c>
      <c r="AJ272" s="11">
        <v>3.7479</v>
      </c>
      <c r="AK272" s="11">
        <v>2.8299999999999999E-2</v>
      </c>
      <c r="AL272" s="11">
        <v>16.0395</v>
      </c>
      <c r="AM272" s="11">
        <f t="shared" si="72"/>
        <v>8.0443999999999996</v>
      </c>
      <c r="AN272" s="33">
        <f t="shared" si="73"/>
        <v>9.8917525773195862</v>
      </c>
    </row>
    <row r="273" spans="1:40" s="32" customFormat="1" x14ac:dyDescent="0.25">
      <c r="A273" s="11" t="s">
        <v>236</v>
      </c>
      <c r="B273" s="11">
        <v>0.219</v>
      </c>
      <c r="C273" s="11">
        <v>1.2999999999999999E-2</v>
      </c>
      <c r="D273" s="11">
        <v>24.748000000000001</v>
      </c>
      <c r="E273" s="11">
        <v>0.13200000000000001</v>
      </c>
      <c r="F273" s="11">
        <v>0.05</v>
      </c>
      <c r="G273" s="11">
        <v>0</v>
      </c>
      <c r="H273" s="11">
        <v>0.84199999999999997</v>
      </c>
      <c r="I273" s="11">
        <v>0</v>
      </c>
      <c r="J273" s="11">
        <v>4.992</v>
      </c>
      <c r="K273" s="11">
        <v>0.72399999999999998</v>
      </c>
      <c r="L273" s="11">
        <v>51.249000000000002</v>
      </c>
      <c r="M273" s="11">
        <v>16.181000000000001</v>
      </c>
      <c r="N273" s="11">
        <v>0.82599999999999996</v>
      </c>
      <c r="O273" s="11">
        <v>99.975999999999999</v>
      </c>
      <c r="P273" s="11"/>
      <c r="Q273" s="33">
        <f t="shared" si="65"/>
        <v>0.34446377618484236</v>
      </c>
      <c r="R273" s="33">
        <f t="shared" si="66"/>
        <v>0.40146383823346982</v>
      </c>
      <c r="S273" s="33">
        <f t="shared" si="67"/>
        <v>8.9018866578693956E-2</v>
      </c>
      <c r="T273" s="33">
        <f t="shared" si="68"/>
        <v>53.820750227425016</v>
      </c>
      <c r="U273" s="33">
        <f t="shared" si="69"/>
        <v>41.255791122506388</v>
      </c>
      <c r="V273" s="33">
        <f t="shared" si="70"/>
        <v>10.661625458005032</v>
      </c>
      <c r="W273" s="33">
        <f t="shared" si="71"/>
        <v>48.082583419488572</v>
      </c>
      <c r="X273" s="33"/>
      <c r="Y273" s="11">
        <v>2.53E-2</v>
      </c>
      <c r="Z273" s="11">
        <v>1.6000000000000001E-3</v>
      </c>
      <c r="AA273" s="11">
        <v>3.1848000000000001</v>
      </c>
      <c r="AB273" s="11">
        <v>1.6E-2</v>
      </c>
      <c r="AC273" s="11">
        <v>1.49E-2</v>
      </c>
      <c r="AD273" s="11">
        <v>0</v>
      </c>
      <c r="AE273" s="11">
        <v>0.1527</v>
      </c>
      <c r="AF273" s="11">
        <v>0</v>
      </c>
      <c r="AG273" s="11">
        <v>0.82299999999999995</v>
      </c>
      <c r="AH273" s="11">
        <v>9.4399999999999998E-2</v>
      </c>
      <c r="AI273" s="11">
        <v>7.8857999999999997</v>
      </c>
      <c r="AJ273" s="11">
        <v>3.7115</v>
      </c>
      <c r="AK273" s="11">
        <v>0.10199999999999999</v>
      </c>
      <c r="AL273" s="11">
        <v>16.012</v>
      </c>
      <c r="AM273" s="11">
        <f t="shared" si="72"/>
        <v>8.0384999999999991</v>
      </c>
      <c r="AN273" s="33">
        <f t="shared" si="73"/>
        <v>6.0355731225296445</v>
      </c>
    </row>
    <row r="274" spans="1:40" s="32" customFormat="1" x14ac:dyDescent="0.25">
      <c r="A274" s="11" t="s">
        <v>125</v>
      </c>
      <c r="B274" s="11">
        <v>0.253</v>
      </c>
      <c r="C274" s="11">
        <v>0.04</v>
      </c>
      <c r="D274" s="11">
        <v>24.861000000000001</v>
      </c>
      <c r="E274" s="11">
        <v>0.159</v>
      </c>
      <c r="F274" s="11">
        <v>4.2999999999999997E-2</v>
      </c>
      <c r="G274" s="11">
        <v>0</v>
      </c>
      <c r="H274" s="11">
        <v>0.79600000000000004</v>
      </c>
      <c r="I274" s="11">
        <v>1.2999999999999999E-2</v>
      </c>
      <c r="J274" s="11">
        <v>5.44</v>
      </c>
      <c r="K274" s="11">
        <v>0.70299999999999996</v>
      </c>
      <c r="L274" s="11">
        <v>50.926000000000002</v>
      </c>
      <c r="M274" s="11">
        <v>15.79</v>
      </c>
      <c r="N274" s="11">
        <v>0</v>
      </c>
      <c r="O274" s="11">
        <v>99.024000000000001</v>
      </c>
      <c r="P274" s="11"/>
      <c r="Q274" s="33">
        <f t="shared" si="65"/>
        <v>0.34603660658361751</v>
      </c>
      <c r="R274" s="33">
        <f t="shared" si="66"/>
        <v>0.39176280858454282</v>
      </c>
      <c r="S274" s="33">
        <f t="shared" si="67"/>
        <v>9.7007739220371633E-2</v>
      </c>
      <c r="T274" s="33">
        <f t="shared" si="68"/>
        <v>53.098823410594818</v>
      </c>
      <c r="U274" s="33">
        <f t="shared" si="69"/>
        <v>41.451083015343535</v>
      </c>
      <c r="V274" s="33">
        <f t="shared" si="70"/>
        <v>11.620377078754975</v>
      </c>
      <c r="W274" s="33">
        <f t="shared" si="71"/>
        <v>46.928539905901481</v>
      </c>
      <c r="X274" s="33"/>
      <c r="Y274" s="11">
        <v>2.9600000000000001E-2</v>
      </c>
      <c r="Z274" s="11">
        <v>4.8999999999999998E-3</v>
      </c>
      <c r="AA274" s="11">
        <v>3.2263000000000002</v>
      </c>
      <c r="AB274" s="11">
        <v>1.9599999999999999E-2</v>
      </c>
      <c r="AC274" s="11">
        <v>1.2999999999999999E-2</v>
      </c>
      <c r="AD274" s="11">
        <v>0</v>
      </c>
      <c r="AE274" s="11">
        <v>0.14560000000000001</v>
      </c>
      <c r="AF274" s="11">
        <v>2.5000000000000001E-3</v>
      </c>
      <c r="AG274" s="11">
        <v>0.90459999999999996</v>
      </c>
      <c r="AH274" s="11">
        <v>9.2499999999999999E-2</v>
      </c>
      <c r="AI274" s="11">
        <v>7.9023000000000003</v>
      </c>
      <c r="AJ274" s="11">
        <v>3.6524999999999999</v>
      </c>
      <c r="AK274" s="11">
        <v>0</v>
      </c>
      <c r="AL274" s="11">
        <v>15.993399999999999</v>
      </c>
      <c r="AM274" s="11">
        <f t="shared" si="72"/>
        <v>8.0479000000000003</v>
      </c>
      <c r="AN274" s="33">
        <f t="shared" si="73"/>
        <v>4.9189189189189193</v>
      </c>
    </row>
    <row r="275" spans="1:40" s="32" customFormat="1" x14ac:dyDescent="0.25">
      <c r="A275" s="11" t="s">
        <v>472</v>
      </c>
      <c r="B275" s="11">
        <v>0.183</v>
      </c>
      <c r="C275" s="11">
        <v>0.03</v>
      </c>
      <c r="D275" s="11">
        <v>25.48</v>
      </c>
      <c r="E275" s="11">
        <v>0.16800000000000001</v>
      </c>
      <c r="F275" s="11">
        <v>7.5999999999999998E-2</v>
      </c>
      <c r="G275" s="11">
        <v>0</v>
      </c>
      <c r="H275" s="11">
        <v>0.77100000000000002</v>
      </c>
      <c r="I275" s="11">
        <v>5.0000000000000001E-3</v>
      </c>
      <c r="J275" s="11">
        <v>6.0270000000000001</v>
      </c>
      <c r="K275" s="11">
        <v>0.68600000000000005</v>
      </c>
      <c r="L275" s="11">
        <v>51.258000000000003</v>
      </c>
      <c r="M275" s="11">
        <v>15.9</v>
      </c>
      <c r="N275" s="11">
        <v>0.434</v>
      </c>
      <c r="O275" s="11">
        <v>101.018</v>
      </c>
      <c r="P275" s="11"/>
      <c r="Q275" s="33">
        <f t="shared" si="65"/>
        <v>0.35465237664416455</v>
      </c>
      <c r="R275" s="33">
        <f t="shared" si="66"/>
        <v>0.39449199851135097</v>
      </c>
      <c r="S275" s="33">
        <f t="shared" si="67"/>
        <v>0.10747530225756981</v>
      </c>
      <c r="T275" s="33">
        <f t="shared" si="68"/>
        <v>52.659008275869127</v>
      </c>
      <c r="U275" s="33">
        <f t="shared" si="69"/>
        <v>41.401381032383341</v>
      </c>
      <c r="V275" s="33">
        <f t="shared" si="70"/>
        <v>12.546443315677219</v>
      </c>
      <c r="W275" s="33">
        <f t="shared" si="71"/>
        <v>46.052175651939429</v>
      </c>
      <c r="X275" s="33"/>
      <c r="Y275" s="11">
        <v>2.1100000000000001E-2</v>
      </c>
      <c r="Z275" s="11">
        <v>3.7000000000000002E-3</v>
      </c>
      <c r="AA275" s="11">
        <v>3.2606000000000002</v>
      </c>
      <c r="AB275" s="11">
        <v>2.0400000000000001E-2</v>
      </c>
      <c r="AC275" s="11">
        <v>2.24E-2</v>
      </c>
      <c r="AD275" s="11">
        <v>0</v>
      </c>
      <c r="AE275" s="11">
        <v>0.13900000000000001</v>
      </c>
      <c r="AF275" s="11">
        <v>1E-3</v>
      </c>
      <c r="AG275" s="11">
        <v>0.98819999999999997</v>
      </c>
      <c r="AH275" s="11">
        <v>8.8900000000000007E-2</v>
      </c>
      <c r="AI275" s="11">
        <v>7.8429000000000002</v>
      </c>
      <c r="AJ275" s="11">
        <v>3.6265999999999998</v>
      </c>
      <c r="AK275" s="11">
        <v>5.33E-2</v>
      </c>
      <c r="AL275" s="11">
        <v>16.068100000000001</v>
      </c>
      <c r="AM275" s="11">
        <f t="shared" si="72"/>
        <v>7.9819000000000004</v>
      </c>
      <c r="AN275" s="33">
        <f t="shared" si="73"/>
        <v>6.5876777251184837</v>
      </c>
    </row>
    <row r="276" spans="1:40" s="32" customFormat="1" x14ac:dyDescent="0.25">
      <c r="A276" s="11" t="s">
        <v>61</v>
      </c>
      <c r="B276" s="11">
        <v>0.151</v>
      </c>
      <c r="C276" s="11">
        <v>4.0000000000000001E-3</v>
      </c>
      <c r="D276" s="11">
        <v>26.384</v>
      </c>
      <c r="E276" s="11">
        <v>9.2999999999999999E-2</v>
      </c>
      <c r="F276" s="11">
        <v>1.7999999999999999E-2</v>
      </c>
      <c r="G276" s="11">
        <v>0</v>
      </c>
      <c r="H276" s="11">
        <v>0.46100000000000002</v>
      </c>
      <c r="I276" s="11">
        <v>2E-3</v>
      </c>
      <c r="J276" s="11">
        <v>4.0199999999999996</v>
      </c>
      <c r="K276" s="11">
        <v>0.68500000000000005</v>
      </c>
      <c r="L276" s="11">
        <v>51.125999999999998</v>
      </c>
      <c r="M276" s="11">
        <v>16.413</v>
      </c>
      <c r="N276" s="11">
        <v>0.14499999999999999</v>
      </c>
      <c r="O276" s="11">
        <v>99.501999999999995</v>
      </c>
      <c r="P276" s="11"/>
      <c r="Q276" s="33">
        <f t="shared" si="65"/>
        <v>0.36723501983436568</v>
      </c>
      <c r="R276" s="33">
        <f t="shared" si="66"/>
        <v>0.40721994789728322</v>
      </c>
      <c r="S276" s="33">
        <f t="shared" si="67"/>
        <v>7.1685866115054023E-2</v>
      </c>
      <c r="T276" s="33">
        <f t="shared" si="68"/>
        <v>52.581488254896989</v>
      </c>
      <c r="U276" s="33">
        <f t="shared" si="69"/>
        <v>43.401169775113161</v>
      </c>
      <c r="V276" s="33">
        <f t="shared" si="70"/>
        <v>8.4720962808469658</v>
      </c>
      <c r="W276" s="33">
        <f t="shared" si="71"/>
        <v>48.12673394403987</v>
      </c>
      <c r="X276" s="33"/>
      <c r="Y276" s="11">
        <v>1.7600000000000001E-2</v>
      </c>
      <c r="Z276" s="11">
        <v>4.0000000000000002E-4</v>
      </c>
      <c r="AA276" s="11">
        <v>3.4174000000000002</v>
      </c>
      <c r="AB276" s="11">
        <v>1.14E-2</v>
      </c>
      <c r="AC276" s="11">
        <v>5.4999999999999997E-3</v>
      </c>
      <c r="AD276" s="11">
        <v>0</v>
      </c>
      <c r="AE276" s="11">
        <v>8.4199999999999997E-2</v>
      </c>
      <c r="AF276" s="11">
        <v>4.0000000000000002E-4</v>
      </c>
      <c r="AG276" s="11">
        <v>0.66710000000000003</v>
      </c>
      <c r="AH276" s="11">
        <v>8.9800000000000005E-2</v>
      </c>
      <c r="AI276" s="11">
        <v>7.9181999999999997</v>
      </c>
      <c r="AJ276" s="11">
        <v>3.7892999999999999</v>
      </c>
      <c r="AK276" s="11">
        <v>1.7999999999999999E-2</v>
      </c>
      <c r="AL276" s="11">
        <v>16.019300000000001</v>
      </c>
      <c r="AM276" s="11">
        <f t="shared" si="72"/>
        <v>8.0023999999999997</v>
      </c>
      <c r="AN276" s="33">
        <f t="shared" si="73"/>
        <v>4.7840909090909083</v>
      </c>
    </row>
    <row r="277" spans="1:40" s="32" customFormat="1" x14ac:dyDescent="0.25">
      <c r="A277" s="11" t="s">
        <v>473</v>
      </c>
      <c r="B277" s="33">
        <v>0.108</v>
      </c>
      <c r="C277" s="11">
        <v>0.04</v>
      </c>
      <c r="D277" s="11">
        <v>26.228999999999999</v>
      </c>
      <c r="E277" s="11">
        <v>7.6999999999999999E-2</v>
      </c>
      <c r="F277" s="11">
        <v>3.7999999999999999E-2</v>
      </c>
      <c r="G277" s="11">
        <v>0</v>
      </c>
      <c r="H277" s="11">
        <v>0.40100000000000002</v>
      </c>
      <c r="I277" s="11">
        <v>5.0000000000000001E-3</v>
      </c>
      <c r="J277" s="11">
        <v>4.0220000000000002</v>
      </c>
      <c r="K277" s="11">
        <v>0.69</v>
      </c>
      <c r="L277" s="11">
        <v>51.051000000000002</v>
      </c>
      <c r="M277" s="11">
        <v>16.190000000000001</v>
      </c>
      <c r="N277" s="11">
        <v>0</v>
      </c>
      <c r="O277" s="11">
        <v>98.850999999999999</v>
      </c>
      <c r="P277" s="11"/>
      <c r="Q277" s="33">
        <f t="shared" si="65"/>
        <v>0.36507759760595726</v>
      </c>
      <c r="R277" s="33">
        <f t="shared" si="66"/>
        <v>0.40168713559111774</v>
      </c>
      <c r="S277" s="33">
        <f t="shared" si="67"/>
        <v>7.1721530725061516E-2</v>
      </c>
      <c r="T277" s="33">
        <f t="shared" si="68"/>
        <v>52.387273201293084</v>
      </c>
      <c r="U277" s="33">
        <f t="shared" si="69"/>
        <v>43.54008089509491</v>
      </c>
      <c r="V277" s="33">
        <f t="shared" si="70"/>
        <v>8.5536917909154582</v>
      </c>
      <c r="W277" s="33">
        <f t="shared" si="71"/>
        <v>47.906227313989632</v>
      </c>
      <c r="X277" s="33"/>
      <c r="Y277" s="11">
        <v>1.2699999999999999E-2</v>
      </c>
      <c r="Z277" s="11">
        <v>5.0000000000000001E-3</v>
      </c>
      <c r="AA277" s="11">
        <v>3.4163000000000001</v>
      </c>
      <c r="AB277" s="11">
        <v>9.4999999999999998E-3</v>
      </c>
      <c r="AC277" s="11">
        <v>1.14E-2</v>
      </c>
      <c r="AD277" s="11">
        <v>0</v>
      </c>
      <c r="AE277" s="11">
        <v>7.3599999999999999E-2</v>
      </c>
      <c r="AF277" s="11">
        <v>1E-3</v>
      </c>
      <c r="AG277" s="11">
        <v>0.67110000000000003</v>
      </c>
      <c r="AH277" s="11">
        <v>9.11E-2</v>
      </c>
      <c r="AI277" s="11">
        <v>7.9507000000000003</v>
      </c>
      <c r="AJ277" s="11">
        <v>3.7587999999999999</v>
      </c>
      <c r="AK277" s="11">
        <v>0</v>
      </c>
      <c r="AL277" s="11">
        <v>16.001200000000001</v>
      </c>
      <c r="AM277" s="11">
        <f t="shared" si="72"/>
        <v>8.0243000000000002</v>
      </c>
      <c r="AN277" s="33">
        <f t="shared" si="73"/>
        <v>5.7952755905511815</v>
      </c>
    </row>
    <row r="278" spans="1:40" s="32" customFormat="1" x14ac:dyDescent="0.25">
      <c r="A278" s="11" t="s">
        <v>63</v>
      </c>
      <c r="B278" s="11">
        <v>0.192</v>
      </c>
      <c r="C278" s="11">
        <v>5.0000000000000001E-3</v>
      </c>
      <c r="D278" s="11">
        <v>26.25</v>
      </c>
      <c r="E278" s="11">
        <v>0.105</v>
      </c>
      <c r="F278" s="11">
        <v>5.7000000000000002E-2</v>
      </c>
      <c r="G278" s="11">
        <v>0</v>
      </c>
      <c r="H278" s="11">
        <v>0.73499999999999999</v>
      </c>
      <c r="I278" s="11">
        <v>1.2E-2</v>
      </c>
      <c r="J278" s="11">
        <v>4.6289999999999996</v>
      </c>
      <c r="K278" s="11">
        <v>0.77400000000000002</v>
      </c>
      <c r="L278" s="11">
        <v>51.085999999999999</v>
      </c>
      <c r="M278" s="11">
        <v>15.952</v>
      </c>
      <c r="N278" s="11">
        <v>0.26</v>
      </c>
      <c r="O278" s="11">
        <v>100.057</v>
      </c>
      <c r="P278" s="11"/>
      <c r="Q278" s="33">
        <f t="shared" si="65"/>
        <v>0.36536989352077387</v>
      </c>
      <c r="R278" s="33">
        <f t="shared" si="66"/>
        <v>0.3957821610222057</v>
      </c>
      <c r="S278" s="33">
        <f t="shared" si="67"/>
        <v>8.2545739862334599E-2</v>
      </c>
      <c r="T278" s="33">
        <f t="shared" si="68"/>
        <v>51.997778717137699</v>
      </c>
      <c r="U278" s="33">
        <f t="shared" si="69"/>
        <v>43.305777962630238</v>
      </c>
      <c r="V278" s="33">
        <f t="shared" si="70"/>
        <v>9.7838041547231374</v>
      </c>
      <c r="W278" s="33">
        <f t="shared" si="71"/>
        <v>46.910417882646634</v>
      </c>
      <c r="X278" s="33"/>
      <c r="Y278" s="11">
        <v>2.2200000000000001E-2</v>
      </c>
      <c r="Z278" s="11">
        <v>5.9999999999999995E-4</v>
      </c>
      <c r="AA278" s="11">
        <v>3.3881999999999999</v>
      </c>
      <c r="AB278" s="11">
        <v>1.2800000000000001E-2</v>
      </c>
      <c r="AC278" s="11">
        <v>1.7100000000000001E-2</v>
      </c>
      <c r="AD278" s="11">
        <v>0</v>
      </c>
      <c r="AE278" s="11">
        <v>0.13370000000000001</v>
      </c>
      <c r="AF278" s="11">
        <v>2.3E-3</v>
      </c>
      <c r="AG278" s="11">
        <v>0.76549999999999996</v>
      </c>
      <c r="AH278" s="11">
        <v>0.1012</v>
      </c>
      <c r="AI278" s="11">
        <v>7.8841999999999999</v>
      </c>
      <c r="AJ278" s="11">
        <v>3.67</v>
      </c>
      <c r="AK278" s="11">
        <v>3.2199999999999999E-2</v>
      </c>
      <c r="AL278" s="11">
        <v>16.03</v>
      </c>
      <c r="AM278" s="11">
        <f t="shared" si="72"/>
        <v>8.0178999999999991</v>
      </c>
      <c r="AN278" s="33">
        <f t="shared" si="73"/>
        <v>6.0225225225225225</v>
      </c>
    </row>
    <row r="279" spans="1:40" s="32" customFormat="1" x14ac:dyDescent="0.25">
      <c r="A279" s="11" t="s">
        <v>177</v>
      </c>
      <c r="B279" s="11">
        <v>0.21199999999999999</v>
      </c>
      <c r="C279" s="11">
        <v>0</v>
      </c>
      <c r="D279" s="11">
        <v>25.754999999999999</v>
      </c>
      <c r="E279" s="11">
        <v>0.17</v>
      </c>
      <c r="F279" s="11">
        <v>4.2000000000000003E-2</v>
      </c>
      <c r="G279" s="11">
        <v>0</v>
      </c>
      <c r="H279" s="11">
        <v>0.66900000000000004</v>
      </c>
      <c r="I279" s="11">
        <v>0</v>
      </c>
      <c r="J279" s="11">
        <v>5.0839999999999996</v>
      </c>
      <c r="K279" s="11">
        <v>0.69499999999999995</v>
      </c>
      <c r="L279" s="11">
        <v>50.753</v>
      </c>
      <c r="M279" s="11">
        <v>15.617000000000001</v>
      </c>
      <c r="N279" s="11">
        <v>0</v>
      </c>
      <c r="O279" s="11">
        <v>98.997</v>
      </c>
      <c r="P279" s="11"/>
      <c r="Q279" s="33">
        <f t="shared" si="65"/>
        <v>0.35848006124295356</v>
      </c>
      <c r="R279" s="33">
        <f t="shared" si="66"/>
        <v>0.38747053715419927</v>
      </c>
      <c r="S279" s="33">
        <f t="shared" si="67"/>
        <v>9.065943863903847E-2</v>
      </c>
      <c r="T279" s="33">
        <f t="shared" si="68"/>
        <v>51.943190070062172</v>
      </c>
      <c r="U279" s="33">
        <f t="shared" si="69"/>
        <v>42.849122694358243</v>
      </c>
      <c r="V279" s="33">
        <f t="shared" si="70"/>
        <v>10.836522946845376</v>
      </c>
      <c r="W279" s="33">
        <f t="shared" si="71"/>
        <v>46.314354358796379</v>
      </c>
      <c r="X279" s="33"/>
      <c r="Y279" s="11">
        <v>2.4799999999999999E-2</v>
      </c>
      <c r="Z279" s="11">
        <v>0</v>
      </c>
      <c r="AA279" s="11">
        <v>3.3546</v>
      </c>
      <c r="AB279" s="11">
        <v>2.1000000000000001E-2</v>
      </c>
      <c r="AC279" s="11">
        <v>1.26E-2</v>
      </c>
      <c r="AD279" s="11">
        <v>0</v>
      </c>
      <c r="AE279" s="11">
        <v>0.12280000000000001</v>
      </c>
      <c r="AF279" s="11">
        <v>0</v>
      </c>
      <c r="AG279" s="11">
        <v>0.84830000000000005</v>
      </c>
      <c r="AH279" s="11">
        <v>9.1700000000000004E-2</v>
      </c>
      <c r="AI279" s="11">
        <v>7.9042000000000003</v>
      </c>
      <c r="AJ279" s="11">
        <v>3.6255999999999999</v>
      </c>
      <c r="AK279" s="11">
        <v>0</v>
      </c>
      <c r="AL279" s="11">
        <v>16.005600000000001</v>
      </c>
      <c r="AM279" s="11">
        <f t="shared" si="72"/>
        <v>8.027000000000001</v>
      </c>
      <c r="AN279" s="33">
        <f t="shared" si="73"/>
        <v>4.9516129032258069</v>
      </c>
    </row>
    <row r="280" spans="1:40" s="32" customFormat="1" x14ac:dyDescent="0.25">
      <c r="A280" s="11" t="s">
        <v>112</v>
      </c>
      <c r="B280" s="11">
        <v>0.23599999999999999</v>
      </c>
      <c r="C280" s="11">
        <v>0</v>
      </c>
      <c r="D280" s="11">
        <v>24.364999999999998</v>
      </c>
      <c r="E280" s="11">
        <v>0.16200000000000001</v>
      </c>
      <c r="F280" s="11">
        <v>8.5999999999999993E-2</v>
      </c>
      <c r="G280" s="11">
        <v>0</v>
      </c>
      <c r="H280" s="11">
        <v>0.88800000000000001</v>
      </c>
      <c r="I280" s="11">
        <v>2E-3</v>
      </c>
      <c r="J280" s="11">
        <v>6.5309999999999997</v>
      </c>
      <c r="K280" s="11">
        <v>0.66500000000000004</v>
      </c>
      <c r="L280" s="11">
        <v>50.756</v>
      </c>
      <c r="M280" s="11">
        <v>14.72</v>
      </c>
      <c r="N280" s="11">
        <v>0.23</v>
      </c>
      <c r="O280" s="11">
        <v>98.641000000000005</v>
      </c>
      <c r="P280" s="11"/>
      <c r="Q280" s="33">
        <f t="shared" si="65"/>
        <v>0.33913285545271066</v>
      </c>
      <c r="R280" s="33">
        <f t="shared" si="66"/>
        <v>0.36521523384195509</v>
      </c>
      <c r="S280" s="33">
        <f t="shared" si="67"/>
        <v>0.11646278397945717</v>
      </c>
      <c r="T280" s="33">
        <f t="shared" si="68"/>
        <v>51.851526169068151</v>
      </c>
      <c r="U280" s="33">
        <f t="shared" si="69"/>
        <v>41.316808353177336</v>
      </c>
      <c r="V280" s="33">
        <f t="shared" si="70"/>
        <v>14.188747709310931</v>
      </c>
      <c r="W280" s="33">
        <f t="shared" si="71"/>
        <v>44.494443937511733</v>
      </c>
      <c r="X280" s="33"/>
      <c r="Y280" s="11">
        <v>2.7699999999999999E-2</v>
      </c>
      <c r="Z280" s="11">
        <v>0</v>
      </c>
      <c r="AA280" s="11">
        <v>3.1802000000000001</v>
      </c>
      <c r="AB280" s="11">
        <v>0.02</v>
      </c>
      <c r="AC280" s="11">
        <v>2.5999999999999999E-2</v>
      </c>
      <c r="AD280" s="11">
        <v>0</v>
      </c>
      <c r="AE280" s="11">
        <v>0.1633</v>
      </c>
      <c r="AF280" s="11">
        <v>4.0000000000000002E-4</v>
      </c>
      <c r="AG280" s="11">
        <v>1.0922000000000001</v>
      </c>
      <c r="AH280" s="11">
        <v>8.7900000000000006E-2</v>
      </c>
      <c r="AI280" s="11">
        <v>7.9211999999999998</v>
      </c>
      <c r="AJ280" s="11">
        <v>3.4245999999999999</v>
      </c>
      <c r="AK280" s="11">
        <v>2.8799999999999999E-2</v>
      </c>
      <c r="AL280" s="11">
        <v>15.972300000000001</v>
      </c>
      <c r="AM280" s="11">
        <f t="shared" si="72"/>
        <v>8.0845000000000002</v>
      </c>
      <c r="AN280" s="33">
        <f t="shared" si="73"/>
        <v>5.8953068592057765</v>
      </c>
    </row>
    <row r="281" spans="1:40" s="32" customFormat="1" x14ac:dyDescent="0.25">
      <c r="A281" s="11" t="s">
        <v>161</v>
      </c>
      <c r="B281" s="11">
        <v>0.153</v>
      </c>
      <c r="C281" s="11">
        <v>2.5000000000000001E-2</v>
      </c>
      <c r="D281" s="11">
        <v>25.844999999999999</v>
      </c>
      <c r="E281" s="11">
        <v>0.251</v>
      </c>
      <c r="F281" s="11">
        <v>0.09</v>
      </c>
      <c r="G281" s="11">
        <v>0</v>
      </c>
      <c r="H281" s="11">
        <v>0.74</v>
      </c>
      <c r="I281" s="11">
        <v>4.0000000000000001E-3</v>
      </c>
      <c r="J281" s="11">
        <v>5.3650000000000002</v>
      </c>
      <c r="K281" s="11">
        <v>0.7</v>
      </c>
      <c r="L281" s="11">
        <v>51.094999999999999</v>
      </c>
      <c r="M281" s="11">
        <v>15.563000000000001</v>
      </c>
      <c r="N281" s="11">
        <v>0</v>
      </c>
      <c r="O281" s="11">
        <v>99.831000000000003</v>
      </c>
      <c r="P281" s="11"/>
      <c r="Q281" s="33">
        <f t="shared" si="65"/>
        <v>0.35973275802073906</v>
      </c>
      <c r="R281" s="33">
        <f t="shared" si="66"/>
        <v>0.38613075300831162</v>
      </c>
      <c r="S281" s="33">
        <f t="shared" si="67"/>
        <v>9.5670316345090767E-2</v>
      </c>
      <c r="T281" s="33">
        <f t="shared" si="68"/>
        <v>51.769626385875334</v>
      </c>
      <c r="U281" s="33">
        <f t="shared" si="69"/>
        <v>42.747272458817484</v>
      </c>
      <c r="V281" s="33">
        <f t="shared" si="70"/>
        <v>11.36856454643222</v>
      </c>
      <c r="W281" s="33">
        <f t="shared" si="71"/>
        <v>45.884162994750291</v>
      </c>
      <c r="X281" s="33"/>
      <c r="Y281" s="11">
        <v>1.77E-2</v>
      </c>
      <c r="Z281" s="11">
        <v>3.0999999999999999E-3</v>
      </c>
      <c r="AA281" s="11">
        <v>3.3405999999999998</v>
      </c>
      <c r="AB281" s="11">
        <v>3.0700000000000002E-2</v>
      </c>
      <c r="AC281" s="11">
        <v>2.7099999999999999E-2</v>
      </c>
      <c r="AD281" s="11">
        <v>0</v>
      </c>
      <c r="AE281" s="11">
        <v>0.1348</v>
      </c>
      <c r="AF281" s="11">
        <v>8.0000000000000004E-4</v>
      </c>
      <c r="AG281" s="11">
        <v>0.88849999999999996</v>
      </c>
      <c r="AH281" s="11">
        <v>9.1600000000000001E-2</v>
      </c>
      <c r="AI281" s="11">
        <v>7.8966000000000003</v>
      </c>
      <c r="AJ281" s="11">
        <v>3.5855000000000001</v>
      </c>
      <c r="AK281" s="11">
        <v>0</v>
      </c>
      <c r="AL281" s="11">
        <v>16.016999999999999</v>
      </c>
      <c r="AM281" s="11">
        <f t="shared" si="72"/>
        <v>8.0313999999999997</v>
      </c>
      <c r="AN281" s="33">
        <f t="shared" si="73"/>
        <v>7.6158192090395476</v>
      </c>
    </row>
    <row r="282" spans="1:40" s="32" customFormat="1" x14ac:dyDescent="0.25">
      <c r="A282" s="11" t="s">
        <v>227</v>
      </c>
      <c r="B282" s="11">
        <v>0.156</v>
      </c>
      <c r="C282" s="11">
        <v>0</v>
      </c>
      <c r="D282" s="11">
        <v>25.762</v>
      </c>
      <c r="E282" s="11">
        <v>6.5000000000000002E-2</v>
      </c>
      <c r="F282" s="11">
        <v>5.0999999999999997E-2</v>
      </c>
      <c r="G282" s="11">
        <v>0</v>
      </c>
      <c r="H282" s="11">
        <v>0.53300000000000003</v>
      </c>
      <c r="I282" s="11">
        <v>0</v>
      </c>
      <c r="J282" s="11">
        <v>5.0679999999999996</v>
      </c>
      <c r="K282" s="11">
        <v>0.752</v>
      </c>
      <c r="L282" s="11">
        <v>51.228000000000002</v>
      </c>
      <c r="M282" s="11">
        <v>15.476000000000001</v>
      </c>
      <c r="N282" s="11">
        <v>0</v>
      </c>
      <c r="O282" s="11">
        <v>99.090999999999994</v>
      </c>
      <c r="P282" s="11"/>
      <c r="Q282" s="33">
        <f t="shared" si="65"/>
        <v>0.35857749321455912</v>
      </c>
      <c r="R282" s="33">
        <f t="shared" si="66"/>
        <v>0.38397221188438163</v>
      </c>
      <c r="S282" s="33">
        <f t="shared" si="67"/>
        <v>9.0374121758978548E-2</v>
      </c>
      <c r="T282" s="33">
        <f t="shared" si="68"/>
        <v>51.709967595128113</v>
      </c>
      <c r="U282" s="33">
        <f t="shared" si="69"/>
        <v>43.050454513618511</v>
      </c>
      <c r="V282" s="33">
        <f t="shared" si="70"/>
        <v>10.850226496689551</v>
      </c>
      <c r="W282" s="33">
        <f t="shared" si="71"/>
        <v>46.099318989691945</v>
      </c>
      <c r="X282" s="33"/>
      <c r="Y282" s="11">
        <v>1.83E-2</v>
      </c>
      <c r="Z282" s="11">
        <v>0</v>
      </c>
      <c r="AA282" s="11">
        <v>3.3481000000000001</v>
      </c>
      <c r="AB282" s="11">
        <v>8.0000000000000002E-3</v>
      </c>
      <c r="AC282" s="11">
        <v>1.55E-2</v>
      </c>
      <c r="AD282" s="11">
        <v>0</v>
      </c>
      <c r="AE282" s="11">
        <v>9.7600000000000006E-2</v>
      </c>
      <c r="AF282" s="11">
        <v>0</v>
      </c>
      <c r="AG282" s="11">
        <v>0.84379999999999999</v>
      </c>
      <c r="AH282" s="11">
        <v>9.8900000000000002E-2</v>
      </c>
      <c r="AI282" s="11">
        <v>7.9607000000000001</v>
      </c>
      <c r="AJ282" s="11">
        <v>3.5851000000000002</v>
      </c>
      <c r="AK282" s="11">
        <v>0</v>
      </c>
      <c r="AL282" s="11">
        <v>15.976000000000001</v>
      </c>
      <c r="AM282" s="11">
        <f t="shared" si="72"/>
        <v>8.0583000000000009</v>
      </c>
      <c r="AN282" s="33">
        <f t="shared" si="73"/>
        <v>5.3333333333333339</v>
      </c>
    </row>
    <row r="283" spans="1:40" s="32" customFormat="1" x14ac:dyDescent="0.25">
      <c r="A283" s="11" t="s">
        <v>49</v>
      </c>
      <c r="B283" s="11">
        <v>0.14000000000000001</v>
      </c>
      <c r="C283" s="11">
        <v>0</v>
      </c>
      <c r="D283" s="11">
        <v>25.734000000000002</v>
      </c>
      <c r="E283" s="11">
        <v>0.09</v>
      </c>
      <c r="F283" s="11">
        <v>4.5999999999999999E-2</v>
      </c>
      <c r="G283" s="11">
        <v>0.01</v>
      </c>
      <c r="H283" s="11">
        <v>0.47799999999999998</v>
      </c>
      <c r="I283" s="11">
        <v>3.0000000000000001E-3</v>
      </c>
      <c r="J283" s="11">
        <v>5.2779999999999996</v>
      </c>
      <c r="K283" s="11">
        <v>0.65500000000000003</v>
      </c>
      <c r="L283" s="11">
        <v>50.768999999999998</v>
      </c>
      <c r="M283" s="11">
        <v>15.191000000000001</v>
      </c>
      <c r="N283" s="11">
        <v>0.40500000000000003</v>
      </c>
      <c r="O283" s="11">
        <v>98.799000000000007</v>
      </c>
      <c r="P283" s="11"/>
      <c r="Q283" s="33">
        <f t="shared" si="65"/>
        <v>0.35818776532813701</v>
      </c>
      <c r="R283" s="33">
        <f t="shared" si="66"/>
        <v>0.37690112889219701</v>
      </c>
      <c r="S283" s="33">
        <f t="shared" si="67"/>
        <v>9.4118905809764952E-2</v>
      </c>
      <c r="T283" s="33">
        <f t="shared" si="68"/>
        <v>51.272863983607607</v>
      </c>
      <c r="U283" s="33">
        <f t="shared" si="69"/>
        <v>43.196381572283258</v>
      </c>
      <c r="V283" s="33">
        <f t="shared" si="70"/>
        <v>11.350460741728261</v>
      </c>
      <c r="W283" s="33">
        <f t="shared" si="71"/>
        <v>45.453157685988501</v>
      </c>
      <c r="X283" s="33"/>
      <c r="Y283" s="11">
        <v>1.6500000000000001E-2</v>
      </c>
      <c r="Z283" s="11">
        <v>0</v>
      </c>
      <c r="AA283" s="11">
        <v>3.3656000000000001</v>
      </c>
      <c r="AB283" s="11">
        <v>1.11E-2</v>
      </c>
      <c r="AC283" s="11">
        <v>1.4E-2</v>
      </c>
      <c r="AD283" s="11">
        <v>1.4E-3</v>
      </c>
      <c r="AE283" s="11">
        <v>8.8200000000000001E-2</v>
      </c>
      <c r="AF283" s="11">
        <v>5.9999999999999995E-4</v>
      </c>
      <c r="AG283" s="11">
        <v>0.88439999999999996</v>
      </c>
      <c r="AH283" s="11">
        <v>8.6699999999999999E-2</v>
      </c>
      <c r="AI283" s="11">
        <v>7.9394</v>
      </c>
      <c r="AJ283" s="11">
        <v>3.5411999999999999</v>
      </c>
      <c r="AK283" s="11">
        <v>5.0799999999999998E-2</v>
      </c>
      <c r="AL283" s="11">
        <v>15.9999</v>
      </c>
      <c r="AM283" s="11">
        <f t="shared" si="72"/>
        <v>8.0275999999999996</v>
      </c>
      <c r="AN283" s="33">
        <f t="shared" si="73"/>
        <v>5.3454545454545457</v>
      </c>
    </row>
    <row r="284" spans="1:40" s="32" customFormat="1" x14ac:dyDescent="0.25">
      <c r="A284" s="11" t="s">
        <v>131</v>
      </c>
      <c r="B284" s="11">
        <v>0.22700000000000001</v>
      </c>
      <c r="C284" s="11">
        <v>4.3999999999999997E-2</v>
      </c>
      <c r="D284" s="11">
        <v>25.055</v>
      </c>
      <c r="E284" s="11">
        <v>0.184</v>
      </c>
      <c r="F284" s="11">
        <v>9.1999999999999998E-2</v>
      </c>
      <c r="G284" s="11">
        <v>0</v>
      </c>
      <c r="H284" s="11">
        <v>0.72</v>
      </c>
      <c r="I284" s="11">
        <v>8.9999999999999993E-3</v>
      </c>
      <c r="J284" s="11">
        <v>6.3540000000000001</v>
      </c>
      <c r="K284" s="11">
        <v>0.71899999999999997</v>
      </c>
      <c r="L284" s="11">
        <v>50.866999999999997</v>
      </c>
      <c r="M284" s="11">
        <v>14.510999999999999</v>
      </c>
      <c r="N284" s="11">
        <v>0</v>
      </c>
      <c r="O284" s="11">
        <v>98.781999999999996</v>
      </c>
      <c r="P284" s="11"/>
      <c r="Q284" s="33">
        <f t="shared" si="65"/>
        <v>0.34873686408239962</v>
      </c>
      <c r="R284" s="33">
        <f t="shared" si="66"/>
        <v>0.36002977298101974</v>
      </c>
      <c r="S284" s="33">
        <f t="shared" si="67"/>
        <v>0.11330646599379435</v>
      </c>
      <c r="T284" s="33">
        <f t="shared" si="68"/>
        <v>50.79665917581908</v>
      </c>
      <c r="U284" s="33">
        <f t="shared" si="69"/>
        <v>42.421636565590035</v>
      </c>
      <c r="V284" s="33">
        <f t="shared" si="70"/>
        <v>13.783015837936807</v>
      </c>
      <c r="W284" s="33">
        <f t="shared" si="71"/>
        <v>43.795347596473157</v>
      </c>
      <c r="X284" s="33"/>
      <c r="Y284" s="11">
        <v>2.6599999999999999E-2</v>
      </c>
      <c r="Z284" s="11">
        <v>5.5999999999999999E-3</v>
      </c>
      <c r="AA284" s="11">
        <v>3.2719</v>
      </c>
      <c r="AB284" s="11">
        <v>2.2700000000000001E-2</v>
      </c>
      <c r="AC284" s="11">
        <v>2.7900000000000001E-2</v>
      </c>
      <c r="AD284" s="11">
        <v>0</v>
      </c>
      <c r="AE284" s="11">
        <v>0.1326</v>
      </c>
      <c r="AF284" s="11">
        <v>1.6999999999999999E-3</v>
      </c>
      <c r="AG284" s="11">
        <v>1.0630999999999999</v>
      </c>
      <c r="AH284" s="11">
        <v>9.5100000000000004E-2</v>
      </c>
      <c r="AI284" s="11">
        <v>7.9428000000000001</v>
      </c>
      <c r="AJ284" s="11">
        <v>3.3778000000000001</v>
      </c>
      <c r="AK284" s="11">
        <v>0</v>
      </c>
      <c r="AL284" s="11">
        <v>15.9678</v>
      </c>
      <c r="AM284" s="11">
        <f t="shared" si="72"/>
        <v>8.0754000000000001</v>
      </c>
      <c r="AN284" s="33">
        <f t="shared" si="73"/>
        <v>4.9849624060150379</v>
      </c>
    </row>
    <row r="285" spans="1:40" s="32" customFormat="1" x14ac:dyDescent="0.25">
      <c r="A285" s="11" t="s">
        <v>113</v>
      </c>
      <c r="B285" s="11">
        <v>0.184</v>
      </c>
      <c r="C285" s="11">
        <v>2E-3</v>
      </c>
      <c r="D285" s="11">
        <v>27.25</v>
      </c>
      <c r="E285" s="11">
        <v>0.17</v>
      </c>
      <c r="F285" s="11">
        <v>5.6000000000000001E-2</v>
      </c>
      <c r="G285" s="11">
        <v>3.5999999999999997E-2</v>
      </c>
      <c r="H285" s="11">
        <v>0.79600000000000004</v>
      </c>
      <c r="I285" s="11">
        <v>2E-3</v>
      </c>
      <c r="J285" s="11">
        <v>4.7439999999999998</v>
      </c>
      <c r="K285" s="11">
        <v>0.78100000000000003</v>
      </c>
      <c r="L285" s="11">
        <v>50.515000000000001</v>
      </c>
      <c r="M285" s="11">
        <v>15.445</v>
      </c>
      <c r="N285" s="11">
        <v>2.9000000000000001E-2</v>
      </c>
      <c r="O285" s="11">
        <v>100.01</v>
      </c>
      <c r="P285" s="11"/>
      <c r="Q285" s="33">
        <f t="shared" si="65"/>
        <v>0.37928874660727957</v>
      </c>
      <c r="R285" s="33">
        <f t="shared" si="66"/>
        <v>0.38320307654137203</v>
      </c>
      <c r="S285" s="33">
        <f t="shared" si="67"/>
        <v>8.4596454937765242E-2</v>
      </c>
      <c r="T285" s="33">
        <f t="shared" si="68"/>
        <v>50.256680125298168</v>
      </c>
      <c r="U285" s="33">
        <f t="shared" si="69"/>
        <v>44.775586726816435</v>
      </c>
      <c r="V285" s="33">
        <f t="shared" si="70"/>
        <v>9.9867342195868538</v>
      </c>
      <c r="W285" s="33">
        <f t="shared" si="71"/>
        <v>45.237679053596707</v>
      </c>
      <c r="X285" s="33"/>
      <c r="Y285" s="11">
        <v>2.1499999999999998E-2</v>
      </c>
      <c r="Z285" s="11">
        <v>2.9999999999999997E-4</v>
      </c>
      <c r="AA285" s="11">
        <v>3.5371999999999999</v>
      </c>
      <c r="AB285" s="11">
        <v>2.0899999999999998E-2</v>
      </c>
      <c r="AC285" s="11">
        <v>1.7000000000000001E-2</v>
      </c>
      <c r="AD285" s="11">
        <v>4.7999999999999996E-3</v>
      </c>
      <c r="AE285" s="11">
        <v>0.14549999999999999</v>
      </c>
      <c r="AF285" s="11">
        <v>2.9999999999999997E-4</v>
      </c>
      <c r="AG285" s="11">
        <v>0.78890000000000005</v>
      </c>
      <c r="AH285" s="11">
        <v>0.1027</v>
      </c>
      <c r="AI285" s="11">
        <v>7.8403</v>
      </c>
      <c r="AJ285" s="11">
        <v>3.5735000000000001</v>
      </c>
      <c r="AK285" s="11">
        <v>3.7000000000000002E-3</v>
      </c>
      <c r="AL285" s="11">
        <v>16.0566</v>
      </c>
      <c r="AM285" s="11">
        <f t="shared" si="72"/>
        <v>7.9858000000000002</v>
      </c>
      <c r="AN285" s="33">
        <f t="shared" si="73"/>
        <v>6.7674418604651168</v>
      </c>
    </row>
    <row r="286" spans="1:40" s="32" customFormat="1" x14ac:dyDescent="0.25">
      <c r="A286" s="11" t="s">
        <v>660</v>
      </c>
      <c r="B286" s="11">
        <v>0.159</v>
      </c>
      <c r="C286" s="11">
        <v>2.5999999999999999E-2</v>
      </c>
      <c r="D286" s="11">
        <v>26.86</v>
      </c>
      <c r="E286" s="11">
        <v>0.11899999999999999</v>
      </c>
      <c r="F286" s="11">
        <v>3.2000000000000001E-2</v>
      </c>
      <c r="G286" s="11">
        <v>0</v>
      </c>
      <c r="H286" s="11">
        <v>0.625</v>
      </c>
      <c r="I286" s="11">
        <v>0.01</v>
      </c>
      <c r="J286" s="11">
        <v>4.6340000000000003</v>
      </c>
      <c r="K286" s="11">
        <v>0.71899999999999997</v>
      </c>
      <c r="L286" s="11">
        <v>50.286000000000001</v>
      </c>
      <c r="M286" s="11">
        <v>15.081</v>
      </c>
      <c r="N286" s="11">
        <v>0.29199999999999998</v>
      </c>
      <c r="O286" s="11">
        <v>98.843000000000004</v>
      </c>
      <c r="P286" s="11"/>
      <c r="Q286" s="33">
        <f t="shared" si="65"/>
        <v>0.37386039390354237</v>
      </c>
      <c r="R286" s="33">
        <f t="shared" si="66"/>
        <v>0.37417193896538892</v>
      </c>
      <c r="S286" s="33">
        <f t="shared" si="67"/>
        <v>8.2634901387353327E-2</v>
      </c>
      <c r="T286" s="33">
        <f t="shared" si="68"/>
        <v>50.020824304522485</v>
      </c>
      <c r="U286" s="33">
        <f t="shared" si="69"/>
        <v>45.007239780953697</v>
      </c>
      <c r="V286" s="33">
        <f t="shared" si="70"/>
        <v>9.9480150389389372</v>
      </c>
      <c r="W286" s="33">
        <f t="shared" si="71"/>
        <v>45.044745180107363</v>
      </c>
      <c r="X286" s="33"/>
      <c r="Y286" s="11">
        <v>1.8800000000000001E-2</v>
      </c>
      <c r="Z286" s="11">
        <v>3.3E-3</v>
      </c>
      <c r="AA286" s="11">
        <v>3.5266999999999999</v>
      </c>
      <c r="AB286" s="11">
        <v>1.4800000000000001E-2</v>
      </c>
      <c r="AC286" s="11">
        <v>9.9000000000000008E-3</v>
      </c>
      <c r="AD286" s="11">
        <v>0</v>
      </c>
      <c r="AE286" s="11">
        <v>0.1157</v>
      </c>
      <c r="AF286" s="11">
        <v>2E-3</v>
      </c>
      <c r="AG286" s="11">
        <v>0.77959999999999996</v>
      </c>
      <c r="AH286" s="11">
        <v>9.5600000000000004E-2</v>
      </c>
      <c r="AI286" s="11">
        <v>7.8947000000000003</v>
      </c>
      <c r="AJ286" s="11">
        <v>3.5293999999999999</v>
      </c>
      <c r="AK286" s="11">
        <v>3.6700000000000003E-2</v>
      </c>
      <c r="AL286" s="11">
        <v>16.027200000000001</v>
      </c>
      <c r="AM286" s="11">
        <f t="shared" si="72"/>
        <v>8.0104000000000006</v>
      </c>
      <c r="AN286" s="33">
        <f t="shared" si="73"/>
        <v>6.1542553191489358</v>
      </c>
    </row>
    <row r="287" spans="1:40" s="32" customFormat="1" x14ac:dyDescent="0.25">
      <c r="A287" s="11" t="s">
        <v>48</v>
      </c>
      <c r="B287" s="11">
        <v>0.17599999999999999</v>
      </c>
      <c r="C287" s="11">
        <v>0</v>
      </c>
      <c r="D287" s="11">
        <v>27.02</v>
      </c>
      <c r="E287" s="11">
        <v>0.20899999999999999</v>
      </c>
      <c r="F287" s="11">
        <v>5.5E-2</v>
      </c>
      <c r="G287" s="11">
        <v>2E-3</v>
      </c>
      <c r="H287" s="11">
        <v>0.71299999999999997</v>
      </c>
      <c r="I287" s="11">
        <v>7.0000000000000001E-3</v>
      </c>
      <c r="J287" s="11">
        <v>4.1360000000000001</v>
      </c>
      <c r="K287" s="11">
        <v>0.72199999999999998</v>
      </c>
      <c r="L287" s="11">
        <v>50.652999999999999</v>
      </c>
      <c r="M287" s="11">
        <v>15.099</v>
      </c>
      <c r="N287" s="11">
        <v>0.439</v>
      </c>
      <c r="O287" s="11">
        <v>99.230999999999995</v>
      </c>
      <c r="P287" s="11"/>
      <c r="Q287" s="33">
        <f t="shared" si="65"/>
        <v>0.37608741039738325</v>
      </c>
      <c r="R287" s="33">
        <f t="shared" si="66"/>
        <v>0.37461853368068476</v>
      </c>
      <c r="S287" s="33">
        <f t="shared" si="67"/>
        <v>7.3754413495488419E-2</v>
      </c>
      <c r="T287" s="33">
        <f t="shared" si="68"/>
        <v>49.902166971749345</v>
      </c>
      <c r="U287" s="33">
        <f t="shared" si="69"/>
        <v>45.616190874747986</v>
      </c>
      <c r="V287" s="33">
        <f t="shared" si="70"/>
        <v>8.945780451173265</v>
      </c>
      <c r="W287" s="33">
        <f t="shared" si="71"/>
        <v>45.438028674078751</v>
      </c>
      <c r="X287" s="33"/>
      <c r="Y287" s="11">
        <v>2.07E-2</v>
      </c>
      <c r="Z287" s="11">
        <v>0</v>
      </c>
      <c r="AA287" s="11">
        <v>3.53</v>
      </c>
      <c r="AB287" s="11">
        <v>2.58E-2</v>
      </c>
      <c r="AC287" s="11">
        <v>1.67E-2</v>
      </c>
      <c r="AD287" s="11">
        <v>2.9999999999999997E-4</v>
      </c>
      <c r="AE287" s="11">
        <v>0.1313</v>
      </c>
      <c r="AF287" s="11">
        <v>1.4E-3</v>
      </c>
      <c r="AG287" s="11">
        <v>0.69230000000000003</v>
      </c>
      <c r="AH287" s="11">
        <v>9.5500000000000002E-2</v>
      </c>
      <c r="AI287" s="11">
        <v>7.9123999999999999</v>
      </c>
      <c r="AJ287" s="11">
        <v>3.5158999999999998</v>
      </c>
      <c r="AK287" s="11">
        <v>5.4899999999999997E-2</v>
      </c>
      <c r="AL287" s="11">
        <v>15.997199999999999</v>
      </c>
      <c r="AM287" s="11">
        <f t="shared" si="72"/>
        <v>8.0436999999999994</v>
      </c>
      <c r="AN287" s="33">
        <f t="shared" si="73"/>
        <v>6.3429951690821254</v>
      </c>
    </row>
    <row r="288" spans="1:40" s="32" customFormat="1" x14ac:dyDescent="0.25">
      <c r="A288" s="11" t="s">
        <v>37</v>
      </c>
      <c r="B288" s="11">
        <v>0.222</v>
      </c>
      <c r="C288" s="11">
        <v>0</v>
      </c>
      <c r="D288" s="11">
        <v>26.405000000000001</v>
      </c>
      <c r="E288" s="11">
        <v>9.8000000000000004E-2</v>
      </c>
      <c r="F288" s="11">
        <v>6.6000000000000003E-2</v>
      </c>
      <c r="G288" s="11">
        <v>0</v>
      </c>
      <c r="H288" s="11">
        <v>0.77300000000000002</v>
      </c>
      <c r="I288" s="11">
        <v>3.5999999999999997E-2</v>
      </c>
      <c r="J288" s="11">
        <v>5.4029999999999996</v>
      </c>
      <c r="K288" s="11">
        <v>0.78900000000000003</v>
      </c>
      <c r="L288" s="11">
        <v>50.646000000000001</v>
      </c>
      <c r="M288" s="11">
        <v>14.507</v>
      </c>
      <c r="N288" s="11">
        <v>0</v>
      </c>
      <c r="O288" s="11">
        <v>98.944999999999993</v>
      </c>
      <c r="P288" s="11"/>
      <c r="Q288" s="33">
        <f t="shared" si="65"/>
        <v>0.36752731574918229</v>
      </c>
      <c r="R288" s="33">
        <f t="shared" si="66"/>
        <v>0.35993052971095396</v>
      </c>
      <c r="S288" s="33">
        <f t="shared" si="67"/>
        <v>9.6347943935233049E-2</v>
      </c>
      <c r="T288" s="33">
        <f t="shared" si="68"/>
        <v>49.477853865647489</v>
      </c>
      <c r="U288" s="33">
        <f t="shared" si="69"/>
        <v>44.613344611104068</v>
      </c>
      <c r="V288" s="33">
        <f t="shared" si="70"/>
        <v>11.695468176540425</v>
      </c>
      <c r="W288" s="33">
        <f t="shared" si="71"/>
        <v>43.691187212355509</v>
      </c>
      <c r="X288" s="33"/>
      <c r="Y288" s="11">
        <v>2.6100000000000002E-2</v>
      </c>
      <c r="Z288" s="11">
        <v>0</v>
      </c>
      <c r="AA288" s="11">
        <v>3.4559000000000002</v>
      </c>
      <c r="AB288" s="11">
        <v>1.21E-2</v>
      </c>
      <c r="AC288" s="11">
        <v>0.02</v>
      </c>
      <c r="AD288" s="11">
        <v>0</v>
      </c>
      <c r="AE288" s="11">
        <v>0.14269999999999999</v>
      </c>
      <c r="AF288" s="11">
        <v>7.1000000000000004E-3</v>
      </c>
      <c r="AG288" s="11">
        <v>0.90600000000000003</v>
      </c>
      <c r="AH288" s="11">
        <v>0.1046</v>
      </c>
      <c r="AI288" s="11">
        <v>7.9257</v>
      </c>
      <c r="AJ288" s="11">
        <v>3.3841999999999999</v>
      </c>
      <c r="AK288" s="11">
        <v>0</v>
      </c>
      <c r="AL288" s="11">
        <v>15.984400000000001</v>
      </c>
      <c r="AM288" s="11">
        <f t="shared" si="72"/>
        <v>8.0684000000000005</v>
      </c>
      <c r="AN288" s="33">
        <f t="shared" si="73"/>
        <v>5.4674329501915704</v>
      </c>
    </row>
    <row r="289" spans="1:40" s="32" customFormat="1" x14ac:dyDescent="0.25">
      <c r="A289" s="11" t="s">
        <v>233</v>
      </c>
      <c r="B289" s="11">
        <v>0.222</v>
      </c>
      <c r="C289" s="11">
        <v>1.9E-2</v>
      </c>
      <c r="D289" s="11">
        <v>26.062999999999999</v>
      </c>
      <c r="E289" s="11">
        <v>0.183</v>
      </c>
      <c r="F289" s="11">
        <v>9.1999999999999998E-2</v>
      </c>
      <c r="G289" s="11">
        <v>0.106</v>
      </c>
      <c r="H289" s="11">
        <v>0.72599999999999998</v>
      </c>
      <c r="I289" s="11">
        <v>4.0000000000000001E-3</v>
      </c>
      <c r="J289" s="11">
        <v>6.7210000000000001</v>
      </c>
      <c r="K289" s="11">
        <v>0.746</v>
      </c>
      <c r="L289" s="11">
        <v>50.668999999999997</v>
      </c>
      <c r="M289" s="11">
        <v>14.169</v>
      </c>
      <c r="N289" s="11">
        <v>5.8000000000000003E-2</v>
      </c>
      <c r="O289" s="11">
        <v>99.778000000000006</v>
      </c>
      <c r="P289" s="11"/>
      <c r="Q289" s="33">
        <f t="shared" si="65"/>
        <v>0.36276706799359731</v>
      </c>
      <c r="R289" s="33">
        <f t="shared" si="66"/>
        <v>0.35154447339039824</v>
      </c>
      <c r="S289" s="33">
        <f t="shared" si="67"/>
        <v>0.11985092193016869</v>
      </c>
      <c r="T289" s="33">
        <f t="shared" si="68"/>
        <v>49.214446781760309</v>
      </c>
      <c r="U289" s="33">
        <f t="shared" si="69"/>
        <v>43.48877873889311</v>
      </c>
      <c r="V289" s="33">
        <f t="shared" si="70"/>
        <v>14.367815287923133</v>
      </c>
      <c r="W289" s="33">
        <f t="shared" si="71"/>
        <v>42.143405973183754</v>
      </c>
      <c r="X289" s="33"/>
      <c r="Y289" s="11">
        <v>2.5899999999999999E-2</v>
      </c>
      <c r="Z289" s="11">
        <v>2.3999999999999998E-3</v>
      </c>
      <c r="AA289" s="11">
        <v>3.3902999999999999</v>
      </c>
      <c r="AB289" s="11">
        <v>2.2499999999999999E-2</v>
      </c>
      <c r="AC289" s="11">
        <v>2.7900000000000001E-2</v>
      </c>
      <c r="AD289" s="11">
        <v>1.4E-2</v>
      </c>
      <c r="AE289" s="11">
        <v>0.13320000000000001</v>
      </c>
      <c r="AF289" s="11">
        <v>8.0000000000000004E-4</v>
      </c>
      <c r="AG289" s="11">
        <v>1.1201000000000001</v>
      </c>
      <c r="AH289" s="11">
        <v>9.8299999999999998E-2</v>
      </c>
      <c r="AI289" s="11">
        <v>7.8810000000000002</v>
      </c>
      <c r="AJ289" s="11">
        <v>3.2852999999999999</v>
      </c>
      <c r="AK289" s="11">
        <v>7.3000000000000001E-3</v>
      </c>
      <c r="AL289" s="11">
        <v>16.009</v>
      </c>
      <c r="AM289" s="11">
        <f t="shared" si="72"/>
        <v>8.0142000000000007</v>
      </c>
      <c r="AN289" s="33">
        <f t="shared" si="73"/>
        <v>5.1428571428571432</v>
      </c>
    </row>
    <row r="290" spans="1:40" s="32" customFormat="1" x14ac:dyDescent="0.25">
      <c r="A290" s="11" t="s">
        <v>114</v>
      </c>
      <c r="B290" s="11">
        <v>0.19900000000000001</v>
      </c>
      <c r="C290" s="11">
        <v>0</v>
      </c>
      <c r="D290" s="11">
        <v>26.646999999999998</v>
      </c>
      <c r="E290" s="11">
        <v>0.13300000000000001</v>
      </c>
      <c r="F290" s="11">
        <v>4.5999999999999999E-2</v>
      </c>
      <c r="G290" s="11">
        <v>2.1000000000000001E-2</v>
      </c>
      <c r="H290" s="11">
        <v>0.77</v>
      </c>
      <c r="I290" s="11">
        <v>8.0000000000000002E-3</v>
      </c>
      <c r="J290" s="11">
        <v>5.7359999999999998</v>
      </c>
      <c r="K290" s="11">
        <v>0.72</v>
      </c>
      <c r="L290" s="11">
        <v>50.567999999999998</v>
      </c>
      <c r="M290" s="11">
        <v>14.348000000000001</v>
      </c>
      <c r="N290" s="11">
        <v>0.35</v>
      </c>
      <c r="O290" s="11">
        <v>99.546000000000006</v>
      </c>
      <c r="P290" s="11"/>
      <c r="Q290" s="33">
        <f t="shared" si="65"/>
        <v>0.37089567819611663</v>
      </c>
      <c r="R290" s="33">
        <f t="shared" si="66"/>
        <v>0.35598560972584048</v>
      </c>
      <c r="S290" s="33">
        <f t="shared" si="67"/>
        <v>0.10228610150148007</v>
      </c>
      <c r="T290" s="33">
        <f t="shared" si="68"/>
        <v>48.974380774548365</v>
      </c>
      <c r="U290" s="33">
        <f t="shared" si="69"/>
        <v>44.73109807828061</v>
      </c>
      <c r="V290" s="33">
        <f t="shared" si="70"/>
        <v>12.336001488505822</v>
      </c>
      <c r="W290" s="33">
        <f t="shared" si="71"/>
        <v>42.932900433213568</v>
      </c>
      <c r="X290" s="33"/>
      <c r="Y290" s="11">
        <v>2.3400000000000001E-2</v>
      </c>
      <c r="Z290" s="11">
        <v>0</v>
      </c>
      <c r="AA290" s="11">
        <v>3.4784999999999999</v>
      </c>
      <c r="AB290" s="11">
        <v>1.6400000000000001E-2</v>
      </c>
      <c r="AC290" s="11">
        <v>1.4E-2</v>
      </c>
      <c r="AD290" s="11">
        <v>2.7000000000000001E-3</v>
      </c>
      <c r="AE290" s="11">
        <v>0.1416</v>
      </c>
      <c r="AF290" s="11">
        <v>1.5E-3</v>
      </c>
      <c r="AG290" s="11">
        <v>0.95940000000000003</v>
      </c>
      <c r="AH290" s="11">
        <v>9.5200000000000007E-2</v>
      </c>
      <c r="AI290" s="11">
        <v>7.8929999999999998</v>
      </c>
      <c r="AJ290" s="11">
        <v>3.3386</v>
      </c>
      <c r="AK290" s="11">
        <v>4.3799999999999999E-2</v>
      </c>
      <c r="AL290" s="11">
        <v>16.008099999999999</v>
      </c>
      <c r="AM290" s="11">
        <f t="shared" si="72"/>
        <v>8.0345999999999993</v>
      </c>
      <c r="AN290" s="33">
        <f t="shared" si="73"/>
        <v>6.0512820512820511</v>
      </c>
    </row>
    <row r="291" spans="1:40" s="32" customFormat="1" x14ac:dyDescent="0.25">
      <c r="A291" s="11" t="s">
        <v>252</v>
      </c>
      <c r="B291" s="11">
        <v>0.20399999999999999</v>
      </c>
      <c r="C291" s="11">
        <v>0</v>
      </c>
      <c r="D291" s="11">
        <v>27.670999999999999</v>
      </c>
      <c r="E291" s="11">
        <v>0.112</v>
      </c>
      <c r="F291" s="11">
        <v>4.9000000000000002E-2</v>
      </c>
      <c r="G291" s="11">
        <v>0</v>
      </c>
      <c r="H291" s="11">
        <v>0.67</v>
      </c>
      <c r="I291" s="11">
        <v>1.6E-2</v>
      </c>
      <c r="J291" s="11">
        <v>4.492</v>
      </c>
      <c r="K291" s="11">
        <v>0.78200000000000003</v>
      </c>
      <c r="L291" s="11">
        <v>50.573999999999998</v>
      </c>
      <c r="M291" s="11">
        <v>14.614000000000001</v>
      </c>
      <c r="N291" s="11">
        <v>0.14699999999999999</v>
      </c>
      <c r="O291" s="11">
        <v>99.331000000000003</v>
      </c>
      <c r="P291" s="11"/>
      <c r="Q291" s="33">
        <f t="shared" si="65"/>
        <v>0.38514858375669847</v>
      </c>
      <c r="R291" s="33">
        <f t="shared" si="66"/>
        <v>0.36258528718521277</v>
      </c>
      <c r="S291" s="33">
        <f t="shared" si="67"/>
        <v>8.0102714076821568E-2</v>
      </c>
      <c r="T291" s="33">
        <f t="shared" si="68"/>
        <v>48.491221446003038</v>
      </c>
      <c r="U291" s="33">
        <f t="shared" si="69"/>
        <v>46.524711606939078</v>
      </c>
      <c r="V291" s="33">
        <f t="shared" si="70"/>
        <v>9.6761505261342062</v>
      </c>
      <c r="W291" s="33">
        <f t="shared" si="71"/>
        <v>43.799137866926714</v>
      </c>
      <c r="X291" s="33"/>
      <c r="Y291" s="11">
        <v>2.41E-2</v>
      </c>
      <c r="Z291" s="11">
        <v>0</v>
      </c>
      <c r="AA291" s="11">
        <v>3.6217999999999999</v>
      </c>
      <c r="AB291" s="11">
        <v>1.38E-2</v>
      </c>
      <c r="AC291" s="11">
        <v>1.4999999999999999E-2</v>
      </c>
      <c r="AD291" s="11">
        <v>0</v>
      </c>
      <c r="AE291" s="11">
        <v>0.1236</v>
      </c>
      <c r="AF291" s="11">
        <v>3.0999999999999999E-3</v>
      </c>
      <c r="AG291" s="11">
        <v>0.75329999999999997</v>
      </c>
      <c r="AH291" s="11">
        <v>0.1036</v>
      </c>
      <c r="AI291" s="11">
        <v>7.9150999999999998</v>
      </c>
      <c r="AJ291" s="11">
        <v>3.4094000000000002</v>
      </c>
      <c r="AK291" s="11">
        <v>1.84E-2</v>
      </c>
      <c r="AL291" s="11">
        <v>16.001200000000001</v>
      </c>
      <c r="AM291" s="11">
        <f t="shared" si="72"/>
        <v>8.0387000000000004</v>
      </c>
      <c r="AN291" s="33">
        <f t="shared" si="73"/>
        <v>5.1286307053941913</v>
      </c>
    </row>
    <row r="292" spans="1:40" s="32" customFormat="1" x14ac:dyDescent="0.25">
      <c r="A292" s="11" t="s">
        <v>266</v>
      </c>
      <c r="B292" s="11">
        <v>0.222</v>
      </c>
      <c r="C292" s="11">
        <v>4.0000000000000001E-3</v>
      </c>
      <c r="D292" s="11">
        <v>27.643999999999998</v>
      </c>
      <c r="E292" s="11">
        <v>0.112</v>
      </c>
      <c r="F292" s="11">
        <v>7.2999999999999995E-2</v>
      </c>
      <c r="G292" s="11">
        <v>0</v>
      </c>
      <c r="H292" s="11">
        <v>0.61299999999999999</v>
      </c>
      <c r="I292" s="11">
        <v>1.0999999999999999E-2</v>
      </c>
      <c r="J292" s="11">
        <v>5.3360000000000003</v>
      </c>
      <c r="K292" s="11">
        <v>0.76800000000000002</v>
      </c>
      <c r="L292" s="11">
        <v>50.173000000000002</v>
      </c>
      <c r="M292" s="11">
        <v>14.323</v>
      </c>
      <c r="N292" s="11">
        <v>0</v>
      </c>
      <c r="O292" s="11">
        <v>99.278999999999996</v>
      </c>
      <c r="P292" s="11"/>
      <c r="Q292" s="33">
        <f t="shared" si="65"/>
        <v>0.3847727747233628</v>
      </c>
      <c r="R292" s="33">
        <f t="shared" si="66"/>
        <v>0.35536533928792957</v>
      </c>
      <c r="S292" s="33">
        <f t="shared" si="67"/>
        <v>9.5153179499982171E-2</v>
      </c>
      <c r="T292" s="33">
        <f t="shared" si="68"/>
        <v>48.013381902733322</v>
      </c>
      <c r="U292" s="33">
        <f t="shared" si="69"/>
        <v>46.064502014131101</v>
      </c>
      <c r="V292" s="33">
        <f t="shared" si="70"/>
        <v>11.391616342604415</v>
      </c>
      <c r="W292" s="33">
        <f t="shared" si="71"/>
        <v>42.543881643264484</v>
      </c>
      <c r="X292" s="33"/>
      <c r="Y292" s="11">
        <v>2.63E-2</v>
      </c>
      <c r="Z292" s="11">
        <v>5.0000000000000001E-4</v>
      </c>
      <c r="AA292" s="11">
        <v>3.6309</v>
      </c>
      <c r="AB292" s="11">
        <v>1.3899999999999999E-2</v>
      </c>
      <c r="AC292" s="11">
        <v>2.24E-2</v>
      </c>
      <c r="AD292" s="11">
        <v>0</v>
      </c>
      <c r="AE292" s="11">
        <v>0.11360000000000001</v>
      </c>
      <c r="AF292" s="11">
        <v>2.2000000000000001E-3</v>
      </c>
      <c r="AG292" s="11">
        <v>0.89800000000000002</v>
      </c>
      <c r="AH292" s="11">
        <v>0.1022</v>
      </c>
      <c r="AI292" s="11">
        <v>7.8795999999999999</v>
      </c>
      <c r="AJ292" s="11">
        <v>3.3532999999999999</v>
      </c>
      <c r="AK292" s="11">
        <v>0</v>
      </c>
      <c r="AL292" s="11">
        <v>16.042899999999999</v>
      </c>
      <c r="AM292" s="11">
        <f t="shared" si="72"/>
        <v>7.9931999999999999</v>
      </c>
      <c r="AN292" s="33">
        <f t="shared" si="73"/>
        <v>4.3193916349809891</v>
      </c>
    </row>
    <row r="293" spans="1:40" s="32" customFormat="1" x14ac:dyDescent="0.25">
      <c r="A293" s="11" t="s">
        <v>203</v>
      </c>
      <c r="B293" s="11">
        <v>0.224</v>
      </c>
      <c r="C293" s="11">
        <v>5.6000000000000001E-2</v>
      </c>
      <c r="D293" s="11">
        <v>27.074000000000002</v>
      </c>
      <c r="E293" s="11">
        <v>0.13</v>
      </c>
      <c r="F293" s="11">
        <v>8.8999999999999996E-2</v>
      </c>
      <c r="G293" s="11">
        <v>0</v>
      </c>
      <c r="H293" s="11">
        <v>0.58399999999999996</v>
      </c>
      <c r="I293" s="11">
        <v>0</v>
      </c>
      <c r="J293" s="11">
        <v>6.274</v>
      </c>
      <c r="K293" s="11">
        <v>0.70599999999999996</v>
      </c>
      <c r="L293" s="11">
        <v>50.375999999999998</v>
      </c>
      <c r="M293" s="11">
        <v>13.884</v>
      </c>
      <c r="N293" s="11">
        <v>0</v>
      </c>
      <c r="O293" s="11">
        <v>99.397000000000006</v>
      </c>
      <c r="P293" s="11"/>
      <c r="Q293" s="33">
        <f t="shared" si="65"/>
        <v>0.37683902846405459</v>
      </c>
      <c r="R293" s="33">
        <f t="shared" si="66"/>
        <v>0.34447339039821362</v>
      </c>
      <c r="S293" s="33">
        <f t="shared" si="67"/>
        <v>0.11187988159349477</v>
      </c>
      <c r="T293" s="33">
        <f t="shared" si="68"/>
        <v>47.75647575034882</v>
      </c>
      <c r="U293" s="33">
        <f t="shared" si="69"/>
        <v>45.228337834845647</v>
      </c>
      <c r="V293" s="33">
        <f t="shared" si="70"/>
        <v>13.427858314616634</v>
      </c>
      <c r="W293" s="33">
        <f t="shared" si="71"/>
        <v>41.343803850537739</v>
      </c>
      <c r="X293" s="33"/>
      <c r="Y293" s="11">
        <v>2.64E-2</v>
      </c>
      <c r="Z293" s="11">
        <v>7.1000000000000004E-3</v>
      </c>
      <c r="AA293" s="11">
        <v>3.5501999999999998</v>
      </c>
      <c r="AB293" s="11">
        <v>1.61E-2</v>
      </c>
      <c r="AC293" s="11">
        <v>2.7099999999999999E-2</v>
      </c>
      <c r="AD293" s="11">
        <v>0</v>
      </c>
      <c r="AE293" s="11">
        <v>0.1079</v>
      </c>
      <c r="AF293" s="11">
        <v>0</v>
      </c>
      <c r="AG293" s="11">
        <v>1.0541</v>
      </c>
      <c r="AH293" s="11">
        <v>9.3799999999999994E-2</v>
      </c>
      <c r="AI293" s="11">
        <v>7.8986999999999998</v>
      </c>
      <c r="AJ293" s="11">
        <v>3.2450999999999999</v>
      </c>
      <c r="AK293" s="11">
        <v>0</v>
      </c>
      <c r="AL293" s="11">
        <v>16.026499999999999</v>
      </c>
      <c r="AM293" s="11">
        <f t="shared" si="72"/>
        <v>8.0066000000000006</v>
      </c>
      <c r="AN293" s="33">
        <f t="shared" si="73"/>
        <v>4.0871212121212119</v>
      </c>
    </row>
    <row r="294" spans="1:40" s="32" customFormat="1" x14ac:dyDescent="0.25">
      <c r="A294" s="11" t="s">
        <v>127</v>
      </c>
      <c r="B294" s="11">
        <v>0.27300000000000002</v>
      </c>
      <c r="C294" s="11">
        <v>4.0000000000000001E-3</v>
      </c>
      <c r="D294" s="11">
        <v>27.128</v>
      </c>
      <c r="E294" s="11">
        <v>0.186</v>
      </c>
      <c r="F294" s="11">
        <v>6.6000000000000003E-2</v>
      </c>
      <c r="G294" s="11">
        <v>0</v>
      </c>
      <c r="H294" s="11">
        <v>0.71199999999999997</v>
      </c>
      <c r="I294" s="11">
        <v>3.0000000000000001E-3</v>
      </c>
      <c r="J294" s="11">
        <v>6.1029999999999998</v>
      </c>
      <c r="K294" s="11">
        <v>0.69599999999999995</v>
      </c>
      <c r="L294" s="11">
        <v>50.438000000000002</v>
      </c>
      <c r="M294" s="11">
        <v>13.827999999999999</v>
      </c>
      <c r="N294" s="11">
        <v>0.23499999999999999</v>
      </c>
      <c r="O294" s="11">
        <v>99.671999999999997</v>
      </c>
      <c r="P294" s="11"/>
      <c r="Q294" s="33">
        <f t="shared" si="65"/>
        <v>0.37759064653072588</v>
      </c>
      <c r="R294" s="33">
        <f t="shared" si="66"/>
        <v>0.34308398461729311</v>
      </c>
      <c r="S294" s="33">
        <f t="shared" si="67"/>
        <v>0.10883055743785441</v>
      </c>
      <c r="T294" s="33">
        <f t="shared" si="68"/>
        <v>47.605947231799711</v>
      </c>
      <c r="U294" s="33">
        <f t="shared" si="69"/>
        <v>45.519986098512064</v>
      </c>
      <c r="V294" s="33">
        <f t="shared" si="70"/>
        <v>13.119936913642086</v>
      </c>
      <c r="W294" s="33">
        <f t="shared" si="71"/>
        <v>41.360076987845844</v>
      </c>
      <c r="X294" s="33"/>
      <c r="Y294" s="11">
        <v>3.2099999999999997E-2</v>
      </c>
      <c r="Z294" s="11">
        <v>4.0000000000000002E-4</v>
      </c>
      <c r="AA294" s="11">
        <v>3.5484</v>
      </c>
      <c r="AB294" s="11">
        <v>2.29E-2</v>
      </c>
      <c r="AC294" s="11">
        <v>2.01E-2</v>
      </c>
      <c r="AD294" s="11">
        <v>0</v>
      </c>
      <c r="AE294" s="11">
        <v>0.1313</v>
      </c>
      <c r="AF294" s="11">
        <v>6.9999999999999999E-4</v>
      </c>
      <c r="AG294" s="11">
        <v>1.0227999999999999</v>
      </c>
      <c r="AH294" s="11">
        <v>9.2200000000000004E-2</v>
      </c>
      <c r="AI294" s="11">
        <v>7.8884999999999996</v>
      </c>
      <c r="AJ294" s="11">
        <v>3.2239</v>
      </c>
      <c r="AK294" s="11">
        <v>2.9399999999999999E-2</v>
      </c>
      <c r="AL294" s="11">
        <v>16.012699999999999</v>
      </c>
      <c r="AM294" s="11">
        <f t="shared" si="72"/>
        <v>8.0198</v>
      </c>
      <c r="AN294" s="33">
        <f t="shared" si="73"/>
        <v>4.0903426791277262</v>
      </c>
    </row>
    <row r="295" spans="1:40" s="32" customFormat="1" x14ac:dyDescent="0.25">
      <c r="A295" s="11" t="s">
        <v>128</v>
      </c>
      <c r="B295" s="32">
        <v>0.16600000000000001</v>
      </c>
      <c r="C295" s="32">
        <v>0</v>
      </c>
      <c r="D295" s="32">
        <v>27.798999999999999</v>
      </c>
      <c r="E295" s="32">
        <v>0.20499999999999999</v>
      </c>
      <c r="F295" s="32">
        <v>5.1999999999999998E-2</v>
      </c>
      <c r="G295" s="32">
        <v>0</v>
      </c>
      <c r="H295" s="32">
        <v>0.73099999999999998</v>
      </c>
      <c r="I295" s="32">
        <v>1.2999999999999999E-2</v>
      </c>
      <c r="J295" s="32">
        <v>5.2649999999999997</v>
      </c>
      <c r="K295" s="32">
        <v>0.72599999999999998</v>
      </c>
      <c r="L295" s="32">
        <v>50.591000000000001</v>
      </c>
      <c r="M295" s="32">
        <v>13.925000000000001</v>
      </c>
      <c r="N295" s="32">
        <v>0.23599999999999999</v>
      </c>
      <c r="O295" s="32">
        <v>99.709000000000003</v>
      </c>
      <c r="Q295" s="34">
        <f t="shared" si="65"/>
        <v>0.38693019695177117</v>
      </c>
      <c r="R295" s="34">
        <f t="shared" si="66"/>
        <v>0.34549063391638757</v>
      </c>
      <c r="S295" s="34">
        <f t="shared" si="67"/>
        <v>9.3887085844716278E-2</v>
      </c>
      <c r="T295" s="34">
        <f t="shared" si="68"/>
        <v>47.171055130541262</v>
      </c>
      <c r="U295" s="34">
        <f t="shared" si="69"/>
        <v>46.826393542375008</v>
      </c>
      <c r="V295" s="34">
        <f t="shared" si="70"/>
        <v>11.362239662208163</v>
      </c>
      <c r="W295" s="34">
        <f t="shared" si="71"/>
        <v>41.811366795416824</v>
      </c>
      <c r="X295" s="34"/>
      <c r="Y295" s="32">
        <v>1.95E-2</v>
      </c>
      <c r="Z295" s="32">
        <v>0</v>
      </c>
      <c r="AA295" s="32">
        <v>3.6355</v>
      </c>
      <c r="AB295" s="32">
        <v>2.53E-2</v>
      </c>
      <c r="AC295" s="32">
        <v>1.5900000000000001E-2</v>
      </c>
      <c r="AD295" s="32">
        <v>0</v>
      </c>
      <c r="AE295" s="32">
        <v>0.1348</v>
      </c>
      <c r="AF295" s="32">
        <v>2.7000000000000001E-3</v>
      </c>
      <c r="AG295" s="32">
        <v>0.88219999999999998</v>
      </c>
      <c r="AH295" s="32">
        <v>9.6100000000000005E-2</v>
      </c>
      <c r="AI295" s="32">
        <v>7.9109999999999996</v>
      </c>
      <c r="AJ295" s="32">
        <v>3.246</v>
      </c>
      <c r="AK295" s="32">
        <v>2.9600000000000001E-2</v>
      </c>
      <c r="AL295" s="32">
        <v>15.9986</v>
      </c>
      <c r="AM295" s="11">
        <f t="shared" si="72"/>
        <v>8.0457999999999998</v>
      </c>
      <c r="AN295" s="34">
        <f t="shared" si="73"/>
        <v>6.9128205128205131</v>
      </c>
    </row>
    <row r="296" spans="1:40" s="32" customFormat="1" x14ac:dyDescent="0.25">
      <c r="A296" s="11" t="s">
        <v>162</v>
      </c>
      <c r="B296" s="11">
        <v>0.23200000000000001</v>
      </c>
      <c r="C296" s="11">
        <v>1.7999999999999999E-2</v>
      </c>
      <c r="D296" s="11">
        <v>27.786999999999999</v>
      </c>
      <c r="E296" s="11">
        <v>0.11700000000000001</v>
      </c>
      <c r="F296" s="11">
        <v>7.6999999999999999E-2</v>
      </c>
      <c r="G296" s="11">
        <v>0</v>
      </c>
      <c r="H296" s="11">
        <v>0.57299999999999995</v>
      </c>
      <c r="I296" s="11">
        <v>0</v>
      </c>
      <c r="J296" s="11">
        <v>5.6020000000000003</v>
      </c>
      <c r="K296" s="11">
        <v>0.70899999999999996</v>
      </c>
      <c r="L296" s="11">
        <v>49.923000000000002</v>
      </c>
      <c r="M296" s="11">
        <v>13.881</v>
      </c>
      <c r="N296" s="11">
        <v>0.64900000000000002</v>
      </c>
      <c r="O296" s="11">
        <v>99.567999999999998</v>
      </c>
      <c r="P296" s="11"/>
      <c r="Q296" s="33">
        <f t="shared" si="65"/>
        <v>0.3867631707147331</v>
      </c>
      <c r="R296" s="33">
        <f t="shared" si="66"/>
        <v>0.34439895794566433</v>
      </c>
      <c r="S296" s="33">
        <f t="shared" si="67"/>
        <v>9.9896572630978286E-2</v>
      </c>
      <c r="T296" s="33">
        <f t="shared" si="68"/>
        <v>47.102953564711662</v>
      </c>
      <c r="U296" s="33">
        <f t="shared" si="69"/>
        <v>46.538610342896931</v>
      </c>
      <c r="V296" s="33">
        <f t="shared" si="70"/>
        <v>12.020399097650957</v>
      </c>
      <c r="W296" s="33">
        <f t="shared" si="71"/>
        <v>41.440990559452111</v>
      </c>
      <c r="X296" s="33"/>
      <c r="Y296" s="11">
        <v>2.7400000000000001E-2</v>
      </c>
      <c r="Z296" s="11">
        <v>2.3E-3</v>
      </c>
      <c r="AA296" s="11">
        <v>3.6575000000000002</v>
      </c>
      <c r="AB296" s="11">
        <v>1.46E-2</v>
      </c>
      <c r="AC296" s="11">
        <v>2.35E-2</v>
      </c>
      <c r="AD296" s="11">
        <v>0</v>
      </c>
      <c r="AE296" s="11">
        <v>0.1062</v>
      </c>
      <c r="AF296" s="11">
        <v>0</v>
      </c>
      <c r="AG296" s="11">
        <v>0.94479999999999997</v>
      </c>
      <c r="AH296" s="11">
        <v>9.4500000000000001E-2</v>
      </c>
      <c r="AI296" s="11">
        <v>7.8573000000000004</v>
      </c>
      <c r="AJ296" s="11">
        <v>3.2566000000000002</v>
      </c>
      <c r="AK296" s="11">
        <v>8.1900000000000001E-2</v>
      </c>
      <c r="AL296" s="11">
        <v>16.066600000000001</v>
      </c>
      <c r="AM296" s="11">
        <f t="shared" si="72"/>
        <v>7.9635000000000007</v>
      </c>
      <c r="AN296" s="33">
        <f t="shared" si="73"/>
        <v>3.8759124087591239</v>
      </c>
    </row>
    <row r="297" spans="1:40" s="32" customFormat="1" x14ac:dyDescent="0.25">
      <c r="A297" s="11" t="s">
        <v>192</v>
      </c>
      <c r="B297" s="11">
        <v>0.22500000000000001</v>
      </c>
      <c r="C297" s="11">
        <v>0</v>
      </c>
      <c r="D297" s="11">
        <v>27.532</v>
      </c>
      <c r="E297" s="11">
        <v>0.11700000000000001</v>
      </c>
      <c r="F297" s="11">
        <v>8.2000000000000003E-2</v>
      </c>
      <c r="G297" s="11">
        <v>0</v>
      </c>
      <c r="H297" s="11">
        <v>0.68300000000000005</v>
      </c>
      <c r="I297" s="11">
        <v>0</v>
      </c>
      <c r="J297" s="11">
        <v>5.798</v>
      </c>
      <c r="K297" s="11">
        <v>0.74199999999999999</v>
      </c>
      <c r="L297" s="11">
        <v>50.066000000000003</v>
      </c>
      <c r="M297" s="11">
        <v>13.567</v>
      </c>
      <c r="N297" s="11">
        <v>0</v>
      </c>
      <c r="O297" s="11">
        <v>98.811999999999998</v>
      </c>
      <c r="P297" s="11"/>
      <c r="Q297" s="33">
        <f t="shared" si="65"/>
        <v>0.38321386317767414</v>
      </c>
      <c r="R297" s="33">
        <f t="shared" si="66"/>
        <v>0.33660836124550303</v>
      </c>
      <c r="S297" s="33">
        <f t="shared" si="67"/>
        <v>0.10339170441171225</v>
      </c>
      <c r="T297" s="33">
        <f t="shared" si="68"/>
        <v>46.762707488677641</v>
      </c>
      <c r="U297" s="33">
        <f t="shared" si="69"/>
        <v>46.550944991910441</v>
      </c>
      <c r="V297" s="33">
        <f t="shared" si="70"/>
        <v>12.559518345133508</v>
      </c>
      <c r="W297" s="33">
        <f t="shared" si="71"/>
        <v>40.889536662956047</v>
      </c>
      <c r="X297" s="33"/>
      <c r="Y297" s="11">
        <v>2.6700000000000002E-2</v>
      </c>
      <c r="Z297" s="11">
        <v>0</v>
      </c>
      <c r="AA297" s="11">
        <v>3.6358999999999999</v>
      </c>
      <c r="AB297" s="11">
        <v>1.46E-2</v>
      </c>
      <c r="AC297" s="11">
        <v>2.5100000000000001E-2</v>
      </c>
      <c r="AD297" s="11">
        <v>0</v>
      </c>
      <c r="AE297" s="11">
        <v>0.12709999999999999</v>
      </c>
      <c r="AF297" s="11">
        <v>0</v>
      </c>
      <c r="AG297" s="11">
        <v>0.98109999999999997</v>
      </c>
      <c r="AH297" s="11">
        <v>9.9199999999999997E-2</v>
      </c>
      <c r="AI297" s="11">
        <v>7.9058000000000002</v>
      </c>
      <c r="AJ297" s="11">
        <v>3.1934999999999998</v>
      </c>
      <c r="AK297" s="11">
        <v>0</v>
      </c>
      <c r="AL297" s="11">
        <v>16.009</v>
      </c>
      <c r="AM297" s="11">
        <f t="shared" si="72"/>
        <v>8.0328999999999997</v>
      </c>
      <c r="AN297" s="33">
        <f t="shared" si="73"/>
        <v>4.7602996254681642</v>
      </c>
    </row>
    <row r="298" spans="1:40" s="32" customFormat="1" x14ac:dyDescent="0.25">
      <c r="A298" s="11" t="s">
        <v>191</v>
      </c>
      <c r="B298" s="32">
        <v>0.23</v>
      </c>
      <c r="C298" s="32">
        <v>1.9E-2</v>
      </c>
      <c r="D298" s="32">
        <v>28.289000000000001</v>
      </c>
      <c r="E298" s="32">
        <v>0.13800000000000001</v>
      </c>
      <c r="F298" s="32">
        <v>3.6999999999999998E-2</v>
      </c>
      <c r="G298" s="32">
        <v>0</v>
      </c>
      <c r="H298" s="32">
        <v>0.70499999999999996</v>
      </c>
      <c r="I298" s="32">
        <v>1.2E-2</v>
      </c>
      <c r="J298" s="32">
        <v>5.609</v>
      </c>
      <c r="K298" s="32">
        <v>0.65600000000000003</v>
      </c>
      <c r="L298" s="32">
        <v>50.27</v>
      </c>
      <c r="M298" s="32">
        <v>13.148999999999999</v>
      </c>
      <c r="N298" s="32">
        <v>0</v>
      </c>
      <c r="O298" s="32">
        <v>99.114000000000004</v>
      </c>
      <c r="Q298" s="34">
        <f t="shared" si="65"/>
        <v>0.39375043496415896</v>
      </c>
      <c r="R298" s="34">
        <f t="shared" si="66"/>
        <v>0.32623743952363227</v>
      </c>
      <c r="S298" s="34">
        <f t="shared" si="67"/>
        <v>0.10002139876600449</v>
      </c>
      <c r="T298" s="34">
        <f t="shared" si="68"/>
        <v>45.311518580187453</v>
      </c>
      <c r="U298" s="34">
        <f t="shared" si="69"/>
        <v>48.017802701396015</v>
      </c>
      <c r="V298" s="34">
        <f t="shared" si="70"/>
        <v>12.197593616120916</v>
      </c>
      <c r="W298" s="34">
        <f t="shared" si="71"/>
        <v>39.784603682483073</v>
      </c>
      <c r="X298" s="34"/>
      <c r="Y298" s="32">
        <v>2.7199999999999998E-2</v>
      </c>
      <c r="Z298" s="32">
        <v>2.3999999999999998E-3</v>
      </c>
      <c r="AA298" s="32">
        <v>3.7311999999999999</v>
      </c>
      <c r="AB298" s="32">
        <v>1.72E-2</v>
      </c>
      <c r="AC298" s="32">
        <v>1.1299999999999999E-2</v>
      </c>
      <c r="AD298" s="32">
        <v>0</v>
      </c>
      <c r="AE298" s="32">
        <v>0.13109999999999999</v>
      </c>
      <c r="AF298" s="32">
        <v>2.3999999999999998E-3</v>
      </c>
      <c r="AG298" s="32">
        <v>0.94779999999999998</v>
      </c>
      <c r="AH298" s="32">
        <v>8.77E-2</v>
      </c>
      <c r="AI298" s="32">
        <v>7.9279000000000002</v>
      </c>
      <c r="AJ298" s="32">
        <v>3.0912000000000002</v>
      </c>
      <c r="AK298" s="32">
        <v>0</v>
      </c>
      <c r="AL298" s="32">
        <v>15.977399999999999</v>
      </c>
      <c r="AM298" s="11">
        <f t="shared" si="72"/>
        <v>8.0590000000000011</v>
      </c>
      <c r="AN298" s="34">
        <f t="shared" si="73"/>
        <v>4.819852941176471</v>
      </c>
    </row>
    <row r="299" spans="1:40" s="32" customFormat="1" x14ac:dyDescent="0.25">
      <c r="A299" s="11" t="s">
        <v>65</v>
      </c>
      <c r="B299" s="11">
        <v>0.27600000000000002</v>
      </c>
      <c r="C299" s="11">
        <v>2E-3</v>
      </c>
      <c r="D299" s="11">
        <v>28.146000000000001</v>
      </c>
      <c r="E299" s="11">
        <v>0.124</v>
      </c>
      <c r="F299" s="11">
        <v>0.06</v>
      </c>
      <c r="G299" s="11">
        <v>7.1999999999999995E-2</v>
      </c>
      <c r="H299" s="11">
        <v>0.65800000000000003</v>
      </c>
      <c r="I299" s="11">
        <v>4.0000000000000001E-3</v>
      </c>
      <c r="J299" s="11">
        <v>6.3230000000000004</v>
      </c>
      <c r="K299" s="11">
        <v>0.78400000000000003</v>
      </c>
      <c r="L299" s="11">
        <v>50.401000000000003</v>
      </c>
      <c r="M299" s="11">
        <v>13.053000000000001</v>
      </c>
      <c r="N299" s="11">
        <v>0.23699999999999999</v>
      </c>
      <c r="O299" s="11">
        <v>100.14</v>
      </c>
      <c r="P299" s="11"/>
      <c r="Q299" s="33">
        <f t="shared" ref="Q299:Q330" si="74">D299/(55.845+16)</f>
        <v>0.39176003897278866</v>
      </c>
      <c r="R299" s="33">
        <f t="shared" ref="R299:R330" si="75">M299/(24.305+16)</f>
        <v>0.32385560104205435</v>
      </c>
      <c r="S299" s="33">
        <f t="shared" ref="S299:S330" si="76">J299/(40.078+16)</f>
        <v>0.11275366453867827</v>
      </c>
      <c r="T299" s="33">
        <f t="shared" ref="T299:T330" si="77">R299/(Q299+R299)*100</f>
        <v>45.255523067569776</v>
      </c>
      <c r="U299" s="33">
        <f t="shared" ref="U299:U330" si="78">Q299/(Q299+R299+S299)*100</f>
        <v>47.292920780537791</v>
      </c>
      <c r="V299" s="33">
        <f t="shared" ref="V299:V330" si="79">S299/(Q299+R299+S299)*100</f>
        <v>13.611521324954309</v>
      </c>
      <c r="W299" s="33">
        <f t="shared" ref="W299:W330" si="80">R299/(Q299+R299+S299)*100</f>
        <v>39.095557894507891</v>
      </c>
      <c r="X299" s="33"/>
      <c r="Y299" s="11">
        <v>3.2500000000000001E-2</v>
      </c>
      <c r="Z299" s="11">
        <v>2.9999999999999997E-4</v>
      </c>
      <c r="AA299" s="11">
        <v>3.6836000000000002</v>
      </c>
      <c r="AB299" s="11">
        <v>1.5299999999999999E-2</v>
      </c>
      <c r="AC299" s="11">
        <v>1.8100000000000002E-2</v>
      </c>
      <c r="AD299" s="11">
        <v>9.4999999999999998E-3</v>
      </c>
      <c r="AE299" s="11">
        <v>0.12130000000000001</v>
      </c>
      <c r="AF299" s="11">
        <v>8.0000000000000004E-4</v>
      </c>
      <c r="AG299" s="11">
        <v>1.0602</v>
      </c>
      <c r="AH299" s="11">
        <v>0.104</v>
      </c>
      <c r="AI299" s="11">
        <v>7.8871000000000002</v>
      </c>
      <c r="AJ299" s="11">
        <v>3.0448</v>
      </c>
      <c r="AK299" s="11">
        <v>2.9700000000000001E-2</v>
      </c>
      <c r="AL299" s="11">
        <v>16.007200000000001</v>
      </c>
      <c r="AM299" s="11">
        <f t="shared" ref="AM299:AM330" si="81">AI299+AE299</f>
        <v>8.0084</v>
      </c>
      <c r="AN299" s="33">
        <f t="shared" ref="AN299:AN330" si="82">AE299/Y299</f>
        <v>3.7323076923076925</v>
      </c>
    </row>
    <row r="300" spans="1:40" s="32" customFormat="1" x14ac:dyDescent="0.25">
      <c r="A300" s="11" t="s">
        <v>195</v>
      </c>
      <c r="B300" s="32">
        <v>0.29199999999999998</v>
      </c>
      <c r="C300" s="32">
        <v>0</v>
      </c>
      <c r="D300" s="32">
        <v>28.92</v>
      </c>
      <c r="E300" s="32">
        <v>0.14000000000000001</v>
      </c>
      <c r="F300" s="32">
        <v>8.3000000000000004E-2</v>
      </c>
      <c r="G300" s="32">
        <v>0.04</v>
      </c>
      <c r="H300" s="32">
        <v>0.622</v>
      </c>
      <c r="I300" s="32">
        <v>0</v>
      </c>
      <c r="J300" s="32">
        <v>5.7510000000000003</v>
      </c>
      <c r="K300" s="32">
        <v>0.82599999999999996</v>
      </c>
      <c r="L300" s="32">
        <v>49.801000000000002</v>
      </c>
      <c r="M300" s="32">
        <v>12.824</v>
      </c>
      <c r="N300" s="32">
        <v>0.06</v>
      </c>
      <c r="O300" s="32">
        <v>99.358999999999995</v>
      </c>
      <c r="Q300" s="34">
        <f t="shared" si="74"/>
        <v>0.40253323126174406</v>
      </c>
      <c r="R300" s="34">
        <f t="shared" si="75"/>
        <v>0.31817392383079024</v>
      </c>
      <c r="S300" s="34">
        <f t="shared" si="76"/>
        <v>0.10255358607653625</v>
      </c>
      <c r="T300" s="34">
        <f t="shared" si="77"/>
        <v>44.147462888714998</v>
      </c>
      <c r="U300" s="34">
        <f t="shared" si="78"/>
        <v>48.894986865294598</v>
      </c>
      <c r="V300" s="34">
        <f t="shared" si="79"/>
        <v>12.456999459357812</v>
      </c>
      <c r="W300" s="34">
        <f t="shared" si="80"/>
        <v>38.648013675347578</v>
      </c>
      <c r="X300" s="34"/>
      <c r="Y300" s="32">
        <v>3.4799999999999998E-2</v>
      </c>
      <c r="Z300" s="32">
        <v>0</v>
      </c>
      <c r="AA300" s="32">
        <v>3.8269000000000002</v>
      </c>
      <c r="AB300" s="32">
        <v>1.7500000000000002E-2</v>
      </c>
      <c r="AC300" s="32">
        <v>2.5499999999999998E-2</v>
      </c>
      <c r="AD300" s="32">
        <v>5.3E-3</v>
      </c>
      <c r="AE300" s="32">
        <v>0.1159</v>
      </c>
      <c r="AF300" s="32">
        <v>0</v>
      </c>
      <c r="AG300" s="32">
        <v>0.97499999999999998</v>
      </c>
      <c r="AH300" s="32">
        <v>0.11070000000000001</v>
      </c>
      <c r="AI300" s="32">
        <v>7.8796999999999997</v>
      </c>
      <c r="AJ300" s="32">
        <v>3.0247999999999999</v>
      </c>
      <c r="AK300" s="32">
        <v>7.6E-3</v>
      </c>
      <c r="AL300" s="32">
        <v>16.023700000000002</v>
      </c>
      <c r="AM300" s="11">
        <f t="shared" si="81"/>
        <v>7.9955999999999996</v>
      </c>
      <c r="AN300" s="34">
        <f t="shared" si="82"/>
        <v>3.3304597701149428</v>
      </c>
    </row>
    <row r="301" spans="1:40" s="32" customFormat="1" x14ac:dyDescent="0.25">
      <c r="A301" s="11" t="s">
        <v>258</v>
      </c>
      <c r="B301" s="11">
        <v>0.30399999999999999</v>
      </c>
      <c r="C301" s="11">
        <v>0</v>
      </c>
      <c r="D301" s="11">
        <v>29.286000000000001</v>
      </c>
      <c r="E301" s="11">
        <v>0.112</v>
      </c>
      <c r="F301" s="11">
        <v>3.5000000000000003E-2</v>
      </c>
      <c r="G301" s="11">
        <v>4.8000000000000001E-2</v>
      </c>
      <c r="H301" s="11">
        <v>0.73099999999999998</v>
      </c>
      <c r="I301" s="11">
        <v>8.0000000000000002E-3</v>
      </c>
      <c r="J301" s="11">
        <v>5.7610000000000001</v>
      </c>
      <c r="K301" s="11">
        <v>0.76200000000000001</v>
      </c>
      <c r="L301" s="11">
        <v>49.966000000000001</v>
      </c>
      <c r="M301" s="11">
        <v>12.89</v>
      </c>
      <c r="N301" s="11">
        <v>0.21</v>
      </c>
      <c r="O301" s="11">
        <v>100.113</v>
      </c>
      <c r="P301" s="11"/>
      <c r="Q301" s="33">
        <f t="shared" si="74"/>
        <v>0.40762753149140513</v>
      </c>
      <c r="R301" s="33">
        <f t="shared" si="75"/>
        <v>0.3198114377868751</v>
      </c>
      <c r="S301" s="33">
        <f t="shared" si="76"/>
        <v>0.10273190912657369</v>
      </c>
      <c r="T301" s="33">
        <f t="shared" si="77"/>
        <v>43.964023278017692</v>
      </c>
      <c r="U301" s="33">
        <f t="shared" si="78"/>
        <v>49.101641854102141</v>
      </c>
      <c r="V301" s="33">
        <f t="shared" si="79"/>
        <v>12.374790756810174</v>
      </c>
      <c r="W301" s="33">
        <f t="shared" si="80"/>
        <v>38.523567389087688</v>
      </c>
      <c r="X301" s="33"/>
      <c r="Y301" s="11">
        <v>3.5999999999999997E-2</v>
      </c>
      <c r="Z301" s="11">
        <v>0</v>
      </c>
      <c r="AA301" s="11">
        <v>3.8508</v>
      </c>
      <c r="AB301" s="11">
        <v>1.3899999999999999E-2</v>
      </c>
      <c r="AC301" s="11">
        <v>1.0500000000000001E-2</v>
      </c>
      <c r="AD301" s="11">
        <v>6.4000000000000003E-3</v>
      </c>
      <c r="AE301" s="11">
        <v>0.13539999999999999</v>
      </c>
      <c r="AF301" s="11">
        <v>1.6999999999999999E-3</v>
      </c>
      <c r="AG301" s="11">
        <v>0.97050000000000003</v>
      </c>
      <c r="AH301" s="11">
        <v>0.10150000000000001</v>
      </c>
      <c r="AI301" s="11">
        <v>7.8558000000000003</v>
      </c>
      <c r="AJ301" s="11">
        <v>3.0211000000000001</v>
      </c>
      <c r="AK301" s="11">
        <v>2.6499999999999999E-2</v>
      </c>
      <c r="AL301" s="11">
        <v>16.030100000000001</v>
      </c>
      <c r="AM301" s="11">
        <f t="shared" si="81"/>
        <v>7.9912000000000001</v>
      </c>
      <c r="AN301" s="33">
        <f t="shared" si="82"/>
        <v>3.7611111111111111</v>
      </c>
    </row>
    <row r="302" spans="1:40" s="32" customFormat="1" x14ac:dyDescent="0.25">
      <c r="A302" s="11" t="s">
        <v>661</v>
      </c>
      <c r="B302" s="11">
        <v>0.26200000000000001</v>
      </c>
      <c r="C302" s="11">
        <v>0</v>
      </c>
      <c r="D302" s="11">
        <v>30.248999999999999</v>
      </c>
      <c r="E302" s="11">
        <v>0.106</v>
      </c>
      <c r="F302" s="11">
        <v>6.0999999999999999E-2</v>
      </c>
      <c r="G302" s="11">
        <v>0</v>
      </c>
      <c r="H302" s="11">
        <v>0.628</v>
      </c>
      <c r="I302" s="11">
        <v>0</v>
      </c>
      <c r="J302" s="11">
        <v>4.774</v>
      </c>
      <c r="K302" s="11">
        <v>0.82099999999999995</v>
      </c>
      <c r="L302" s="11">
        <v>50.133000000000003</v>
      </c>
      <c r="M302" s="11">
        <v>13.193</v>
      </c>
      <c r="N302" s="11">
        <v>0.77600000000000002</v>
      </c>
      <c r="O302" s="11">
        <v>101.003</v>
      </c>
      <c r="P302" s="11"/>
      <c r="Q302" s="33">
        <f t="shared" si="74"/>
        <v>0.42103138701371007</v>
      </c>
      <c r="R302" s="33">
        <f t="shared" si="75"/>
        <v>0.3273291154943555</v>
      </c>
      <c r="S302" s="33">
        <f t="shared" si="76"/>
        <v>8.5131424087877591E-2</v>
      </c>
      <c r="T302" s="33">
        <f t="shared" si="77"/>
        <v>43.73949645890454</v>
      </c>
      <c r="U302" s="33">
        <f t="shared" si="78"/>
        <v>50.514152996447201</v>
      </c>
      <c r="V302" s="33">
        <f t="shared" si="79"/>
        <v>10.213827077553358</v>
      </c>
      <c r="W302" s="33">
        <f t="shared" si="80"/>
        <v>39.272019925999452</v>
      </c>
      <c r="X302" s="33"/>
      <c r="Y302" s="11">
        <v>3.0800000000000001E-2</v>
      </c>
      <c r="Z302" s="11">
        <v>0</v>
      </c>
      <c r="AA302" s="11">
        <v>3.9592000000000001</v>
      </c>
      <c r="AB302" s="11">
        <v>1.3100000000000001E-2</v>
      </c>
      <c r="AC302" s="11">
        <v>1.84E-2</v>
      </c>
      <c r="AD302" s="11">
        <v>0</v>
      </c>
      <c r="AE302" s="11">
        <v>0.1158</v>
      </c>
      <c r="AF302" s="11">
        <v>0</v>
      </c>
      <c r="AG302" s="11">
        <v>0.80049999999999999</v>
      </c>
      <c r="AH302" s="11">
        <v>0.10879999999999999</v>
      </c>
      <c r="AI302" s="11">
        <v>7.8460000000000001</v>
      </c>
      <c r="AJ302" s="11">
        <v>3.0779000000000001</v>
      </c>
      <c r="AK302" s="11">
        <v>9.7500000000000003E-2</v>
      </c>
      <c r="AL302" s="11">
        <v>16.068000000000001</v>
      </c>
      <c r="AM302" s="11">
        <f t="shared" si="81"/>
        <v>7.9618000000000002</v>
      </c>
      <c r="AN302" s="33">
        <f t="shared" si="82"/>
        <v>3.7597402597402598</v>
      </c>
    </row>
    <row r="303" spans="1:40" s="32" customFormat="1" x14ac:dyDescent="0.25">
      <c r="A303" s="11" t="s">
        <v>221</v>
      </c>
      <c r="B303" s="11">
        <v>0.26100000000000001</v>
      </c>
      <c r="C303" s="11">
        <v>1.7999999999999999E-2</v>
      </c>
      <c r="D303" s="11">
        <v>29.882999999999999</v>
      </c>
      <c r="E303" s="11">
        <v>0.157</v>
      </c>
      <c r="F303" s="11">
        <v>6.2E-2</v>
      </c>
      <c r="G303" s="11">
        <v>0</v>
      </c>
      <c r="H303" s="11">
        <v>0.59299999999999997</v>
      </c>
      <c r="I303" s="11">
        <v>8.0000000000000002E-3</v>
      </c>
      <c r="J303" s="11">
        <v>5.1550000000000002</v>
      </c>
      <c r="K303" s="11">
        <v>0.73799999999999999</v>
      </c>
      <c r="L303" s="11">
        <v>50.194000000000003</v>
      </c>
      <c r="M303" s="11">
        <v>12.964</v>
      </c>
      <c r="N303" s="11">
        <v>0</v>
      </c>
      <c r="O303" s="11">
        <v>100.033</v>
      </c>
      <c r="P303" s="11"/>
      <c r="Q303" s="33">
        <f t="shared" si="74"/>
        <v>0.415937086784049</v>
      </c>
      <c r="R303" s="33">
        <f t="shared" si="75"/>
        <v>0.32164743828309145</v>
      </c>
      <c r="S303" s="33">
        <f t="shared" si="76"/>
        <v>9.1925532294304363E-2</v>
      </c>
      <c r="T303" s="33">
        <f t="shared" si="77"/>
        <v>43.608214021818412</v>
      </c>
      <c r="U303" s="33">
        <f t="shared" si="78"/>
        <v>50.142500756059135</v>
      </c>
      <c r="V303" s="33">
        <f t="shared" si="79"/>
        <v>11.081906901370985</v>
      </c>
      <c r="W303" s="33">
        <f t="shared" si="80"/>
        <v>38.775592342569887</v>
      </c>
      <c r="X303" s="33"/>
      <c r="Y303" s="11">
        <v>3.09E-2</v>
      </c>
      <c r="Z303" s="11">
        <v>2.3E-3</v>
      </c>
      <c r="AA303" s="11">
        <v>3.9316</v>
      </c>
      <c r="AB303" s="11">
        <v>1.95E-2</v>
      </c>
      <c r="AC303" s="11">
        <v>1.89E-2</v>
      </c>
      <c r="AD303" s="11">
        <v>0</v>
      </c>
      <c r="AE303" s="11">
        <v>0.11</v>
      </c>
      <c r="AF303" s="11">
        <v>1.6999999999999999E-3</v>
      </c>
      <c r="AG303" s="11">
        <v>0.86899999999999999</v>
      </c>
      <c r="AH303" s="11">
        <v>9.8299999999999998E-2</v>
      </c>
      <c r="AI303" s="11">
        <v>7.8962000000000003</v>
      </c>
      <c r="AJ303" s="11">
        <v>3.0400999999999998</v>
      </c>
      <c r="AK303" s="11">
        <v>0</v>
      </c>
      <c r="AL303" s="11">
        <v>16.0185</v>
      </c>
      <c r="AM303" s="11">
        <f t="shared" si="81"/>
        <v>8.0061999999999998</v>
      </c>
      <c r="AN303" s="33">
        <f t="shared" si="82"/>
        <v>3.5598705501618122</v>
      </c>
    </row>
    <row r="304" spans="1:40" s="32" customFormat="1" x14ac:dyDescent="0.25">
      <c r="A304" s="11" t="s">
        <v>121</v>
      </c>
      <c r="B304" s="32">
        <v>0.27700000000000002</v>
      </c>
      <c r="C304" s="32">
        <v>0</v>
      </c>
      <c r="D304" s="32">
        <v>29.478000000000002</v>
      </c>
      <c r="E304" s="32">
        <v>0.19800000000000001</v>
      </c>
      <c r="F304" s="32">
        <v>3.9E-2</v>
      </c>
      <c r="G304" s="32">
        <v>0</v>
      </c>
      <c r="H304" s="32">
        <v>0.67100000000000004</v>
      </c>
      <c r="I304" s="32">
        <v>0</v>
      </c>
      <c r="J304" s="32">
        <v>5.6660000000000004</v>
      </c>
      <c r="K304" s="32">
        <v>0.75700000000000001</v>
      </c>
      <c r="L304" s="32">
        <v>49.957000000000001</v>
      </c>
      <c r="M304" s="32">
        <v>12.429</v>
      </c>
      <c r="N304" s="32">
        <v>0</v>
      </c>
      <c r="O304" s="32">
        <v>99.471999999999994</v>
      </c>
      <c r="Q304" s="34">
        <f t="shared" si="74"/>
        <v>0.41029995128401425</v>
      </c>
      <c r="R304" s="34">
        <f t="shared" si="75"/>
        <v>0.30837365091179753</v>
      </c>
      <c r="S304" s="34">
        <f t="shared" si="76"/>
        <v>0.10103784015121794</v>
      </c>
      <c r="T304" s="34">
        <f t="shared" si="77"/>
        <v>42.908721006254133</v>
      </c>
      <c r="U304" s="34">
        <f t="shared" si="78"/>
        <v>50.054193474380135</v>
      </c>
      <c r="V304" s="34">
        <f t="shared" si="79"/>
        <v>12.326025346422208</v>
      </c>
      <c r="W304" s="34">
        <f t="shared" si="80"/>
        <v>37.619781179197652</v>
      </c>
      <c r="X304" s="34"/>
      <c r="Y304" s="32">
        <v>3.2899999999999999E-2</v>
      </c>
      <c r="Z304" s="32">
        <v>0</v>
      </c>
      <c r="AA304" s="32">
        <v>3.9007000000000001</v>
      </c>
      <c r="AB304" s="32">
        <v>2.4799999999999999E-2</v>
      </c>
      <c r="AC304" s="32">
        <v>1.1900000000000001E-2</v>
      </c>
      <c r="AD304" s="32">
        <v>0</v>
      </c>
      <c r="AE304" s="32">
        <v>0.12520000000000001</v>
      </c>
      <c r="AF304" s="32">
        <v>0</v>
      </c>
      <c r="AG304" s="32">
        <v>0.96060000000000001</v>
      </c>
      <c r="AH304" s="32">
        <v>0.1014</v>
      </c>
      <c r="AI304" s="32">
        <v>7.9044999999999996</v>
      </c>
      <c r="AJ304" s="32">
        <v>2.9316</v>
      </c>
      <c r="AK304" s="32">
        <v>0</v>
      </c>
      <c r="AL304" s="32">
        <v>15.993600000000001</v>
      </c>
      <c r="AM304" s="11">
        <f t="shared" si="81"/>
        <v>8.0297000000000001</v>
      </c>
      <c r="AN304" s="34">
        <f t="shared" si="82"/>
        <v>3.8054711246200612</v>
      </c>
    </row>
    <row r="305" spans="1:40" s="32" customFormat="1" x14ac:dyDescent="0.25">
      <c r="A305" s="11" t="s">
        <v>662</v>
      </c>
      <c r="B305" s="32">
        <v>0.25700000000000001</v>
      </c>
      <c r="C305" s="32">
        <v>0</v>
      </c>
      <c r="D305" s="32">
        <v>29.196999999999999</v>
      </c>
      <c r="E305" s="32">
        <v>0.15</v>
      </c>
      <c r="F305" s="32">
        <v>6.4000000000000001E-2</v>
      </c>
      <c r="G305" s="32">
        <v>0</v>
      </c>
      <c r="H305" s="32">
        <v>0.64900000000000002</v>
      </c>
      <c r="I305" s="32">
        <v>1E-3</v>
      </c>
      <c r="J305" s="32">
        <v>6.2089999999999996</v>
      </c>
      <c r="K305" s="32">
        <v>0.76800000000000002</v>
      </c>
      <c r="L305" s="32">
        <v>49.851999999999997</v>
      </c>
      <c r="M305" s="32">
        <v>12.226000000000001</v>
      </c>
      <c r="N305" s="32">
        <v>0</v>
      </c>
      <c r="O305" s="32">
        <v>99.373000000000005</v>
      </c>
      <c r="Q305" s="34">
        <f t="shared" si="74"/>
        <v>0.40638875356670612</v>
      </c>
      <c r="R305" s="34">
        <f t="shared" si="75"/>
        <v>0.30333705495596081</v>
      </c>
      <c r="S305" s="34">
        <f t="shared" si="76"/>
        <v>0.11072078176825136</v>
      </c>
      <c r="T305" s="34">
        <f t="shared" si="77"/>
        <v>42.740034434900068</v>
      </c>
      <c r="U305" s="34">
        <f t="shared" si="78"/>
        <v>49.53262751967884</v>
      </c>
      <c r="V305" s="34">
        <f t="shared" si="79"/>
        <v>13.495184583434176</v>
      </c>
      <c r="W305" s="34">
        <f t="shared" si="80"/>
        <v>36.972187896886979</v>
      </c>
      <c r="X305" s="34"/>
      <c r="Y305" s="32">
        <v>3.0599999999999999E-2</v>
      </c>
      <c r="Z305" s="32">
        <v>0</v>
      </c>
      <c r="AA305" s="32">
        <v>3.8702000000000001</v>
      </c>
      <c r="AB305" s="32">
        <v>1.8800000000000001E-2</v>
      </c>
      <c r="AC305" s="32">
        <v>1.9800000000000002E-2</v>
      </c>
      <c r="AD305" s="32">
        <v>0</v>
      </c>
      <c r="AE305" s="32">
        <v>0.12130000000000001</v>
      </c>
      <c r="AF305" s="32">
        <v>2.0000000000000001E-4</v>
      </c>
      <c r="AG305" s="32">
        <v>1.0544</v>
      </c>
      <c r="AH305" s="32">
        <v>0.1031</v>
      </c>
      <c r="AI305" s="32">
        <v>7.9013</v>
      </c>
      <c r="AJ305" s="32">
        <v>2.8885000000000001</v>
      </c>
      <c r="AK305" s="32">
        <v>0</v>
      </c>
      <c r="AL305" s="32">
        <v>16.008199999999999</v>
      </c>
      <c r="AM305" s="11">
        <f t="shared" si="81"/>
        <v>8.0226000000000006</v>
      </c>
      <c r="AN305" s="34">
        <f t="shared" si="82"/>
        <v>3.9640522875816995</v>
      </c>
    </row>
    <row r="306" spans="1:40" s="32" customFormat="1" x14ac:dyDescent="0.25">
      <c r="A306" s="11" t="s">
        <v>130</v>
      </c>
      <c r="B306" s="32">
        <v>0.30099999999999999</v>
      </c>
      <c r="C306" s="32">
        <v>0</v>
      </c>
      <c r="D306" s="32">
        <v>29.096</v>
      </c>
      <c r="E306" s="32">
        <v>0.159</v>
      </c>
      <c r="F306" s="32">
        <v>7.0000000000000007E-2</v>
      </c>
      <c r="G306" s="32">
        <v>0</v>
      </c>
      <c r="H306" s="32">
        <v>0.64200000000000002</v>
      </c>
      <c r="I306" s="32">
        <v>1.2999999999999999E-2</v>
      </c>
      <c r="J306" s="32">
        <v>6.6109999999999998</v>
      </c>
      <c r="K306" s="32">
        <v>0.78200000000000003</v>
      </c>
      <c r="L306" s="32">
        <v>49.835999999999999</v>
      </c>
      <c r="M306" s="32">
        <v>11.949</v>
      </c>
      <c r="N306" s="32">
        <v>0</v>
      </c>
      <c r="O306" s="32">
        <v>99.459000000000003</v>
      </c>
      <c r="Q306" s="34">
        <f t="shared" si="74"/>
        <v>0.40498294940496904</v>
      </c>
      <c r="R306" s="34">
        <f t="shared" si="75"/>
        <v>0.29646445850390768</v>
      </c>
      <c r="S306" s="34">
        <f t="shared" si="76"/>
        <v>0.11788936837975676</v>
      </c>
      <c r="T306" s="34">
        <f t="shared" si="77"/>
        <v>42.264673753334428</v>
      </c>
      <c r="U306" s="34">
        <f t="shared" si="78"/>
        <v>49.428142508069591</v>
      </c>
      <c r="V306" s="34">
        <f t="shared" si="79"/>
        <v>14.388389706338172</v>
      </c>
      <c r="W306" s="34">
        <f t="shared" si="80"/>
        <v>36.183467785592242</v>
      </c>
      <c r="X306" s="34"/>
      <c r="Y306" s="32">
        <v>3.5900000000000001E-2</v>
      </c>
      <c r="Z306" s="32">
        <v>0</v>
      </c>
      <c r="AA306" s="32">
        <v>3.8569</v>
      </c>
      <c r="AB306" s="32">
        <v>0.02</v>
      </c>
      <c r="AC306" s="32">
        <v>2.1600000000000001E-2</v>
      </c>
      <c r="AD306" s="32">
        <v>0</v>
      </c>
      <c r="AE306" s="32">
        <v>0.11990000000000001</v>
      </c>
      <c r="AF306" s="32">
        <v>2.5999999999999999E-3</v>
      </c>
      <c r="AG306" s="32">
        <v>1.1228</v>
      </c>
      <c r="AH306" s="32">
        <v>0.10489999999999999</v>
      </c>
      <c r="AI306" s="32">
        <v>7.8992000000000004</v>
      </c>
      <c r="AJ306" s="32">
        <v>2.8231999999999999</v>
      </c>
      <c r="AK306" s="32">
        <v>0</v>
      </c>
      <c r="AL306" s="32">
        <v>16.007000000000001</v>
      </c>
      <c r="AM306" s="11">
        <f t="shared" si="81"/>
        <v>8.0190999999999999</v>
      </c>
      <c r="AN306" s="34">
        <f t="shared" si="82"/>
        <v>3.3398328690807801</v>
      </c>
    </row>
    <row r="307" spans="1:40" s="32" customFormat="1" x14ac:dyDescent="0.25">
      <c r="A307" s="11" t="s">
        <v>54</v>
      </c>
      <c r="B307" s="32">
        <v>0.25700000000000001</v>
      </c>
      <c r="C307" s="32">
        <v>0.01</v>
      </c>
      <c r="D307" s="32">
        <v>29.667000000000002</v>
      </c>
      <c r="E307" s="32">
        <v>0.159</v>
      </c>
      <c r="F307" s="32">
        <v>6.3E-2</v>
      </c>
      <c r="G307" s="32">
        <v>0</v>
      </c>
      <c r="H307" s="32">
        <v>0.61799999999999999</v>
      </c>
      <c r="I307" s="32">
        <v>0.01</v>
      </c>
      <c r="J307" s="32">
        <v>5.7460000000000004</v>
      </c>
      <c r="K307" s="32">
        <v>0.70799999999999996</v>
      </c>
      <c r="L307" s="32">
        <v>49.844999999999999</v>
      </c>
      <c r="M307" s="32">
        <v>12.166</v>
      </c>
      <c r="N307" s="32">
        <v>0.21099999999999999</v>
      </c>
      <c r="O307" s="32">
        <v>99.46</v>
      </c>
      <c r="Q307" s="34">
        <f t="shared" si="74"/>
        <v>0.41293061451736379</v>
      </c>
      <c r="R307" s="34">
        <f t="shared" si="75"/>
        <v>0.30184840590497458</v>
      </c>
      <c r="S307" s="34">
        <f t="shared" si="76"/>
        <v>0.10246442455151754</v>
      </c>
      <c r="T307" s="34">
        <f t="shared" si="77"/>
        <v>42.229611849354889</v>
      </c>
      <c r="U307" s="34">
        <f t="shared" si="78"/>
        <v>50.527247059237503</v>
      </c>
      <c r="V307" s="34">
        <f t="shared" si="79"/>
        <v>12.537809288246471</v>
      </c>
      <c r="W307" s="34">
        <f t="shared" si="80"/>
        <v>36.93494365251604</v>
      </c>
      <c r="X307" s="34"/>
      <c r="Y307" s="32">
        <v>3.0599999999999999E-2</v>
      </c>
      <c r="Z307" s="32">
        <v>1.1999999999999999E-3</v>
      </c>
      <c r="AA307" s="32">
        <v>3.9356</v>
      </c>
      <c r="AB307" s="32">
        <v>1.9900000000000001E-2</v>
      </c>
      <c r="AC307" s="32">
        <v>1.95E-2</v>
      </c>
      <c r="AD307" s="32">
        <v>0</v>
      </c>
      <c r="AE307" s="32">
        <v>0.11550000000000001</v>
      </c>
      <c r="AF307" s="32">
        <v>2E-3</v>
      </c>
      <c r="AG307" s="32">
        <v>0.97660000000000002</v>
      </c>
      <c r="AH307" s="32">
        <v>9.5200000000000007E-2</v>
      </c>
      <c r="AI307" s="32">
        <v>7.9063999999999997</v>
      </c>
      <c r="AJ307" s="32">
        <v>2.8767999999999998</v>
      </c>
      <c r="AK307" s="32">
        <v>2.6800000000000001E-2</v>
      </c>
      <c r="AL307" s="32">
        <v>16.0061</v>
      </c>
      <c r="AM307" s="11">
        <f t="shared" si="81"/>
        <v>8.0219000000000005</v>
      </c>
      <c r="AN307" s="34">
        <f t="shared" si="82"/>
        <v>3.774509803921569</v>
      </c>
    </row>
    <row r="308" spans="1:40" s="32" customFormat="1" x14ac:dyDescent="0.25">
      <c r="A308" s="11" t="s">
        <v>235</v>
      </c>
      <c r="B308" s="11">
        <v>0.317</v>
      </c>
      <c r="C308" s="11">
        <v>0.02</v>
      </c>
      <c r="D308" s="11">
        <v>29.809000000000001</v>
      </c>
      <c r="E308" s="11">
        <v>0.14499999999999999</v>
      </c>
      <c r="F308" s="11">
        <v>7.3999999999999996E-2</v>
      </c>
      <c r="G308" s="11">
        <v>8.0000000000000002E-3</v>
      </c>
      <c r="H308" s="11">
        <v>0.63400000000000001</v>
      </c>
      <c r="I308" s="11">
        <v>5.0000000000000001E-3</v>
      </c>
      <c r="J308" s="11">
        <v>5.9050000000000002</v>
      </c>
      <c r="K308" s="11">
        <v>0.73599999999999999</v>
      </c>
      <c r="L308" s="11">
        <v>49.805999999999997</v>
      </c>
      <c r="M308" s="11">
        <v>12.023</v>
      </c>
      <c r="N308" s="11">
        <v>0.121</v>
      </c>
      <c r="O308" s="11">
        <v>99.602999999999994</v>
      </c>
      <c r="P308" s="11"/>
      <c r="Q308" s="33">
        <f t="shared" si="74"/>
        <v>0.4149070916556476</v>
      </c>
      <c r="R308" s="33">
        <f t="shared" si="75"/>
        <v>0.29830045900012403</v>
      </c>
      <c r="S308" s="33">
        <f t="shared" si="76"/>
        <v>0.10529976104711294</v>
      </c>
      <c r="T308" s="33">
        <f t="shared" si="77"/>
        <v>41.825196427862586</v>
      </c>
      <c r="U308" s="33">
        <f t="shared" si="78"/>
        <v>50.690700708884748</v>
      </c>
      <c r="V308" s="33">
        <f t="shared" si="79"/>
        <v>12.86485282923611</v>
      </c>
      <c r="W308" s="33">
        <f t="shared" si="80"/>
        <v>36.444446461879146</v>
      </c>
      <c r="X308" s="33"/>
      <c r="Y308" s="11">
        <v>3.78E-2</v>
      </c>
      <c r="Z308" s="11">
        <v>2.5999999999999999E-3</v>
      </c>
      <c r="AA308" s="11">
        <v>3.9521000000000002</v>
      </c>
      <c r="AB308" s="11">
        <v>1.8200000000000001E-2</v>
      </c>
      <c r="AC308" s="11">
        <v>2.2700000000000001E-2</v>
      </c>
      <c r="AD308" s="11">
        <v>1.1000000000000001E-3</v>
      </c>
      <c r="AE308" s="11">
        <v>0.11840000000000001</v>
      </c>
      <c r="AF308" s="11">
        <v>8.9999999999999998E-4</v>
      </c>
      <c r="AG308" s="11">
        <v>1.0031000000000001</v>
      </c>
      <c r="AH308" s="11">
        <v>9.8900000000000002E-2</v>
      </c>
      <c r="AI308" s="11">
        <v>7.8958000000000004</v>
      </c>
      <c r="AJ308" s="11">
        <v>2.8414000000000001</v>
      </c>
      <c r="AK308" s="11">
        <v>1.5299999999999999E-2</v>
      </c>
      <c r="AL308" s="11">
        <v>16.008299999999998</v>
      </c>
      <c r="AM308" s="11">
        <f t="shared" si="81"/>
        <v>8.0142000000000007</v>
      </c>
      <c r="AN308" s="33">
        <f t="shared" si="82"/>
        <v>3.1322751322751325</v>
      </c>
    </row>
    <row r="309" spans="1:40" s="32" customFormat="1" x14ac:dyDescent="0.25">
      <c r="A309" s="11" t="s">
        <v>247</v>
      </c>
      <c r="B309" s="32">
        <v>0.30099999999999999</v>
      </c>
      <c r="C309" s="32">
        <v>4.1000000000000002E-2</v>
      </c>
      <c r="D309" s="32">
        <v>29.908999999999999</v>
      </c>
      <c r="E309" s="32">
        <v>0.13600000000000001</v>
      </c>
      <c r="F309" s="32">
        <v>3.3000000000000002E-2</v>
      </c>
      <c r="G309" s="32">
        <v>0</v>
      </c>
      <c r="H309" s="32">
        <v>0.64700000000000002</v>
      </c>
      <c r="I309" s="32">
        <v>0</v>
      </c>
      <c r="J309" s="32">
        <v>5.883</v>
      </c>
      <c r="K309" s="32">
        <v>0.79100000000000004</v>
      </c>
      <c r="L309" s="32">
        <v>49.534999999999997</v>
      </c>
      <c r="M309" s="32">
        <v>12.02</v>
      </c>
      <c r="N309" s="32">
        <v>0</v>
      </c>
      <c r="O309" s="32">
        <v>99.296000000000006</v>
      </c>
      <c r="Q309" s="34">
        <f t="shared" si="74"/>
        <v>0.41629897696429813</v>
      </c>
      <c r="R309" s="34">
        <f t="shared" si="75"/>
        <v>0.29822602654757474</v>
      </c>
      <c r="S309" s="34">
        <f t="shared" si="76"/>
        <v>0.10490745033703056</v>
      </c>
      <c r="T309" s="34">
        <f t="shared" si="77"/>
        <v>41.737661394884874</v>
      </c>
      <c r="U309" s="34">
        <f t="shared" si="78"/>
        <v>50.803330403735778</v>
      </c>
      <c r="V309" s="34">
        <f t="shared" si="79"/>
        <v>12.802452458927704</v>
      </c>
      <c r="W309" s="34">
        <f t="shared" si="80"/>
        <v>36.394217137336518</v>
      </c>
      <c r="X309" s="34"/>
      <c r="Y309" s="32">
        <v>3.5999999999999997E-2</v>
      </c>
      <c r="Z309" s="32">
        <v>5.1999999999999998E-3</v>
      </c>
      <c r="AA309" s="32">
        <v>3.9809999999999999</v>
      </c>
      <c r="AB309" s="32">
        <v>1.7100000000000001E-2</v>
      </c>
      <c r="AC309" s="32">
        <v>1.03E-2</v>
      </c>
      <c r="AD309" s="32">
        <v>0</v>
      </c>
      <c r="AE309" s="32">
        <v>0.12139999999999999</v>
      </c>
      <c r="AF309" s="32">
        <v>0</v>
      </c>
      <c r="AG309" s="32">
        <v>1.0033000000000001</v>
      </c>
      <c r="AH309" s="32">
        <v>0.1066</v>
      </c>
      <c r="AI309" s="32">
        <v>7.8837000000000002</v>
      </c>
      <c r="AJ309" s="32">
        <v>2.8515999999999999</v>
      </c>
      <c r="AK309" s="32">
        <v>0</v>
      </c>
      <c r="AL309" s="32">
        <v>16.016200000000001</v>
      </c>
      <c r="AM309" s="11">
        <f t="shared" si="81"/>
        <v>8.0051000000000005</v>
      </c>
      <c r="AN309" s="34">
        <f t="shared" si="82"/>
        <v>3.3722222222222222</v>
      </c>
    </row>
    <row r="310" spans="1:40" s="32" customFormat="1" x14ac:dyDescent="0.25">
      <c r="A310" s="11" t="s">
        <v>239</v>
      </c>
      <c r="B310" s="32">
        <v>0.19800000000000001</v>
      </c>
      <c r="C310" s="32">
        <v>0</v>
      </c>
      <c r="D310" s="32">
        <v>29.904</v>
      </c>
      <c r="E310" s="32">
        <v>0.23699999999999999</v>
      </c>
      <c r="F310" s="32">
        <v>5.2999999999999999E-2</v>
      </c>
      <c r="G310" s="32">
        <v>0</v>
      </c>
      <c r="H310" s="32">
        <v>0.79800000000000004</v>
      </c>
      <c r="I310" s="32">
        <v>5.0000000000000001E-3</v>
      </c>
      <c r="J310" s="32">
        <v>5.5090000000000003</v>
      </c>
      <c r="K310" s="32">
        <v>0.77600000000000002</v>
      </c>
      <c r="L310" s="32">
        <v>49.738999999999997</v>
      </c>
      <c r="M310" s="32">
        <v>11.999000000000001</v>
      </c>
      <c r="N310" s="32">
        <v>0.06</v>
      </c>
      <c r="O310" s="32">
        <v>99.278000000000006</v>
      </c>
      <c r="Q310" s="34">
        <f t="shared" si="74"/>
        <v>0.41622938269886561</v>
      </c>
      <c r="R310" s="34">
        <f t="shared" si="75"/>
        <v>0.29770499937972955</v>
      </c>
      <c r="S310" s="34">
        <f t="shared" si="76"/>
        <v>9.8238168265630019E-2</v>
      </c>
      <c r="T310" s="34">
        <f t="shared" si="77"/>
        <v>41.699210298987396</v>
      </c>
      <c r="U310" s="34">
        <f t="shared" si="78"/>
        <v>51.248885784486809</v>
      </c>
      <c r="V310" s="34">
        <f t="shared" si="79"/>
        <v>12.095726237484076</v>
      </c>
      <c r="W310" s="34">
        <f t="shared" si="80"/>
        <v>36.655387978029111</v>
      </c>
      <c r="X310" s="34"/>
      <c r="Y310" s="32">
        <v>2.3599999999999999E-2</v>
      </c>
      <c r="Z310" s="32">
        <v>0</v>
      </c>
      <c r="AA310" s="32">
        <v>3.9742999999999999</v>
      </c>
      <c r="AB310" s="32">
        <v>2.98E-2</v>
      </c>
      <c r="AC310" s="32">
        <v>1.6500000000000001E-2</v>
      </c>
      <c r="AD310" s="32">
        <v>0</v>
      </c>
      <c r="AE310" s="32">
        <v>0.14949999999999999</v>
      </c>
      <c r="AF310" s="32">
        <v>1.1000000000000001E-3</v>
      </c>
      <c r="AG310" s="32">
        <v>0.93799999999999994</v>
      </c>
      <c r="AH310" s="32">
        <v>0.10440000000000001</v>
      </c>
      <c r="AI310" s="32">
        <v>7.9040999999999997</v>
      </c>
      <c r="AJ310" s="32">
        <v>2.8424999999999998</v>
      </c>
      <c r="AK310" s="32">
        <v>7.7000000000000002E-3</v>
      </c>
      <c r="AL310" s="32">
        <v>15.9915</v>
      </c>
      <c r="AM310" s="11">
        <f t="shared" si="81"/>
        <v>8.0535999999999994</v>
      </c>
      <c r="AN310" s="34">
        <f t="shared" si="82"/>
        <v>6.3347457627118642</v>
      </c>
    </row>
    <row r="311" spans="1:40" s="32" customFormat="1" x14ac:dyDescent="0.25">
      <c r="A311" s="11" t="s">
        <v>59</v>
      </c>
      <c r="B311" s="11">
        <v>0.27500000000000002</v>
      </c>
      <c r="C311" s="11">
        <v>0</v>
      </c>
      <c r="D311" s="11">
        <v>29.844999999999999</v>
      </c>
      <c r="E311" s="11">
        <v>0.16700000000000001</v>
      </c>
      <c r="F311" s="11">
        <v>5.6000000000000001E-2</v>
      </c>
      <c r="G311" s="11">
        <v>0</v>
      </c>
      <c r="H311" s="11">
        <v>0.63100000000000001</v>
      </c>
      <c r="I311" s="11">
        <v>6.0000000000000001E-3</v>
      </c>
      <c r="J311" s="11">
        <v>6.0860000000000003</v>
      </c>
      <c r="K311" s="11">
        <v>0.78400000000000003</v>
      </c>
      <c r="L311" s="11">
        <v>49.643999999999998</v>
      </c>
      <c r="M311" s="11">
        <v>11.749000000000001</v>
      </c>
      <c r="N311" s="11">
        <v>0</v>
      </c>
      <c r="O311" s="11">
        <v>99.242999999999995</v>
      </c>
      <c r="P311" s="11"/>
      <c r="Q311" s="33">
        <f t="shared" si="74"/>
        <v>0.41540817036676175</v>
      </c>
      <c r="R311" s="33">
        <f t="shared" si="75"/>
        <v>0.2915022950006203</v>
      </c>
      <c r="S311" s="33">
        <f t="shared" si="76"/>
        <v>0.10852740825279075</v>
      </c>
      <c r="T311" s="33">
        <f t="shared" si="77"/>
        <v>41.236098386112623</v>
      </c>
      <c r="U311" s="33">
        <f t="shared" si="78"/>
        <v>50.942957618897275</v>
      </c>
      <c r="V311" s="33">
        <f t="shared" si="79"/>
        <v>13.309095856803719</v>
      </c>
      <c r="W311" s="33">
        <f t="shared" si="80"/>
        <v>35.74794652429901</v>
      </c>
      <c r="X311" s="33"/>
      <c r="Y311" s="11">
        <v>3.3000000000000002E-2</v>
      </c>
      <c r="Z311" s="11">
        <v>0</v>
      </c>
      <c r="AA311" s="11">
        <v>3.9742000000000002</v>
      </c>
      <c r="AB311" s="11">
        <v>2.1000000000000001E-2</v>
      </c>
      <c r="AC311" s="11">
        <v>1.7299999999999999E-2</v>
      </c>
      <c r="AD311" s="11">
        <v>0</v>
      </c>
      <c r="AE311" s="11">
        <v>0.11840000000000001</v>
      </c>
      <c r="AF311" s="11">
        <v>1.1999999999999999E-3</v>
      </c>
      <c r="AG311" s="11">
        <v>1.0383</v>
      </c>
      <c r="AH311" s="11">
        <v>0.1057</v>
      </c>
      <c r="AI311" s="11">
        <v>7.9043999999999999</v>
      </c>
      <c r="AJ311" s="11">
        <v>2.7888000000000002</v>
      </c>
      <c r="AK311" s="11">
        <v>0</v>
      </c>
      <c r="AL311" s="11">
        <v>16.002300000000002</v>
      </c>
      <c r="AM311" s="11">
        <f t="shared" si="81"/>
        <v>8.0228000000000002</v>
      </c>
      <c r="AN311" s="33">
        <f t="shared" si="82"/>
        <v>3.5878787878787879</v>
      </c>
    </row>
    <row r="312" spans="1:40" s="32" customFormat="1" x14ac:dyDescent="0.25">
      <c r="A312" s="11" t="s">
        <v>663</v>
      </c>
      <c r="B312" s="32">
        <v>0.35399999999999998</v>
      </c>
      <c r="C312" s="32">
        <v>0</v>
      </c>
      <c r="D312" s="32">
        <v>29.481000000000002</v>
      </c>
      <c r="E312" s="32">
        <v>0.14199999999999999</v>
      </c>
      <c r="F312" s="32">
        <v>0.105</v>
      </c>
      <c r="G312" s="32">
        <v>0</v>
      </c>
      <c r="H312" s="32">
        <v>0.69</v>
      </c>
      <c r="I312" s="32">
        <v>8.0000000000000002E-3</v>
      </c>
      <c r="J312" s="32">
        <v>6.6710000000000003</v>
      </c>
      <c r="K312" s="32">
        <v>0.75</v>
      </c>
      <c r="L312" s="32">
        <v>49.901000000000003</v>
      </c>
      <c r="M312" s="32">
        <v>11.497999999999999</v>
      </c>
      <c r="N312" s="32">
        <v>0.121</v>
      </c>
      <c r="O312" s="32">
        <v>99.721000000000004</v>
      </c>
      <c r="Q312" s="34">
        <f t="shared" si="74"/>
        <v>0.41034170784327373</v>
      </c>
      <c r="R312" s="34">
        <f t="shared" si="75"/>
        <v>0.28527477980399452</v>
      </c>
      <c r="S312" s="34">
        <f t="shared" si="76"/>
        <v>0.11895930667998145</v>
      </c>
      <c r="T312" s="34">
        <f t="shared" si="77"/>
        <v>41.010353387231824</v>
      </c>
      <c r="U312" s="34">
        <f t="shared" si="78"/>
        <v>50.374895829328068</v>
      </c>
      <c r="V312" s="34">
        <f t="shared" si="79"/>
        <v>14.603835211949651</v>
      </c>
      <c r="W312" s="34">
        <f t="shared" si="80"/>
        <v>35.021268958722281</v>
      </c>
      <c r="X312" s="34"/>
      <c r="Y312" s="32">
        <v>4.2099999999999999E-2</v>
      </c>
      <c r="Z312" s="32">
        <v>0</v>
      </c>
      <c r="AA312" s="32">
        <v>3.9056999999999999</v>
      </c>
      <c r="AB312" s="32">
        <v>1.77E-2</v>
      </c>
      <c r="AC312" s="32">
        <v>3.2300000000000002E-2</v>
      </c>
      <c r="AD312" s="32">
        <v>0</v>
      </c>
      <c r="AE312" s="32">
        <v>0.12889999999999999</v>
      </c>
      <c r="AF312" s="32">
        <v>1.6000000000000001E-3</v>
      </c>
      <c r="AG312" s="32">
        <v>1.1324000000000001</v>
      </c>
      <c r="AH312" s="32">
        <v>0.1007</v>
      </c>
      <c r="AI312" s="32">
        <v>7.9048999999999996</v>
      </c>
      <c r="AJ312" s="32">
        <v>2.7151000000000001</v>
      </c>
      <c r="AK312" s="32">
        <v>1.5299999999999999E-2</v>
      </c>
      <c r="AL312" s="32">
        <v>15.996700000000001</v>
      </c>
      <c r="AM312" s="11">
        <f t="shared" si="81"/>
        <v>8.0337999999999994</v>
      </c>
      <c r="AN312" s="34">
        <f t="shared" si="82"/>
        <v>3.0617577197149641</v>
      </c>
    </row>
    <row r="313" spans="1:40" s="32" customFormat="1" x14ac:dyDescent="0.25">
      <c r="A313" s="11" t="s">
        <v>165</v>
      </c>
      <c r="B313" s="32">
        <v>0.27400000000000002</v>
      </c>
      <c r="C313" s="32">
        <v>0</v>
      </c>
      <c r="D313" s="32">
        <v>30.143999999999998</v>
      </c>
      <c r="E313" s="32">
        <v>0.104</v>
      </c>
      <c r="F313" s="32">
        <v>7.2999999999999995E-2</v>
      </c>
      <c r="G313" s="32">
        <v>0</v>
      </c>
      <c r="H313" s="32">
        <v>0.63300000000000001</v>
      </c>
      <c r="I313" s="32">
        <v>1.6E-2</v>
      </c>
      <c r="J313" s="32">
        <v>5.8630000000000004</v>
      </c>
      <c r="K313" s="32">
        <v>0.79500000000000004</v>
      </c>
      <c r="L313" s="32">
        <v>49.395000000000003</v>
      </c>
      <c r="M313" s="32">
        <v>11.696</v>
      </c>
      <c r="N313" s="32">
        <v>0</v>
      </c>
      <c r="O313" s="32">
        <v>98.992999999999995</v>
      </c>
      <c r="Q313" s="34">
        <f t="shared" si="74"/>
        <v>0.41956990743962697</v>
      </c>
      <c r="R313" s="34">
        <f t="shared" si="75"/>
        <v>0.29018732167224909</v>
      </c>
      <c r="S313" s="34">
        <f t="shared" si="76"/>
        <v>0.10455080423695567</v>
      </c>
      <c r="T313" s="34">
        <f t="shared" si="77"/>
        <v>40.885433746883052</v>
      </c>
      <c r="U313" s="34">
        <f t="shared" si="78"/>
        <v>51.524716723492325</v>
      </c>
      <c r="V313" s="34">
        <f t="shared" si="79"/>
        <v>12.839220535132362</v>
      </c>
      <c r="W313" s="34">
        <f t="shared" si="80"/>
        <v>35.636062741375312</v>
      </c>
      <c r="X313" s="34"/>
      <c r="Y313" s="32">
        <v>3.3000000000000002E-2</v>
      </c>
      <c r="Z313" s="32">
        <v>0</v>
      </c>
      <c r="AA313" s="32">
        <v>4.0301999999999998</v>
      </c>
      <c r="AB313" s="32">
        <v>1.3100000000000001E-2</v>
      </c>
      <c r="AC313" s="32">
        <v>2.2800000000000001E-2</v>
      </c>
      <c r="AD313" s="32">
        <v>0</v>
      </c>
      <c r="AE313" s="32">
        <v>0.1192</v>
      </c>
      <c r="AF313" s="32">
        <v>3.3E-3</v>
      </c>
      <c r="AG313" s="32">
        <v>1.0044</v>
      </c>
      <c r="AH313" s="32">
        <v>0.1076</v>
      </c>
      <c r="AI313" s="32">
        <v>7.8964999999999996</v>
      </c>
      <c r="AJ313" s="32">
        <v>2.7871999999999999</v>
      </c>
      <c r="AK313" s="32">
        <v>0</v>
      </c>
      <c r="AL313" s="32">
        <v>16.017299999999999</v>
      </c>
      <c r="AM313" s="11">
        <f t="shared" si="81"/>
        <v>8.0156999999999989</v>
      </c>
      <c r="AN313" s="34">
        <f t="shared" si="82"/>
        <v>3.6121212121212118</v>
      </c>
    </row>
    <row r="314" spans="1:40" s="32" customFormat="1" x14ac:dyDescent="0.25">
      <c r="A314" s="11" t="s">
        <v>265</v>
      </c>
      <c r="B314" s="32">
        <v>0.32400000000000001</v>
      </c>
      <c r="C314" s="32">
        <v>7.0000000000000001E-3</v>
      </c>
      <c r="D314" s="32">
        <v>29.891999999999999</v>
      </c>
      <c r="E314" s="32">
        <v>0.153</v>
      </c>
      <c r="F314" s="32">
        <v>9.4E-2</v>
      </c>
      <c r="G314" s="32">
        <v>0</v>
      </c>
      <c r="H314" s="32">
        <v>0.60299999999999998</v>
      </c>
      <c r="I314" s="32">
        <v>4.0000000000000001E-3</v>
      </c>
      <c r="J314" s="32">
        <v>6.4509999999999996</v>
      </c>
      <c r="K314" s="32">
        <v>0.77500000000000002</v>
      </c>
      <c r="L314" s="32">
        <v>49.22</v>
      </c>
      <c r="M314" s="32">
        <v>11.276999999999999</v>
      </c>
      <c r="N314" s="32">
        <v>0</v>
      </c>
      <c r="O314" s="32">
        <v>98.8</v>
      </c>
      <c r="Q314" s="34">
        <f t="shared" si="74"/>
        <v>0.41606235646182754</v>
      </c>
      <c r="R314" s="34">
        <f t="shared" si="75"/>
        <v>0.2797915891328619</v>
      </c>
      <c r="S314" s="34">
        <f t="shared" si="76"/>
        <v>0.11503619957915759</v>
      </c>
      <c r="T314" s="34">
        <f t="shared" si="77"/>
        <v>40.208378626602013</v>
      </c>
      <c r="U314" s="34">
        <f t="shared" si="78"/>
        <v>51.309336898233951</v>
      </c>
      <c r="V314" s="34">
        <f t="shared" si="79"/>
        <v>14.186409868687569</v>
      </c>
      <c r="W314" s="34">
        <f t="shared" si="80"/>
        <v>34.504253233078479</v>
      </c>
      <c r="X314" s="34"/>
      <c r="Y314" s="32">
        <v>3.9100000000000003E-2</v>
      </c>
      <c r="Z314" s="32">
        <v>8.9999999999999998E-4</v>
      </c>
      <c r="AA314" s="32">
        <v>4.0091000000000001</v>
      </c>
      <c r="AB314" s="32">
        <v>1.9400000000000001E-2</v>
      </c>
      <c r="AC314" s="32">
        <v>2.92E-2</v>
      </c>
      <c r="AD314" s="32">
        <v>0</v>
      </c>
      <c r="AE314" s="32">
        <v>0.1139</v>
      </c>
      <c r="AF314" s="32">
        <v>8.9999999999999998E-4</v>
      </c>
      <c r="AG314" s="32">
        <v>1.1084000000000001</v>
      </c>
      <c r="AH314" s="32">
        <v>0.1053</v>
      </c>
      <c r="AI314" s="32">
        <v>7.8935000000000004</v>
      </c>
      <c r="AJ314" s="32">
        <v>2.6960000000000002</v>
      </c>
      <c r="AK314" s="32">
        <v>0</v>
      </c>
      <c r="AL314" s="32">
        <v>16.015699999999999</v>
      </c>
      <c r="AM314" s="11">
        <f t="shared" si="81"/>
        <v>8.0074000000000005</v>
      </c>
      <c r="AN314" s="34">
        <f t="shared" si="82"/>
        <v>2.9130434782608692</v>
      </c>
    </row>
    <row r="315" spans="1:40" s="32" customFormat="1" x14ac:dyDescent="0.25">
      <c r="A315" s="11" t="s">
        <v>42</v>
      </c>
      <c r="B315" s="32">
        <v>0.41399999999999998</v>
      </c>
      <c r="C315" s="32">
        <v>0</v>
      </c>
      <c r="D315" s="32">
        <v>29.91</v>
      </c>
      <c r="E315" s="32">
        <v>0.16700000000000001</v>
      </c>
      <c r="F315" s="32">
        <v>6.9000000000000006E-2</v>
      </c>
      <c r="G315" s="32">
        <v>6.9000000000000006E-2</v>
      </c>
      <c r="H315" s="32">
        <v>0.70299999999999996</v>
      </c>
      <c r="I315" s="32">
        <v>0</v>
      </c>
      <c r="J315" s="32">
        <v>6.8319999999999999</v>
      </c>
      <c r="K315" s="32">
        <v>0.71899999999999997</v>
      </c>
      <c r="L315" s="32">
        <v>49.185000000000002</v>
      </c>
      <c r="M315" s="32">
        <v>11.25</v>
      </c>
      <c r="N315" s="32">
        <v>0.151</v>
      </c>
      <c r="O315" s="32">
        <v>99.468999999999994</v>
      </c>
      <c r="Q315" s="34">
        <f t="shared" si="74"/>
        <v>0.41631289581738468</v>
      </c>
      <c r="R315" s="34">
        <f t="shared" si="75"/>
        <v>0.27912169705991813</v>
      </c>
      <c r="S315" s="34">
        <f t="shared" si="76"/>
        <v>0.12183030778558436</v>
      </c>
      <c r="T315" s="34">
        <f t="shared" si="77"/>
        <v>40.136297492058212</v>
      </c>
      <c r="U315" s="34">
        <f t="shared" si="78"/>
        <v>50.939774298359254</v>
      </c>
      <c r="V315" s="34">
        <f t="shared" si="79"/>
        <v>14.907076969384988</v>
      </c>
      <c r="W315" s="34">
        <f t="shared" si="80"/>
        <v>34.153148732255758</v>
      </c>
      <c r="X315" s="34"/>
      <c r="Y315" s="32">
        <v>4.9700000000000001E-2</v>
      </c>
      <c r="Z315" s="32">
        <v>0</v>
      </c>
      <c r="AA315" s="32">
        <v>3.9895</v>
      </c>
      <c r="AB315" s="32">
        <v>2.1000000000000001E-2</v>
      </c>
      <c r="AC315" s="32">
        <v>2.1399999999999999E-2</v>
      </c>
      <c r="AD315" s="32">
        <v>9.2999999999999992E-3</v>
      </c>
      <c r="AE315" s="32">
        <v>0.1321</v>
      </c>
      <c r="AF315" s="32">
        <v>0</v>
      </c>
      <c r="AG315" s="32">
        <v>1.1676</v>
      </c>
      <c r="AH315" s="32">
        <v>9.7199999999999995E-2</v>
      </c>
      <c r="AI315" s="32">
        <v>7.8444000000000003</v>
      </c>
      <c r="AJ315" s="32">
        <v>2.6745999999999999</v>
      </c>
      <c r="AK315" s="32">
        <v>1.9300000000000001E-2</v>
      </c>
      <c r="AL315" s="32">
        <v>16.0261</v>
      </c>
      <c r="AM315" s="11">
        <f t="shared" si="81"/>
        <v>7.9765000000000006</v>
      </c>
      <c r="AN315" s="34">
        <f t="shared" si="82"/>
        <v>2.6579476861167</v>
      </c>
    </row>
    <row r="316" spans="1:40" s="32" customFormat="1" x14ac:dyDescent="0.25">
      <c r="A316" s="11" t="s">
        <v>167</v>
      </c>
      <c r="B316" s="32">
        <v>0.378</v>
      </c>
      <c r="C316" s="32">
        <v>0</v>
      </c>
      <c r="D316" s="32">
        <v>31.015000000000001</v>
      </c>
      <c r="E316" s="32">
        <v>0.13</v>
      </c>
      <c r="F316" s="32">
        <v>7.3999999999999996E-2</v>
      </c>
      <c r="G316" s="32">
        <v>0</v>
      </c>
      <c r="H316" s="32">
        <v>0.64400000000000002</v>
      </c>
      <c r="I316" s="32">
        <v>0</v>
      </c>
      <c r="J316" s="32">
        <v>6.0759999999999996</v>
      </c>
      <c r="K316" s="32">
        <v>0.81599999999999995</v>
      </c>
      <c r="L316" s="32">
        <v>49.268000000000001</v>
      </c>
      <c r="M316" s="32">
        <v>11.391</v>
      </c>
      <c r="N316" s="32">
        <v>0</v>
      </c>
      <c r="O316" s="32">
        <v>99.792000000000002</v>
      </c>
      <c r="Q316" s="34">
        <f t="shared" si="74"/>
        <v>0.43169322847797342</v>
      </c>
      <c r="R316" s="34">
        <f t="shared" si="75"/>
        <v>0.28262002232973576</v>
      </c>
      <c r="S316" s="34">
        <f t="shared" si="76"/>
        <v>0.1083490852027533</v>
      </c>
      <c r="T316" s="34">
        <f t="shared" si="77"/>
        <v>39.565277839962135</v>
      </c>
      <c r="U316" s="34">
        <f t="shared" si="78"/>
        <v>52.47514193630024</v>
      </c>
      <c r="V316" s="34">
        <f t="shared" si="79"/>
        <v>13.170541601332692</v>
      </c>
      <c r="W316" s="34">
        <f t="shared" si="80"/>
        <v>34.354316462367066</v>
      </c>
      <c r="X316" s="34"/>
      <c r="Y316" s="32">
        <v>4.53E-2</v>
      </c>
      <c r="Z316" s="32">
        <v>0</v>
      </c>
      <c r="AA316" s="32">
        <v>4.1338999999999997</v>
      </c>
      <c r="AB316" s="32">
        <v>1.6400000000000001E-2</v>
      </c>
      <c r="AC316" s="32">
        <v>2.2800000000000001E-2</v>
      </c>
      <c r="AD316" s="32">
        <v>0</v>
      </c>
      <c r="AE316" s="32">
        <v>0.12089999999999999</v>
      </c>
      <c r="AF316" s="32">
        <v>0</v>
      </c>
      <c r="AG316" s="32">
        <v>1.0376000000000001</v>
      </c>
      <c r="AH316" s="32">
        <v>0.11020000000000001</v>
      </c>
      <c r="AI316" s="32">
        <v>7.8520000000000003</v>
      </c>
      <c r="AJ316" s="32">
        <v>2.7061999999999999</v>
      </c>
      <c r="AK316" s="32">
        <v>0</v>
      </c>
      <c r="AL316" s="32">
        <v>16.045300000000001</v>
      </c>
      <c r="AM316" s="11">
        <f t="shared" si="81"/>
        <v>7.9729000000000001</v>
      </c>
      <c r="AN316" s="34">
        <f t="shared" si="82"/>
        <v>2.6688741721854301</v>
      </c>
    </row>
    <row r="317" spans="1:40" s="32" customFormat="1" x14ac:dyDescent="0.25">
      <c r="A317" s="11" t="s">
        <v>263</v>
      </c>
      <c r="B317" s="32">
        <v>0.26100000000000001</v>
      </c>
      <c r="C317" s="32">
        <v>0</v>
      </c>
      <c r="D317" s="32">
        <v>31.286000000000001</v>
      </c>
      <c r="E317" s="32">
        <v>0.11899999999999999</v>
      </c>
      <c r="F317" s="32">
        <v>4.5999999999999999E-2</v>
      </c>
      <c r="G317" s="32">
        <v>0</v>
      </c>
      <c r="H317" s="32">
        <v>0.628</v>
      </c>
      <c r="I317" s="32">
        <v>2E-3</v>
      </c>
      <c r="J317" s="32">
        <v>5.7030000000000003</v>
      </c>
      <c r="K317" s="32">
        <v>0.77600000000000002</v>
      </c>
      <c r="L317" s="32">
        <v>49.341000000000001</v>
      </c>
      <c r="M317" s="32">
        <v>11.276</v>
      </c>
      <c r="N317" s="32">
        <v>0</v>
      </c>
      <c r="O317" s="32">
        <v>99.438000000000002</v>
      </c>
      <c r="Q317" s="34">
        <f t="shared" si="74"/>
        <v>0.43546523766441647</v>
      </c>
      <c r="R317" s="34">
        <f t="shared" si="75"/>
        <v>0.27976677831534547</v>
      </c>
      <c r="S317" s="34">
        <f t="shared" si="76"/>
        <v>0.1016976354363565</v>
      </c>
      <c r="T317" s="34">
        <f t="shared" si="77"/>
        <v>39.115527837789308</v>
      </c>
      <c r="U317" s="34">
        <f t="shared" si="78"/>
        <v>53.305108574471873</v>
      </c>
      <c r="V317" s="34">
        <f t="shared" si="79"/>
        <v>12.448762908785021</v>
      </c>
      <c r="W317" s="34">
        <f t="shared" si="80"/>
        <v>34.24612851674312</v>
      </c>
      <c r="X317" s="34"/>
      <c r="Y317" s="32">
        <v>3.1399999999999997E-2</v>
      </c>
      <c r="Z317" s="32">
        <v>0</v>
      </c>
      <c r="AA317" s="32">
        <v>4.1832000000000003</v>
      </c>
      <c r="AB317" s="32">
        <v>1.5100000000000001E-2</v>
      </c>
      <c r="AC317" s="32">
        <v>1.44E-2</v>
      </c>
      <c r="AD317" s="32">
        <v>0</v>
      </c>
      <c r="AE317" s="32">
        <v>0.11840000000000001</v>
      </c>
      <c r="AF317" s="32">
        <v>4.0000000000000002E-4</v>
      </c>
      <c r="AG317" s="32">
        <v>0.97699999999999998</v>
      </c>
      <c r="AH317" s="32">
        <v>0.1051</v>
      </c>
      <c r="AI317" s="32">
        <v>7.8884999999999996</v>
      </c>
      <c r="AJ317" s="32">
        <v>2.6873</v>
      </c>
      <c r="AK317" s="32">
        <v>0</v>
      </c>
      <c r="AL317" s="32">
        <v>16.020800000000001</v>
      </c>
      <c r="AM317" s="11">
        <f t="shared" si="81"/>
        <v>8.0068999999999999</v>
      </c>
      <c r="AN317" s="34">
        <f t="shared" si="82"/>
        <v>3.7707006369426757</v>
      </c>
    </row>
    <row r="318" spans="1:40" s="32" customFormat="1" x14ac:dyDescent="0.25">
      <c r="A318" s="11" t="s">
        <v>664</v>
      </c>
      <c r="B318" s="32">
        <v>0.35</v>
      </c>
      <c r="C318" s="32">
        <v>0</v>
      </c>
      <c r="D318" s="32">
        <v>31.283000000000001</v>
      </c>
      <c r="E318" s="32">
        <v>8.3000000000000004E-2</v>
      </c>
      <c r="F318" s="32">
        <v>0.06</v>
      </c>
      <c r="G318" s="32">
        <v>0</v>
      </c>
      <c r="H318" s="32">
        <v>0.51400000000000001</v>
      </c>
      <c r="I318" s="32">
        <v>1E-3</v>
      </c>
      <c r="J318" s="32">
        <v>5.9939999999999998</v>
      </c>
      <c r="K318" s="32">
        <v>0.83299999999999996</v>
      </c>
      <c r="L318" s="32">
        <v>49.555999999999997</v>
      </c>
      <c r="M318" s="32">
        <v>11.265000000000001</v>
      </c>
      <c r="N318" s="32">
        <v>0.27400000000000002</v>
      </c>
      <c r="O318" s="32">
        <v>100.21299999999999</v>
      </c>
      <c r="Q318" s="34">
        <f t="shared" si="74"/>
        <v>0.43542348110515694</v>
      </c>
      <c r="R318" s="34">
        <f t="shared" si="75"/>
        <v>0.27949385932266468</v>
      </c>
      <c r="S318" s="34">
        <f t="shared" si="76"/>
        <v>0.10688683619244622</v>
      </c>
      <c r="T318" s="34">
        <f t="shared" si="77"/>
        <v>39.09456989187165</v>
      </c>
      <c r="U318" s="34">
        <f t="shared" si="78"/>
        <v>52.983848645777044</v>
      </c>
      <c r="V318" s="34">
        <f t="shared" si="79"/>
        <v>13.006363222930609</v>
      </c>
      <c r="W318" s="34">
        <f t="shared" si="80"/>
        <v>34.009788131292353</v>
      </c>
      <c r="X318" s="34"/>
      <c r="Y318" s="32">
        <v>4.19E-2</v>
      </c>
      <c r="Z318" s="32">
        <v>0</v>
      </c>
      <c r="AA318" s="32">
        <v>4.1581000000000001</v>
      </c>
      <c r="AB318" s="32">
        <v>1.0500000000000001E-2</v>
      </c>
      <c r="AC318" s="32">
        <v>1.84E-2</v>
      </c>
      <c r="AD318" s="32">
        <v>0</v>
      </c>
      <c r="AE318" s="32">
        <v>9.6299999999999997E-2</v>
      </c>
      <c r="AF318" s="32">
        <v>1E-4</v>
      </c>
      <c r="AG318" s="32">
        <v>1.0207999999999999</v>
      </c>
      <c r="AH318" s="32">
        <v>0.11210000000000001</v>
      </c>
      <c r="AI318" s="32">
        <v>7.8760000000000003</v>
      </c>
      <c r="AJ318" s="32">
        <v>2.6688999999999998</v>
      </c>
      <c r="AK318" s="32">
        <v>3.49E-2</v>
      </c>
      <c r="AL318" s="32">
        <v>16.038</v>
      </c>
      <c r="AM318" s="11">
        <f t="shared" si="81"/>
        <v>7.9723000000000006</v>
      </c>
      <c r="AN318" s="34">
        <f t="shared" si="82"/>
        <v>2.2983293556085918</v>
      </c>
    </row>
    <row r="319" spans="1:40" s="32" customFormat="1" x14ac:dyDescent="0.25">
      <c r="A319" s="11" t="s">
        <v>218</v>
      </c>
      <c r="B319" s="32">
        <v>0.32800000000000001</v>
      </c>
      <c r="C319" s="32">
        <v>0</v>
      </c>
      <c r="D319" s="32">
        <v>30.381</v>
      </c>
      <c r="E319" s="32">
        <v>0.08</v>
      </c>
      <c r="F319" s="32">
        <v>8.4000000000000005E-2</v>
      </c>
      <c r="G319" s="32">
        <v>0</v>
      </c>
      <c r="H319" s="32">
        <v>0.64300000000000002</v>
      </c>
      <c r="I319" s="32">
        <v>1.4E-2</v>
      </c>
      <c r="J319" s="32">
        <v>6.2880000000000003</v>
      </c>
      <c r="K319" s="32">
        <v>0.70199999999999996</v>
      </c>
      <c r="L319" s="32">
        <v>49.463999999999999</v>
      </c>
      <c r="M319" s="32">
        <v>10.912000000000001</v>
      </c>
      <c r="N319" s="32">
        <v>0</v>
      </c>
      <c r="O319" s="32">
        <v>98.896000000000001</v>
      </c>
      <c r="Q319" s="34">
        <f t="shared" si="74"/>
        <v>0.42286867562112884</v>
      </c>
      <c r="R319" s="34">
        <f t="shared" si="75"/>
        <v>0.2707356407393624</v>
      </c>
      <c r="S319" s="34">
        <f t="shared" si="76"/>
        <v>0.1121295338635472</v>
      </c>
      <c r="T319" s="34">
        <f t="shared" si="77"/>
        <v>39.033153968818631</v>
      </c>
      <c r="U319" s="34">
        <f t="shared" si="78"/>
        <v>52.482426486556079</v>
      </c>
      <c r="V319" s="34">
        <f t="shared" si="79"/>
        <v>13.916448195935793</v>
      </c>
      <c r="W319" s="34">
        <f t="shared" si="80"/>
        <v>33.601125317508128</v>
      </c>
      <c r="X319" s="34"/>
      <c r="Y319" s="32">
        <v>3.9600000000000003E-2</v>
      </c>
      <c r="Z319" s="32">
        <v>0</v>
      </c>
      <c r="AA319" s="32">
        <v>4.0720999999999998</v>
      </c>
      <c r="AB319" s="32">
        <v>1.0200000000000001E-2</v>
      </c>
      <c r="AC319" s="32">
        <v>2.6200000000000001E-2</v>
      </c>
      <c r="AD319" s="32">
        <v>0</v>
      </c>
      <c r="AE319" s="32">
        <v>0.12139999999999999</v>
      </c>
      <c r="AF319" s="32">
        <v>2.8999999999999998E-3</v>
      </c>
      <c r="AG319" s="32">
        <v>1.0799000000000001</v>
      </c>
      <c r="AH319" s="32">
        <v>9.5200000000000007E-2</v>
      </c>
      <c r="AI319" s="32">
        <v>7.9272999999999998</v>
      </c>
      <c r="AJ319" s="32">
        <v>2.6071</v>
      </c>
      <c r="AK319" s="32">
        <v>0</v>
      </c>
      <c r="AL319" s="32">
        <v>15.9819</v>
      </c>
      <c r="AM319" s="11">
        <f t="shared" si="81"/>
        <v>8.0487000000000002</v>
      </c>
      <c r="AN319" s="34">
        <f t="shared" si="82"/>
        <v>3.0656565656565653</v>
      </c>
    </row>
    <row r="320" spans="1:40" s="32" customFormat="1" x14ac:dyDescent="0.25">
      <c r="A320" s="11" t="s">
        <v>179</v>
      </c>
      <c r="B320" s="32">
        <v>0.32300000000000001</v>
      </c>
      <c r="C320" s="32">
        <v>0.03</v>
      </c>
      <c r="D320" s="32">
        <v>32.091000000000001</v>
      </c>
      <c r="E320" s="32">
        <v>0.121</v>
      </c>
      <c r="F320" s="32">
        <v>0.107</v>
      </c>
      <c r="G320" s="32">
        <v>2.1000000000000001E-2</v>
      </c>
      <c r="H320" s="32">
        <v>0.58699999999999997</v>
      </c>
      <c r="I320" s="32">
        <v>2.4E-2</v>
      </c>
      <c r="J320" s="32">
        <v>5.3609999999999998</v>
      </c>
      <c r="K320" s="32">
        <v>0.82399999999999995</v>
      </c>
      <c r="L320" s="32">
        <v>49.219000000000001</v>
      </c>
      <c r="M320" s="32">
        <v>11.489000000000001</v>
      </c>
      <c r="N320" s="32">
        <v>0</v>
      </c>
      <c r="O320" s="32">
        <v>100.197</v>
      </c>
      <c r="Q320" s="34">
        <f t="shared" si="74"/>
        <v>0.44666991439905351</v>
      </c>
      <c r="R320" s="34">
        <f t="shared" si="75"/>
        <v>0.28505148244634665</v>
      </c>
      <c r="S320" s="34">
        <f t="shared" si="76"/>
        <v>9.5598987125075779E-2</v>
      </c>
      <c r="T320" s="34">
        <f t="shared" si="77"/>
        <v>38.956286323628305</v>
      </c>
      <c r="U320" s="34">
        <f t="shared" si="78"/>
        <v>53.989956376439721</v>
      </c>
      <c r="V320" s="34">
        <f t="shared" si="79"/>
        <v>11.555255857020848</v>
      </c>
      <c r="W320" s="34">
        <f t="shared" si="80"/>
        <v>34.45478776653944</v>
      </c>
      <c r="X320" s="34"/>
      <c r="Y320" s="32">
        <v>3.8600000000000002E-2</v>
      </c>
      <c r="Z320" s="32">
        <v>3.8E-3</v>
      </c>
      <c r="AA320" s="32">
        <v>4.2743000000000002</v>
      </c>
      <c r="AB320" s="32">
        <v>1.5299999999999999E-2</v>
      </c>
      <c r="AC320" s="32">
        <v>3.3000000000000002E-2</v>
      </c>
      <c r="AD320" s="32">
        <v>2.8E-3</v>
      </c>
      <c r="AE320" s="32">
        <v>0.11020000000000001</v>
      </c>
      <c r="AF320" s="32">
        <v>4.8999999999999998E-3</v>
      </c>
      <c r="AG320" s="32">
        <v>0.91479999999999995</v>
      </c>
      <c r="AH320" s="32">
        <v>0.11119999999999999</v>
      </c>
      <c r="AI320" s="32">
        <v>7.8384999999999998</v>
      </c>
      <c r="AJ320" s="32">
        <v>2.7275</v>
      </c>
      <c r="AK320" s="32">
        <v>0</v>
      </c>
      <c r="AL320" s="32">
        <v>16.0749</v>
      </c>
      <c r="AM320" s="11">
        <f t="shared" si="81"/>
        <v>7.9486999999999997</v>
      </c>
      <c r="AN320" s="34">
        <f t="shared" si="82"/>
        <v>2.854922279792746</v>
      </c>
    </row>
    <row r="321" spans="1:40" s="32" customFormat="1" x14ac:dyDescent="0.25">
      <c r="A321" s="11" t="s">
        <v>38</v>
      </c>
      <c r="B321" s="32">
        <v>0.371</v>
      </c>
      <c r="C321" s="32">
        <v>0</v>
      </c>
      <c r="D321" s="32">
        <v>30.56</v>
      </c>
      <c r="E321" s="32">
        <v>0.112</v>
      </c>
      <c r="F321" s="32">
        <v>5.0999999999999997E-2</v>
      </c>
      <c r="G321" s="32">
        <v>0</v>
      </c>
      <c r="H321" s="32">
        <v>0.61899999999999999</v>
      </c>
      <c r="I321" s="32">
        <v>7.0000000000000001E-3</v>
      </c>
      <c r="J321" s="32">
        <v>5.97</v>
      </c>
      <c r="K321" s="32">
        <v>0.78700000000000003</v>
      </c>
      <c r="L321" s="32">
        <v>49.542999999999999</v>
      </c>
      <c r="M321" s="32">
        <v>10.848000000000001</v>
      </c>
      <c r="N321" s="32">
        <v>0</v>
      </c>
      <c r="O321" s="32">
        <v>98.867999999999995</v>
      </c>
      <c r="Q321" s="34">
        <f t="shared" si="74"/>
        <v>0.42536015032361335</v>
      </c>
      <c r="R321" s="34">
        <f t="shared" si="75"/>
        <v>0.26914774841831041</v>
      </c>
      <c r="S321" s="34">
        <f t="shared" si="76"/>
        <v>0.10645886087235636</v>
      </c>
      <c r="T321" s="34">
        <f t="shared" si="77"/>
        <v>38.753734681183893</v>
      </c>
      <c r="U321" s="34">
        <f t="shared" si="78"/>
        <v>53.10584306001077</v>
      </c>
      <c r="V321" s="34">
        <f t="shared" si="79"/>
        <v>13.291295749104936</v>
      </c>
      <c r="W321" s="34">
        <f t="shared" si="80"/>
        <v>33.60286119088429</v>
      </c>
      <c r="X321" s="34"/>
      <c r="Y321" s="32">
        <v>4.4699999999999997E-2</v>
      </c>
      <c r="Z321" s="32">
        <v>0</v>
      </c>
      <c r="AA321" s="32">
        <v>4.0971000000000002</v>
      </c>
      <c r="AB321" s="32">
        <v>1.4200000000000001E-2</v>
      </c>
      <c r="AC321" s="32">
        <v>1.5900000000000001E-2</v>
      </c>
      <c r="AD321" s="32">
        <v>0</v>
      </c>
      <c r="AE321" s="32">
        <v>0.11700000000000001</v>
      </c>
      <c r="AF321" s="32">
        <v>1.4E-3</v>
      </c>
      <c r="AG321" s="32">
        <v>1.0254000000000001</v>
      </c>
      <c r="AH321" s="32">
        <v>0.10680000000000001</v>
      </c>
      <c r="AI321" s="32">
        <v>7.9417999999999997</v>
      </c>
      <c r="AJ321" s="32">
        <v>2.5922999999999998</v>
      </c>
      <c r="AK321" s="32">
        <v>0</v>
      </c>
      <c r="AL321" s="32">
        <v>15.9566</v>
      </c>
      <c r="AM321" s="11">
        <f t="shared" si="81"/>
        <v>8.0587999999999997</v>
      </c>
      <c r="AN321" s="34">
        <f t="shared" si="82"/>
        <v>2.6174496644295306</v>
      </c>
    </row>
    <row r="322" spans="1:40" s="32" customFormat="1" x14ac:dyDescent="0.25">
      <c r="A322" s="11" t="s">
        <v>189</v>
      </c>
      <c r="B322" s="32">
        <v>0.315</v>
      </c>
      <c r="C322" s="32">
        <v>1.0999999999999999E-2</v>
      </c>
      <c r="D322" s="32">
        <v>31.927</v>
      </c>
      <c r="E322" s="32">
        <v>9.4E-2</v>
      </c>
      <c r="F322" s="32">
        <v>5.3999999999999999E-2</v>
      </c>
      <c r="G322" s="32">
        <v>9.6000000000000002E-2</v>
      </c>
      <c r="H322" s="32">
        <v>0.53600000000000003</v>
      </c>
      <c r="I322" s="32">
        <v>1.7000000000000001E-2</v>
      </c>
      <c r="J322" s="32">
        <v>5.4169999999999998</v>
      </c>
      <c r="K322" s="32">
        <v>0.78200000000000003</v>
      </c>
      <c r="L322" s="32">
        <v>49.496000000000002</v>
      </c>
      <c r="M322" s="32">
        <v>11.135</v>
      </c>
      <c r="N322" s="32">
        <v>0</v>
      </c>
      <c r="O322" s="32">
        <v>99.88</v>
      </c>
      <c r="Q322" s="34">
        <f t="shared" si="74"/>
        <v>0.44438722249286661</v>
      </c>
      <c r="R322" s="34">
        <f t="shared" si="75"/>
        <v>0.27626845304552783</v>
      </c>
      <c r="S322" s="34">
        <f t="shared" si="76"/>
        <v>9.6597596205285491E-2</v>
      </c>
      <c r="T322" s="34">
        <f t="shared" si="77"/>
        <v>38.335707664985854</v>
      </c>
      <c r="U322" s="34">
        <f t="shared" si="78"/>
        <v>54.375704308252978</v>
      </c>
      <c r="V322" s="34">
        <f t="shared" si="79"/>
        <v>11.819787028712193</v>
      </c>
      <c r="W322" s="34">
        <f t="shared" si="80"/>
        <v>33.804508663034824</v>
      </c>
      <c r="X322" s="34"/>
      <c r="Y322" s="32">
        <v>3.7699999999999997E-2</v>
      </c>
      <c r="Z322" s="32">
        <v>1.4E-3</v>
      </c>
      <c r="AA322" s="32">
        <v>4.2561</v>
      </c>
      <c r="AB322" s="32">
        <v>1.18E-2</v>
      </c>
      <c r="AC322" s="32">
        <v>1.67E-2</v>
      </c>
      <c r="AD322" s="32">
        <v>1.2999999999999999E-2</v>
      </c>
      <c r="AE322" s="32">
        <v>0.1007</v>
      </c>
      <c r="AF322" s="32">
        <v>3.3999999999999998E-3</v>
      </c>
      <c r="AG322" s="32">
        <v>0.92520000000000002</v>
      </c>
      <c r="AH322" s="32">
        <v>0.1056</v>
      </c>
      <c r="AI322" s="32">
        <v>7.8895999999999997</v>
      </c>
      <c r="AJ322" s="32">
        <v>2.6459000000000001</v>
      </c>
      <c r="AK322" s="32">
        <v>0</v>
      </c>
      <c r="AL322" s="32">
        <v>16.007100000000001</v>
      </c>
      <c r="AM322" s="11">
        <f t="shared" si="81"/>
        <v>7.9902999999999995</v>
      </c>
      <c r="AN322" s="34">
        <f t="shared" si="82"/>
        <v>2.6710875331564989</v>
      </c>
    </row>
    <row r="323" spans="1:40" s="32" customFormat="1" x14ac:dyDescent="0.25">
      <c r="A323" s="11" t="s">
        <v>214</v>
      </c>
      <c r="B323" s="32">
        <v>0.47599999999999998</v>
      </c>
      <c r="C323" s="32">
        <v>3.3000000000000002E-2</v>
      </c>
      <c r="D323" s="32">
        <v>30.562000000000001</v>
      </c>
      <c r="E323" s="32">
        <v>0.08</v>
      </c>
      <c r="F323" s="32">
        <v>7.0000000000000007E-2</v>
      </c>
      <c r="G323" s="32">
        <v>7.4999999999999997E-2</v>
      </c>
      <c r="H323" s="32">
        <v>0.64900000000000002</v>
      </c>
      <c r="I323" s="32">
        <v>1.4E-2</v>
      </c>
      <c r="J323" s="32">
        <v>6.97</v>
      </c>
      <c r="K323" s="32">
        <v>0.73699999999999999</v>
      </c>
      <c r="L323" s="32">
        <v>49.225000000000001</v>
      </c>
      <c r="M323" s="32">
        <v>10.516</v>
      </c>
      <c r="N323" s="32">
        <v>0.51400000000000001</v>
      </c>
      <c r="O323" s="32">
        <v>99.921000000000006</v>
      </c>
      <c r="Q323" s="34">
        <f t="shared" si="74"/>
        <v>0.42538798802978639</v>
      </c>
      <c r="R323" s="34">
        <f t="shared" si="75"/>
        <v>0.26091055700285326</v>
      </c>
      <c r="S323" s="34">
        <f t="shared" si="76"/>
        <v>0.12429116587610113</v>
      </c>
      <c r="T323" s="34">
        <f t="shared" si="77"/>
        <v>38.017063986409092</v>
      </c>
      <c r="U323" s="34">
        <f t="shared" si="78"/>
        <v>52.478828969206859</v>
      </c>
      <c r="V323" s="34">
        <f t="shared" si="79"/>
        <v>15.333425061213774</v>
      </c>
      <c r="W323" s="34">
        <f t="shared" si="80"/>
        <v>32.187745969579368</v>
      </c>
      <c r="X323" s="34"/>
      <c r="Y323" s="32">
        <v>5.7099999999999998E-2</v>
      </c>
      <c r="Z323" s="32">
        <v>4.3E-3</v>
      </c>
      <c r="AA323" s="32">
        <v>4.0784000000000002</v>
      </c>
      <c r="AB323" s="32">
        <v>1.01E-2</v>
      </c>
      <c r="AC323" s="32">
        <v>2.1600000000000001E-2</v>
      </c>
      <c r="AD323" s="32">
        <v>1.01E-2</v>
      </c>
      <c r="AE323" s="32">
        <v>0.1221</v>
      </c>
      <c r="AF323" s="32">
        <v>2.8E-3</v>
      </c>
      <c r="AG323" s="32">
        <v>1.1916</v>
      </c>
      <c r="AH323" s="32">
        <v>9.9500000000000005E-2</v>
      </c>
      <c r="AI323" s="32">
        <v>7.8544999999999998</v>
      </c>
      <c r="AJ323" s="32">
        <v>2.5013999999999998</v>
      </c>
      <c r="AK323" s="32">
        <v>6.5799999999999997E-2</v>
      </c>
      <c r="AL323" s="32">
        <v>16.019300000000001</v>
      </c>
      <c r="AM323" s="11">
        <f t="shared" si="81"/>
        <v>7.9765999999999995</v>
      </c>
      <c r="AN323" s="34">
        <f t="shared" si="82"/>
        <v>2.138353765323993</v>
      </c>
    </row>
    <row r="324" spans="1:40" s="32" customFormat="1" x14ac:dyDescent="0.25">
      <c r="A324" s="11" t="s">
        <v>251</v>
      </c>
      <c r="B324" s="32">
        <v>0.46600000000000003</v>
      </c>
      <c r="C324" s="32">
        <v>0</v>
      </c>
      <c r="D324" s="32">
        <v>30.867000000000001</v>
      </c>
      <c r="E324" s="32">
        <v>0.11600000000000001</v>
      </c>
      <c r="F324" s="32">
        <v>9.2999999999999999E-2</v>
      </c>
      <c r="G324" s="32">
        <v>7.8E-2</v>
      </c>
      <c r="H324" s="32">
        <v>0.67500000000000004</v>
      </c>
      <c r="I324" s="32">
        <v>4.0000000000000001E-3</v>
      </c>
      <c r="J324" s="32">
        <v>6.5590000000000002</v>
      </c>
      <c r="K324" s="32">
        <v>0.747</v>
      </c>
      <c r="L324" s="32">
        <v>49.338999999999999</v>
      </c>
      <c r="M324" s="32">
        <v>10.45</v>
      </c>
      <c r="N324" s="32">
        <v>0</v>
      </c>
      <c r="O324" s="32">
        <v>99.394000000000005</v>
      </c>
      <c r="Q324" s="34">
        <f t="shared" si="74"/>
        <v>0.42963323822117061</v>
      </c>
      <c r="R324" s="34">
        <f t="shared" si="75"/>
        <v>0.25927304304676835</v>
      </c>
      <c r="S324" s="34">
        <f t="shared" si="76"/>
        <v>0.11696208851956204</v>
      </c>
      <c r="T324" s="34">
        <f t="shared" si="77"/>
        <v>37.635459292020634</v>
      </c>
      <c r="U324" s="34">
        <f t="shared" si="78"/>
        <v>53.313078702227813</v>
      </c>
      <c r="V324" s="34">
        <f t="shared" si="79"/>
        <v>14.513795664967432</v>
      </c>
      <c r="W324" s="34">
        <f t="shared" si="80"/>
        <v>32.173125632804762</v>
      </c>
      <c r="X324" s="34"/>
      <c r="Y324" s="32">
        <v>5.6099999999999997E-2</v>
      </c>
      <c r="Z324" s="32">
        <v>0</v>
      </c>
      <c r="AA324" s="32">
        <v>4.1296999999999997</v>
      </c>
      <c r="AB324" s="32">
        <v>1.47E-2</v>
      </c>
      <c r="AC324" s="32">
        <v>2.8799999999999999E-2</v>
      </c>
      <c r="AD324" s="32">
        <v>1.06E-2</v>
      </c>
      <c r="AE324" s="32">
        <v>0.1273</v>
      </c>
      <c r="AF324" s="32">
        <v>8.9999999999999998E-4</v>
      </c>
      <c r="AG324" s="32">
        <v>1.1243000000000001</v>
      </c>
      <c r="AH324" s="32">
        <v>0.1013</v>
      </c>
      <c r="AI324" s="32">
        <v>7.8929999999999998</v>
      </c>
      <c r="AJ324" s="32">
        <v>2.4921000000000002</v>
      </c>
      <c r="AK324" s="32">
        <v>0</v>
      </c>
      <c r="AL324" s="32">
        <v>15.9788</v>
      </c>
      <c r="AM324" s="11">
        <f t="shared" si="81"/>
        <v>8.0203000000000007</v>
      </c>
      <c r="AN324" s="34">
        <f t="shared" si="82"/>
        <v>2.2691622103386808</v>
      </c>
    </row>
    <row r="325" spans="1:40" s="32" customFormat="1" x14ac:dyDescent="0.25">
      <c r="A325" s="11" t="s">
        <v>199</v>
      </c>
      <c r="B325" s="32">
        <v>0.40200000000000002</v>
      </c>
      <c r="C325" s="32">
        <v>0</v>
      </c>
      <c r="D325" s="32">
        <v>31.97</v>
      </c>
      <c r="E325" s="32">
        <v>0.107</v>
      </c>
      <c r="F325" s="32">
        <v>7.0000000000000007E-2</v>
      </c>
      <c r="G325" s="32">
        <v>0</v>
      </c>
      <c r="H325" s="32">
        <v>0.57599999999999996</v>
      </c>
      <c r="I325" s="32">
        <v>0</v>
      </c>
      <c r="J325" s="32">
        <v>5.9240000000000004</v>
      </c>
      <c r="K325" s="32">
        <v>0.78</v>
      </c>
      <c r="L325" s="32">
        <v>49.1</v>
      </c>
      <c r="M325" s="32">
        <v>10.262</v>
      </c>
      <c r="N325" s="32">
        <v>0.153</v>
      </c>
      <c r="O325" s="32">
        <v>99.343999999999994</v>
      </c>
      <c r="Q325" s="34">
        <f t="shared" si="74"/>
        <v>0.44498573317558632</v>
      </c>
      <c r="R325" s="34">
        <f t="shared" si="75"/>
        <v>0.25460860935367824</v>
      </c>
      <c r="S325" s="34">
        <f t="shared" si="76"/>
        <v>0.1056385748421841</v>
      </c>
      <c r="T325" s="34">
        <f t="shared" si="77"/>
        <v>36.393749045080042</v>
      </c>
      <c r="U325" s="34">
        <f t="shared" si="78"/>
        <v>55.261741488185756</v>
      </c>
      <c r="V325" s="34">
        <f t="shared" si="79"/>
        <v>13.119008495954681</v>
      </c>
      <c r="W325" s="34">
        <f t="shared" si="80"/>
        <v>31.619250015859567</v>
      </c>
      <c r="X325" s="34"/>
      <c r="Y325" s="32">
        <v>4.8599999999999997E-2</v>
      </c>
      <c r="Z325" s="32">
        <v>0</v>
      </c>
      <c r="AA325" s="32">
        <v>4.3014999999999999</v>
      </c>
      <c r="AB325" s="32">
        <v>1.3599999999999999E-2</v>
      </c>
      <c r="AC325" s="32">
        <v>2.1899999999999999E-2</v>
      </c>
      <c r="AD325" s="32">
        <v>0</v>
      </c>
      <c r="AE325" s="32">
        <v>0.10920000000000001</v>
      </c>
      <c r="AF325" s="32">
        <v>0</v>
      </c>
      <c r="AG325" s="32">
        <v>1.0210999999999999</v>
      </c>
      <c r="AH325" s="32">
        <v>0.10630000000000001</v>
      </c>
      <c r="AI325" s="32">
        <v>7.899</v>
      </c>
      <c r="AJ325" s="32">
        <v>2.4609999999999999</v>
      </c>
      <c r="AK325" s="32">
        <v>1.9699999999999999E-2</v>
      </c>
      <c r="AL325" s="32">
        <v>16.001899999999999</v>
      </c>
      <c r="AM325" s="11">
        <f t="shared" si="81"/>
        <v>8.0082000000000004</v>
      </c>
      <c r="AN325" s="34">
        <f t="shared" si="82"/>
        <v>2.2469135802469138</v>
      </c>
    </row>
    <row r="326" spans="1:40" s="32" customFormat="1" x14ac:dyDescent="0.25">
      <c r="A326" s="11" t="s">
        <v>665</v>
      </c>
      <c r="B326" s="32">
        <v>0.39500000000000002</v>
      </c>
      <c r="C326" s="32">
        <v>0</v>
      </c>
      <c r="D326" s="32">
        <v>32.6</v>
      </c>
      <c r="E326" s="32">
        <v>6.7000000000000004E-2</v>
      </c>
      <c r="F326" s="32">
        <v>4.7E-2</v>
      </c>
      <c r="G326" s="32">
        <v>0.01</v>
      </c>
      <c r="H326" s="32">
        <v>0.55900000000000005</v>
      </c>
      <c r="I326" s="32">
        <v>0</v>
      </c>
      <c r="J326" s="32">
        <v>5.8179999999999996</v>
      </c>
      <c r="K326" s="32">
        <v>0.84599999999999997</v>
      </c>
      <c r="L326" s="32">
        <v>49.112000000000002</v>
      </c>
      <c r="M326" s="32">
        <v>10.369</v>
      </c>
      <c r="N326" s="32">
        <v>0</v>
      </c>
      <c r="O326" s="32">
        <v>99.822999999999993</v>
      </c>
      <c r="Q326" s="34">
        <f t="shared" si="74"/>
        <v>0.45375461062008493</v>
      </c>
      <c r="R326" s="34">
        <f t="shared" si="75"/>
        <v>0.25726336682793699</v>
      </c>
      <c r="S326" s="34">
        <f t="shared" si="76"/>
        <v>0.10374835051178714</v>
      </c>
      <c r="T326" s="34">
        <f t="shared" si="77"/>
        <v>36.182399740623147</v>
      </c>
      <c r="U326" s="34">
        <f t="shared" si="78"/>
        <v>55.691379853202264</v>
      </c>
      <c r="V326" s="34">
        <f t="shared" si="79"/>
        <v>12.733509836074727</v>
      </c>
      <c r="W326" s="34">
        <f t="shared" si="80"/>
        <v>31.575110310723019</v>
      </c>
      <c r="X326" s="34"/>
      <c r="Y326" s="32">
        <v>4.7699999999999999E-2</v>
      </c>
      <c r="Z326" s="32">
        <v>0</v>
      </c>
      <c r="AA326" s="32">
        <v>4.3731999999999998</v>
      </c>
      <c r="AB326" s="32">
        <v>8.5000000000000006E-3</v>
      </c>
      <c r="AC326" s="32">
        <v>1.46E-2</v>
      </c>
      <c r="AD326" s="32">
        <v>1.4E-3</v>
      </c>
      <c r="AE326" s="32">
        <v>0.1057</v>
      </c>
      <c r="AF326" s="32">
        <v>0</v>
      </c>
      <c r="AG326" s="32">
        <v>1</v>
      </c>
      <c r="AH326" s="32">
        <v>0.115</v>
      </c>
      <c r="AI326" s="32">
        <v>7.8775000000000004</v>
      </c>
      <c r="AJ326" s="32">
        <v>2.4792999999999998</v>
      </c>
      <c r="AK326" s="32">
        <v>0</v>
      </c>
      <c r="AL326" s="32">
        <v>16.0229</v>
      </c>
      <c r="AM326" s="11">
        <f t="shared" si="81"/>
        <v>7.9832000000000001</v>
      </c>
      <c r="AN326" s="34">
        <f t="shared" si="82"/>
        <v>2.2159329140461215</v>
      </c>
    </row>
    <row r="327" spans="1:40" s="32" customFormat="1" x14ac:dyDescent="0.25">
      <c r="A327" s="11" t="s">
        <v>259</v>
      </c>
      <c r="B327" s="32">
        <v>0.42299999999999999</v>
      </c>
      <c r="C327" s="32">
        <v>5.2999999999999999E-2</v>
      </c>
      <c r="D327" s="32">
        <v>32.393000000000001</v>
      </c>
      <c r="E327" s="32">
        <v>7.1999999999999995E-2</v>
      </c>
      <c r="F327" s="32">
        <v>7.8E-2</v>
      </c>
      <c r="G327" s="32">
        <v>7.0000000000000001E-3</v>
      </c>
      <c r="H327" s="32">
        <v>0.59</v>
      </c>
      <c r="I327" s="32">
        <v>1E-3</v>
      </c>
      <c r="J327" s="32">
        <v>6.2759999999999998</v>
      </c>
      <c r="K327" s="32">
        <v>0.83899999999999997</v>
      </c>
      <c r="L327" s="32">
        <v>49.09</v>
      </c>
      <c r="M327" s="32">
        <v>10.28</v>
      </c>
      <c r="N327" s="32">
        <v>0</v>
      </c>
      <c r="O327" s="32">
        <v>100.102</v>
      </c>
      <c r="Q327" s="34">
        <f t="shared" si="74"/>
        <v>0.45087340803117826</v>
      </c>
      <c r="R327" s="34">
        <f t="shared" si="75"/>
        <v>0.25505520406897408</v>
      </c>
      <c r="S327" s="34">
        <f t="shared" si="76"/>
        <v>0.11191554620350226</v>
      </c>
      <c r="T327" s="34">
        <f t="shared" si="77"/>
        <v>36.130452810260735</v>
      </c>
      <c r="U327" s="34">
        <f t="shared" si="78"/>
        <v>55.129501562542792</v>
      </c>
      <c r="V327" s="34">
        <f t="shared" si="79"/>
        <v>13.684214170537551</v>
      </c>
      <c r="W327" s="34">
        <f t="shared" si="80"/>
        <v>31.18628426691965</v>
      </c>
      <c r="X327" s="34"/>
      <c r="Y327" s="32">
        <v>5.0900000000000001E-2</v>
      </c>
      <c r="Z327" s="32">
        <v>6.8999999999999999E-3</v>
      </c>
      <c r="AA327" s="32">
        <v>4.3365999999999998</v>
      </c>
      <c r="AB327" s="32">
        <v>9.1999999999999998E-3</v>
      </c>
      <c r="AC327" s="32">
        <v>2.41E-2</v>
      </c>
      <c r="AD327" s="32">
        <v>8.9999999999999998E-4</v>
      </c>
      <c r="AE327" s="32">
        <v>0.1113</v>
      </c>
      <c r="AF327" s="32">
        <v>1E-4</v>
      </c>
      <c r="AG327" s="32">
        <v>1.0765</v>
      </c>
      <c r="AH327" s="32">
        <v>0.1137</v>
      </c>
      <c r="AI327" s="32">
        <v>7.8582000000000001</v>
      </c>
      <c r="AJ327" s="32">
        <v>2.4529999999999998</v>
      </c>
      <c r="AK327" s="32">
        <v>0</v>
      </c>
      <c r="AL327" s="32">
        <v>16.041399999999999</v>
      </c>
      <c r="AM327" s="11">
        <f t="shared" si="81"/>
        <v>7.9695</v>
      </c>
      <c r="AN327" s="34">
        <f t="shared" si="82"/>
        <v>2.1866404715127699</v>
      </c>
    </row>
    <row r="328" spans="1:40" s="32" customFormat="1" x14ac:dyDescent="0.25">
      <c r="A328" s="11" t="s">
        <v>62</v>
      </c>
      <c r="B328" s="32">
        <v>0.435</v>
      </c>
      <c r="C328" s="32">
        <v>0</v>
      </c>
      <c r="D328" s="32">
        <v>31.524999999999999</v>
      </c>
      <c r="E328" s="32">
        <v>5.8999999999999997E-2</v>
      </c>
      <c r="F328" s="32">
        <v>8.7999999999999995E-2</v>
      </c>
      <c r="G328" s="32">
        <v>3.5999999999999997E-2</v>
      </c>
      <c r="H328" s="32">
        <v>0.67500000000000004</v>
      </c>
      <c r="I328" s="32">
        <v>0</v>
      </c>
      <c r="J328" s="32">
        <v>6.5860000000000003</v>
      </c>
      <c r="K328" s="32">
        <v>0.78500000000000003</v>
      </c>
      <c r="L328" s="32">
        <v>48.771000000000001</v>
      </c>
      <c r="M328" s="32">
        <v>9.91</v>
      </c>
      <c r="N328" s="32">
        <v>0</v>
      </c>
      <c r="O328" s="32">
        <v>98.87</v>
      </c>
      <c r="Q328" s="34">
        <f t="shared" si="74"/>
        <v>0.43879184355209128</v>
      </c>
      <c r="R328" s="34">
        <f t="shared" si="75"/>
        <v>0.24587520158789233</v>
      </c>
      <c r="S328" s="34">
        <f t="shared" si="76"/>
        <v>0.11744356075466315</v>
      </c>
      <c r="T328" s="34">
        <f t="shared" si="77"/>
        <v>35.911645424327659</v>
      </c>
      <c r="U328" s="34">
        <f t="shared" si="78"/>
        <v>54.70465548360103</v>
      </c>
      <c r="V328" s="34">
        <f t="shared" si="79"/>
        <v>14.641816214818732</v>
      </c>
      <c r="W328" s="34">
        <f t="shared" si="80"/>
        <v>30.653528301580245</v>
      </c>
      <c r="X328" s="34"/>
      <c r="Y328" s="32">
        <v>5.28E-2</v>
      </c>
      <c r="Z328" s="32">
        <v>0</v>
      </c>
      <c r="AA328" s="32">
        <v>4.2615999999999996</v>
      </c>
      <c r="AB328" s="32">
        <v>7.4999999999999997E-3</v>
      </c>
      <c r="AC328" s="32">
        <v>2.75E-2</v>
      </c>
      <c r="AD328" s="32">
        <v>4.8999999999999998E-3</v>
      </c>
      <c r="AE328" s="32">
        <v>0.12870000000000001</v>
      </c>
      <c r="AF328" s="32">
        <v>0</v>
      </c>
      <c r="AG328" s="32">
        <v>1.1406000000000001</v>
      </c>
      <c r="AH328" s="32">
        <v>0.1074</v>
      </c>
      <c r="AI328" s="32">
        <v>7.8833000000000002</v>
      </c>
      <c r="AJ328" s="32">
        <v>2.3877000000000002</v>
      </c>
      <c r="AK328" s="32">
        <v>0</v>
      </c>
      <c r="AL328" s="32">
        <v>16.001999999999999</v>
      </c>
      <c r="AM328" s="11">
        <f t="shared" si="81"/>
        <v>8.0120000000000005</v>
      </c>
      <c r="AN328" s="34">
        <f t="shared" si="82"/>
        <v>2.4375</v>
      </c>
    </row>
    <row r="329" spans="1:40" s="32" customFormat="1" x14ac:dyDescent="0.25">
      <c r="A329" s="11" t="s">
        <v>115</v>
      </c>
      <c r="B329" s="32">
        <v>0.46800000000000003</v>
      </c>
      <c r="C329" s="32">
        <v>3.3000000000000002E-2</v>
      </c>
      <c r="D329" s="32">
        <v>31.39</v>
      </c>
      <c r="E329" s="32">
        <v>6.2E-2</v>
      </c>
      <c r="F329" s="32">
        <v>0.106</v>
      </c>
      <c r="G329" s="32">
        <v>0</v>
      </c>
      <c r="H329" s="32">
        <v>0.58299999999999996</v>
      </c>
      <c r="I329" s="32">
        <v>0</v>
      </c>
      <c r="J329" s="32">
        <v>7.3140000000000001</v>
      </c>
      <c r="K329" s="32">
        <v>0.82399999999999995</v>
      </c>
      <c r="L329" s="32">
        <v>48.707999999999998</v>
      </c>
      <c r="M329" s="32">
        <v>9.8569999999999993</v>
      </c>
      <c r="N329" s="32">
        <v>0</v>
      </c>
      <c r="O329" s="32">
        <v>99.344999999999999</v>
      </c>
      <c r="Q329" s="34">
        <f t="shared" si="74"/>
        <v>0.43691279838541308</v>
      </c>
      <c r="R329" s="34">
        <f t="shared" si="75"/>
        <v>0.24456022825952115</v>
      </c>
      <c r="S329" s="34">
        <f t="shared" si="76"/>
        <v>0.13042547879738933</v>
      </c>
      <c r="T329" s="34">
        <f t="shared" si="77"/>
        <v>35.887000467729976</v>
      </c>
      <c r="U329" s="34">
        <f t="shared" si="78"/>
        <v>53.813721229525143</v>
      </c>
      <c r="V329" s="34">
        <f t="shared" si="79"/>
        <v>16.06425900812976</v>
      </c>
      <c r="W329" s="34">
        <f t="shared" si="80"/>
        <v>30.122019762345094</v>
      </c>
      <c r="X329" s="34"/>
      <c r="Y329" s="32">
        <v>5.6800000000000003E-2</v>
      </c>
      <c r="Z329" s="32">
        <v>4.3E-3</v>
      </c>
      <c r="AA329" s="32">
        <v>4.2332000000000001</v>
      </c>
      <c r="AB329" s="32">
        <v>8.0000000000000002E-3</v>
      </c>
      <c r="AC329" s="32">
        <v>3.3300000000000003E-2</v>
      </c>
      <c r="AD329" s="32">
        <v>0</v>
      </c>
      <c r="AE329" s="32">
        <v>0.1108</v>
      </c>
      <c r="AF329" s="32">
        <v>0</v>
      </c>
      <c r="AG329" s="32">
        <v>1.2636000000000001</v>
      </c>
      <c r="AH329" s="32">
        <v>0.11260000000000001</v>
      </c>
      <c r="AI329" s="32">
        <v>7.8541999999999996</v>
      </c>
      <c r="AJ329" s="32">
        <v>2.3694999999999999</v>
      </c>
      <c r="AK329" s="32">
        <v>0</v>
      </c>
      <c r="AL329" s="32">
        <v>16.046299999999999</v>
      </c>
      <c r="AM329" s="11">
        <f t="shared" si="81"/>
        <v>7.9649999999999999</v>
      </c>
      <c r="AN329" s="34">
        <f t="shared" si="82"/>
        <v>1.9507042253521125</v>
      </c>
    </row>
    <row r="330" spans="1:40" s="32" customFormat="1" x14ac:dyDescent="0.25">
      <c r="A330" s="11" t="s">
        <v>173</v>
      </c>
      <c r="B330" s="32">
        <v>0.34499999999999997</v>
      </c>
      <c r="C330" s="32">
        <v>0</v>
      </c>
      <c r="D330" s="32">
        <v>32.944000000000003</v>
      </c>
      <c r="E330" s="32">
        <v>4.7E-2</v>
      </c>
      <c r="F330" s="32">
        <v>4.7E-2</v>
      </c>
      <c r="G330" s="32">
        <v>4.2000000000000003E-2</v>
      </c>
      <c r="H330" s="32">
        <v>0.46500000000000002</v>
      </c>
      <c r="I330" s="32">
        <v>5.0000000000000001E-3</v>
      </c>
      <c r="J330" s="32">
        <v>5.4580000000000002</v>
      </c>
      <c r="K330" s="32">
        <v>0.81100000000000005</v>
      </c>
      <c r="L330" s="32">
        <v>49.067</v>
      </c>
      <c r="M330" s="32">
        <v>10.337999999999999</v>
      </c>
      <c r="N330" s="32">
        <v>0.185</v>
      </c>
      <c r="O330" s="32">
        <v>99.754000000000005</v>
      </c>
      <c r="Q330" s="34">
        <f t="shared" si="74"/>
        <v>0.45854269608184289</v>
      </c>
      <c r="R330" s="34">
        <f t="shared" si="75"/>
        <v>0.25649423148492739</v>
      </c>
      <c r="S330" s="34">
        <f t="shared" si="76"/>
        <v>9.7328720710439035E-2</v>
      </c>
      <c r="T330" s="34">
        <f t="shared" si="77"/>
        <v>35.871466437091939</v>
      </c>
      <c r="U330" s="34">
        <f t="shared" si="78"/>
        <v>56.445357709829089</v>
      </c>
      <c r="V330" s="34">
        <f t="shared" si="79"/>
        <v>11.980900585450021</v>
      </c>
      <c r="W330" s="34">
        <f t="shared" si="80"/>
        <v>31.573741704720881</v>
      </c>
      <c r="X330" s="34"/>
      <c r="Y330" s="32">
        <v>4.1700000000000001E-2</v>
      </c>
      <c r="Z330" s="32">
        <v>0</v>
      </c>
      <c r="AA330" s="32">
        <v>4.4284999999999997</v>
      </c>
      <c r="AB330" s="32">
        <v>5.8999999999999999E-3</v>
      </c>
      <c r="AC330" s="32">
        <v>1.47E-2</v>
      </c>
      <c r="AD330" s="32">
        <v>5.7000000000000002E-3</v>
      </c>
      <c r="AE330" s="32">
        <v>8.8099999999999998E-2</v>
      </c>
      <c r="AF330" s="32">
        <v>8.9999999999999998E-4</v>
      </c>
      <c r="AG330" s="32">
        <v>0.94</v>
      </c>
      <c r="AH330" s="32">
        <v>0.1104</v>
      </c>
      <c r="AI330" s="32">
        <v>7.8868</v>
      </c>
      <c r="AJ330" s="32">
        <v>2.4769999999999999</v>
      </c>
      <c r="AK330" s="32">
        <v>2.3900000000000001E-2</v>
      </c>
      <c r="AL330" s="32">
        <v>16.023599999999998</v>
      </c>
      <c r="AM330" s="11">
        <f t="shared" si="81"/>
        <v>7.9748999999999999</v>
      </c>
      <c r="AN330" s="34">
        <f t="shared" si="82"/>
        <v>2.1127098321342923</v>
      </c>
    </row>
    <row r="331" spans="1:40" s="32" customFormat="1" x14ac:dyDescent="0.25">
      <c r="A331" s="11" t="s">
        <v>666</v>
      </c>
      <c r="B331" s="32">
        <v>0.35499999999999998</v>
      </c>
      <c r="C331" s="32">
        <v>5.5E-2</v>
      </c>
      <c r="D331" s="32">
        <v>31.928999999999998</v>
      </c>
      <c r="E331" s="32">
        <v>0</v>
      </c>
      <c r="F331" s="32">
        <v>8.7999999999999995E-2</v>
      </c>
      <c r="G331" s="32">
        <v>5.8999999999999997E-2</v>
      </c>
      <c r="H331" s="32">
        <v>0.55700000000000005</v>
      </c>
      <c r="I331" s="32">
        <v>6.0000000000000001E-3</v>
      </c>
      <c r="J331" s="32">
        <v>5.835</v>
      </c>
      <c r="K331" s="32">
        <v>0.86799999999999999</v>
      </c>
      <c r="L331" s="32">
        <v>49.295000000000002</v>
      </c>
      <c r="M331" s="32">
        <v>9.9909999999999997</v>
      </c>
      <c r="N331" s="32">
        <v>0.54800000000000004</v>
      </c>
      <c r="O331" s="32">
        <v>99.585999999999999</v>
      </c>
      <c r="Q331" s="34">
        <f t="shared" ref="Q331:Q362" si="83">D331/(55.845+16)</f>
        <v>0.44441506019903959</v>
      </c>
      <c r="R331" s="34">
        <f t="shared" ref="R331:R362" si="84">M331/(24.305+16)</f>
        <v>0.24788487780672372</v>
      </c>
      <c r="S331" s="34">
        <f t="shared" ref="S331:S362" si="85">J331/(40.078+16)</f>
        <v>0.1040514996968508</v>
      </c>
      <c r="T331" s="34">
        <f t="shared" ref="T331:T362" si="86">R331/(Q331+R331)*100</f>
        <v>35.805994511682322</v>
      </c>
      <c r="U331" s="34">
        <f t="shared" ref="U331:U362" si="87">Q331/(Q331+R331+S331)*100</f>
        <v>55.806398928735277</v>
      </c>
      <c r="V331" s="34">
        <f t="shared" ref="V331:V362" si="88">S331/(Q331+R331+S331)*100</f>
        <v>13.066027732307219</v>
      </c>
      <c r="W331" s="34">
        <f t="shared" ref="W331:W362" si="89">R331/(Q331+R331+S331)*100</f>
        <v>31.127573338957511</v>
      </c>
      <c r="X331" s="34"/>
      <c r="Y331" s="32">
        <v>4.2900000000000001E-2</v>
      </c>
      <c r="Z331" s="32">
        <v>7.1000000000000004E-3</v>
      </c>
      <c r="AA331" s="32">
        <v>4.2899000000000003</v>
      </c>
      <c r="AB331" s="32">
        <v>0</v>
      </c>
      <c r="AC331" s="32">
        <v>2.7400000000000001E-2</v>
      </c>
      <c r="AD331" s="32">
        <v>8.0000000000000002E-3</v>
      </c>
      <c r="AE331" s="32">
        <v>0.1055</v>
      </c>
      <c r="AF331" s="32">
        <v>1.2999999999999999E-3</v>
      </c>
      <c r="AG331" s="32">
        <v>1.0044</v>
      </c>
      <c r="AH331" s="32">
        <v>0.1181</v>
      </c>
      <c r="AI331" s="32">
        <v>7.9194000000000004</v>
      </c>
      <c r="AJ331" s="32">
        <v>2.3925999999999998</v>
      </c>
      <c r="AK331" s="32">
        <v>7.0599999999999996E-2</v>
      </c>
      <c r="AL331" s="32">
        <v>15.9872</v>
      </c>
      <c r="AM331" s="11">
        <f t="shared" ref="AM331:AM362" si="90">AI331+AE331</f>
        <v>8.0249000000000006</v>
      </c>
      <c r="AN331" s="34">
        <f t="shared" ref="AN331:AN362" si="91">AE331/Y331</f>
        <v>2.4592074592074593</v>
      </c>
    </row>
    <row r="332" spans="1:40" s="32" customFormat="1" x14ac:dyDescent="0.25">
      <c r="A332" s="11" t="s">
        <v>667</v>
      </c>
      <c r="B332" s="32">
        <v>0.46600000000000003</v>
      </c>
      <c r="C332" s="32">
        <v>0</v>
      </c>
      <c r="D332" s="32">
        <v>32.456000000000003</v>
      </c>
      <c r="E332" s="32">
        <v>4.9000000000000002E-2</v>
      </c>
      <c r="F332" s="32">
        <v>9.2999999999999999E-2</v>
      </c>
      <c r="G332" s="32">
        <v>6.6000000000000003E-2</v>
      </c>
      <c r="H332" s="32">
        <v>0.501</v>
      </c>
      <c r="I332" s="32">
        <v>4.0000000000000001E-3</v>
      </c>
      <c r="J332" s="32">
        <v>6.6280000000000001</v>
      </c>
      <c r="K332" s="32">
        <v>0.78500000000000003</v>
      </c>
      <c r="L332" s="32">
        <v>49.177999999999997</v>
      </c>
      <c r="M332" s="32">
        <v>10.019</v>
      </c>
      <c r="N332" s="32">
        <v>0</v>
      </c>
      <c r="O332" s="32">
        <v>100.245</v>
      </c>
      <c r="Q332" s="34">
        <f t="shared" si="83"/>
        <v>0.45175029577562814</v>
      </c>
      <c r="R332" s="34">
        <f t="shared" si="84"/>
        <v>0.24857958069718397</v>
      </c>
      <c r="S332" s="34">
        <f t="shared" si="85"/>
        <v>0.11819251756482042</v>
      </c>
      <c r="T332" s="34">
        <f t="shared" si="86"/>
        <v>35.494641746421941</v>
      </c>
      <c r="U332" s="34">
        <f t="shared" si="87"/>
        <v>55.190951288115699</v>
      </c>
      <c r="V332" s="34">
        <f t="shared" si="88"/>
        <v>14.439741468989839</v>
      </c>
      <c r="W332" s="34">
        <f t="shared" si="89"/>
        <v>30.369307242894472</v>
      </c>
      <c r="X332" s="34"/>
      <c r="Y332" s="32">
        <v>5.6000000000000001E-2</v>
      </c>
      <c r="Z332" s="32">
        <v>0</v>
      </c>
      <c r="AA332" s="32">
        <v>4.3407</v>
      </c>
      <c r="AB332" s="32">
        <v>6.1000000000000004E-3</v>
      </c>
      <c r="AC332" s="32">
        <v>2.8799999999999999E-2</v>
      </c>
      <c r="AD332" s="32">
        <v>8.8999999999999999E-3</v>
      </c>
      <c r="AE332" s="32">
        <v>9.4299999999999995E-2</v>
      </c>
      <c r="AF332" s="32">
        <v>8.0000000000000004E-4</v>
      </c>
      <c r="AG332" s="32">
        <v>1.1356999999999999</v>
      </c>
      <c r="AH332" s="32">
        <v>0.10639999999999999</v>
      </c>
      <c r="AI332" s="32">
        <v>7.8643999999999998</v>
      </c>
      <c r="AJ332" s="32">
        <v>2.3885000000000001</v>
      </c>
      <c r="AK332" s="32">
        <v>0</v>
      </c>
      <c r="AL332" s="32">
        <v>16.0306</v>
      </c>
      <c r="AM332" s="11">
        <f t="shared" si="90"/>
        <v>7.9586999999999994</v>
      </c>
      <c r="AN332" s="34">
        <f t="shared" si="91"/>
        <v>1.6839285714285712</v>
      </c>
    </row>
    <row r="333" spans="1:40" s="32" customFormat="1" x14ac:dyDescent="0.25">
      <c r="A333" s="11" t="s">
        <v>31</v>
      </c>
      <c r="B333" s="32">
        <v>0.442</v>
      </c>
      <c r="C333" s="32">
        <v>1.4999999999999999E-2</v>
      </c>
      <c r="D333" s="32">
        <v>32.686999999999998</v>
      </c>
      <c r="E333" s="32">
        <v>5.8999999999999997E-2</v>
      </c>
      <c r="F333" s="32">
        <v>6.5000000000000002E-2</v>
      </c>
      <c r="G333" s="32">
        <v>1.7000000000000001E-2</v>
      </c>
      <c r="H333" s="32">
        <v>0.62</v>
      </c>
      <c r="I333" s="32">
        <v>0</v>
      </c>
      <c r="J333" s="32">
        <v>6.0179999999999998</v>
      </c>
      <c r="K333" s="32">
        <v>0.81399999999999995</v>
      </c>
      <c r="L333" s="32">
        <v>48.584000000000003</v>
      </c>
      <c r="M333" s="32">
        <v>10.074</v>
      </c>
      <c r="N333" s="32">
        <v>0.246</v>
      </c>
      <c r="O333" s="32">
        <v>99.641000000000005</v>
      </c>
      <c r="Q333" s="34">
        <f t="shared" si="83"/>
        <v>0.4549655508386109</v>
      </c>
      <c r="R333" s="34">
        <f t="shared" si="84"/>
        <v>0.24994417566058802</v>
      </c>
      <c r="S333" s="34">
        <f t="shared" si="85"/>
        <v>0.10731481151253611</v>
      </c>
      <c r="T333" s="34">
        <f t="shared" si="86"/>
        <v>35.457614821388347</v>
      </c>
      <c r="U333" s="34">
        <f t="shared" si="87"/>
        <v>56.014750791983282</v>
      </c>
      <c r="V333" s="34">
        <f t="shared" si="88"/>
        <v>13.212456222417849</v>
      </c>
      <c r="W333" s="34">
        <f t="shared" si="89"/>
        <v>30.772792985598869</v>
      </c>
      <c r="X333" s="34"/>
      <c r="Y333" s="32">
        <v>5.3699999999999998E-2</v>
      </c>
      <c r="Z333" s="32">
        <v>2E-3</v>
      </c>
      <c r="AA333" s="32">
        <v>4.4092000000000002</v>
      </c>
      <c r="AB333" s="32">
        <v>7.4999999999999997E-3</v>
      </c>
      <c r="AC333" s="32">
        <v>2.0199999999999999E-2</v>
      </c>
      <c r="AD333" s="32">
        <v>2.3E-3</v>
      </c>
      <c r="AE333" s="32">
        <v>0.1178</v>
      </c>
      <c r="AF333" s="32">
        <v>0</v>
      </c>
      <c r="AG333" s="32">
        <v>1.0401</v>
      </c>
      <c r="AH333" s="32">
        <v>0.11119999999999999</v>
      </c>
      <c r="AI333" s="32">
        <v>7.8361999999999998</v>
      </c>
      <c r="AJ333" s="32">
        <v>2.4222000000000001</v>
      </c>
      <c r="AK333" s="32">
        <v>3.1800000000000002E-2</v>
      </c>
      <c r="AL333" s="32">
        <v>16.054200000000002</v>
      </c>
      <c r="AM333" s="11">
        <f t="shared" si="90"/>
        <v>7.9539999999999997</v>
      </c>
      <c r="AN333" s="34">
        <f t="shared" si="91"/>
        <v>2.1936685288640598</v>
      </c>
    </row>
    <row r="334" spans="1:40" s="32" customFormat="1" x14ac:dyDescent="0.25">
      <c r="A334" s="11" t="s">
        <v>181</v>
      </c>
      <c r="B334" s="32">
        <v>0.432</v>
      </c>
      <c r="C334" s="32">
        <v>0</v>
      </c>
      <c r="D334" s="32">
        <v>31.478999999999999</v>
      </c>
      <c r="E334" s="32">
        <v>3.3000000000000002E-2</v>
      </c>
      <c r="F334" s="32">
        <v>7.0000000000000007E-2</v>
      </c>
      <c r="G334" s="32">
        <v>5.6000000000000001E-2</v>
      </c>
      <c r="H334" s="32">
        <v>0.58499999999999996</v>
      </c>
      <c r="I334" s="32">
        <v>0</v>
      </c>
      <c r="J334" s="32">
        <v>7.0170000000000003</v>
      </c>
      <c r="K334" s="32">
        <v>0.81699999999999995</v>
      </c>
      <c r="L334" s="32">
        <v>48.866</v>
      </c>
      <c r="M334" s="32">
        <v>9.6760000000000002</v>
      </c>
      <c r="N334" s="32">
        <v>0.30599999999999999</v>
      </c>
      <c r="O334" s="32">
        <v>99.337000000000003</v>
      </c>
      <c r="Q334" s="34">
        <f t="shared" si="83"/>
        <v>0.43815157631011203</v>
      </c>
      <c r="R334" s="34">
        <f t="shared" si="84"/>
        <v>0.24006947028904602</v>
      </c>
      <c r="S334" s="34">
        <f t="shared" si="85"/>
        <v>0.12512928421127714</v>
      </c>
      <c r="T334" s="34">
        <f t="shared" si="86"/>
        <v>35.396936071630314</v>
      </c>
      <c r="U334" s="34">
        <f t="shared" si="87"/>
        <v>54.540535991078308</v>
      </c>
      <c r="V334" s="34">
        <f t="shared" si="88"/>
        <v>15.575929879190356</v>
      </c>
      <c r="W334" s="34">
        <f t="shared" si="89"/>
        <v>29.883534129731338</v>
      </c>
      <c r="X334" s="34"/>
      <c r="Y334" s="32">
        <v>5.2400000000000002E-2</v>
      </c>
      <c r="Z334" s="32">
        <v>0</v>
      </c>
      <c r="AA334" s="32">
        <v>4.2449000000000003</v>
      </c>
      <c r="AB334" s="32">
        <v>4.1999999999999997E-3</v>
      </c>
      <c r="AC334" s="32">
        <v>2.1899999999999999E-2</v>
      </c>
      <c r="AD334" s="32">
        <v>7.7000000000000002E-3</v>
      </c>
      <c r="AE334" s="32">
        <v>0.1113</v>
      </c>
      <c r="AF334" s="32">
        <v>0</v>
      </c>
      <c r="AG334" s="32">
        <v>1.2122999999999999</v>
      </c>
      <c r="AH334" s="32">
        <v>0.1116</v>
      </c>
      <c r="AI334" s="32">
        <v>7.8789999999999996</v>
      </c>
      <c r="AJ334" s="32">
        <v>2.3256000000000001</v>
      </c>
      <c r="AK334" s="32">
        <v>3.95E-2</v>
      </c>
      <c r="AL334" s="32">
        <v>16.010400000000001</v>
      </c>
      <c r="AM334" s="11">
        <f t="shared" si="90"/>
        <v>7.9902999999999995</v>
      </c>
      <c r="AN334" s="34">
        <f t="shared" si="91"/>
        <v>2.1240458015267172</v>
      </c>
    </row>
    <row r="335" spans="1:40" s="32" customFormat="1" x14ac:dyDescent="0.25">
      <c r="A335" s="11" t="s">
        <v>116</v>
      </c>
      <c r="B335" s="32">
        <v>0.42199999999999999</v>
      </c>
      <c r="C335" s="32">
        <v>0</v>
      </c>
      <c r="D335" s="32">
        <v>32.340000000000003</v>
      </c>
      <c r="E335" s="32">
        <v>3.3000000000000002E-2</v>
      </c>
      <c r="F335" s="32">
        <v>5.5E-2</v>
      </c>
      <c r="G335" s="32">
        <v>5.1999999999999998E-2</v>
      </c>
      <c r="H335" s="32">
        <v>0.47399999999999998</v>
      </c>
      <c r="I335" s="32">
        <v>7.0000000000000001E-3</v>
      </c>
      <c r="J335" s="32">
        <v>6.8380000000000001</v>
      </c>
      <c r="K335" s="32">
        <v>0.84599999999999997</v>
      </c>
      <c r="L335" s="32">
        <v>48.911000000000001</v>
      </c>
      <c r="M335" s="32">
        <v>9.8000000000000007</v>
      </c>
      <c r="N335" s="32">
        <v>0.247</v>
      </c>
      <c r="O335" s="32">
        <v>100.02500000000001</v>
      </c>
      <c r="Q335" s="34">
        <f t="shared" si="83"/>
        <v>0.45013570881759346</v>
      </c>
      <c r="R335" s="34">
        <f t="shared" si="84"/>
        <v>0.24314601166108427</v>
      </c>
      <c r="S335" s="34">
        <f t="shared" si="85"/>
        <v>0.12193730161560683</v>
      </c>
      <c r="T335" s="34">
        <f t="shared" si="86"/>
        <v>35.071747094846756</v>
      </c>
      <c r="U335" s="34">
        <f t="shared" si="87"/>
        <v>55.216536491163083</v>
      </c>
      <c r="V335" s="34">
        <f t="shared" si="88"/>
        <v>14.957612409773249</v>
      </c>
      <c r="W335" s="34">
        <f t="shared" si="89"/>
        <v>29.825851099063673</v>
      </c>
      <c r="X335" s="34"/>
      <c r="Y335" s="32">
        <v>5.0999999999999997E-2</v>
      </c>
      <c r="Z335" s="32">
        <v>0</v>
      </c>
      <c r="AA335" s="32">
        <v>4.3448000000000002</v>
      </c>
      <c r="AB335" s="32">
        <v>4.1999999999999997E-3</v>
      </c>
      <c r="AC335" s="32">
        <v>1.7000000000000001E-2</v>
      </c>
      <c r="AD335" s="32">
        <v>7.1000000000000004E-3</v>
      </c>
      <c r="AE335" s="32">
        <v>8.9800000000000005E-2</v>
      </c>
      <c r="AF335" s="32">
        <v>1.5E-3</v>
      </c>
      <c r="AG335" s="32">
        <v>1.1771</v>
      </c>
      <c r="AH335" s="32">
        <v>0.11509999999999999</v>
      </c>
      <c r="AI335" s="32">
        <v>7.8571999999999997</v>
      </c>
      <c r="AJ335" s="32">
        <v>2.3468</v>
      </c>
      <c r="AK335" s="32">
        <v>3.1800000000000002E-2</v>
      </c>
      <c r="AL335" s="32">
        <v>16.043399999999998</v>
      </c>
      <c r="AM335" s="11">
        <f t="shared" si="90"/>
        <v>7.9470000000000001</v>
      </c>
      <c r="AN335" s="34">
        <f t="shared" si="91"/>
        <v>1.7607843137254904</v>
      </c>
    </row>
    <row r="336" spans="1:40" s="32" customFormat="1" x14ac:dyDescent="0.25">
      <c r="A336" s="11" t="s">
        <v>178</v>
      </c>
      <c r="B336" s="32">
        <v>0.436</v>
      </c>
      <c r="C336" s="32">
        <v>0</v>
      </c>
      <c r="D336" s="32">
        <v>32.316000000000003</v>
      </c>
      <c r="E336" s="32">
        <v>2.4E-2</v>
      </c>
      <c r="F336" s="32">
        <v>9.5000000000000001E-2</v>
      </c>
      <c r="G336" s="32">
        <v>7.0000000000000001E-3</v>
      </c>
      <c r="H336" s="32">
        <v>0.59499999999999997</v>
      </c>
      <c r="I336" s="32">
        <v>1.2999999999999999E-2</v>
      </c>
      <c r="J336" s="32">
        <v>6.5949999999999998</v>
      </c>
      <c r="K336" s="32">
        <v>0.77900000000000003</v>
      </c>
      <c r="L336" s="32">
        <v>49.014000000000003</v>
      </c>
      <c r="M336" s="32">
        <v>9.7870000000000008</v>
      </c>
      <c r="N336" s="32">
        <v>0.39800000000000002</v>
      </c>
      <c r="O336" s="32">
        <v>100.059</v>
      </c>
      <c r="Q336" s="34">
        <f t="shared" si="83"/>
        <v>0.44980165634351732</v>
      </c>
      <c r="R336" s="34">
        <f t="shared" si="84"/>
        <v>0.24282347103337057</v>
      </c>
      <c r="S336" s="34">
        <f t="shared" si="85"/>
        <v>0.11760405149969684</v>
      </c>
      <c r="T336" s="34">
        <f t="shared" si="86"/>
        <v>35.058426475659701</v>
      </c>
      <c r="U336" s="34">
        <f t="shared" si="87"/>
        <v>55.515361340995561</v>
      </c>
      <c r="V336" s="34">
        <f t="shared" si="88"/>
        <v>14.514911899712077</v>
      </c>
      <c r="W336" s="34">
        <f t="shared" si="89"/>
        <v>29.96972675929236</v>
      </c>
      <c r="X336" s="34"/>
      <c r="Y336" s="32">
        <v>5.2600000000000001E-2</v>
      </c>
      <c r="Z336" s="32">
        <v>0</v>
      </c>
      <c r="AA336" s="32">
        <v>4.3376000000000001</v>
      </c>
      <c r="AB336" s="32">
        <v>3.0999999999999999E-3</v>
      </c>
      <c r="AC336" s="32">
        <v>2.9600000000000001E-2</v>
      </c>
      <c r="AD336" s="32">
        <v>8.9999999999999998E-4</v>
      </c>
      <c r="AE336" s="32">
        <v>0.1125</v>
      </c>
      <c r="AF336" s="32">
        <v>2.7000000000000001E-3</v>
      </c>
      <c r="AG336" s="32">
        <v>1.1342000000000001</v>
      </c>
      <c r="AH336" s="32">
        <v>0.10589999999999999</v>
      </c>
      <c r="AI336" s="32">
        <v>7.8663999999999996</v>
      </c>
      <c r="AJ336" s="32">
        <v>2.3414000000000001</v>
      </c>
      <c r="AK336" s="32">
        <v>5.1200000000000002E-2</v>
      </c>
      <c r="AL336" s="32">
        <v>16.0381</v>
      </c>
      <c r="AM336" s="11">
        <f t="shared" si="90"/>
        <v>7.9788999999999994</v>
      </c>
      <c r="AN336" s="34">
        <f t="shared" si="91"/>
        <v>2.1387832699619773</v>
      </c>
    </row>
    <row r="337" spans="1:40" s="32" customFormat="1" x14ac:dyDescent="0.25">
      <c r="A337" s="11" t="s">
        <v>169</v>
      </c>
      <c r="B337" s="32">
        <v>0.42299999999999999</v>
      </c>
      <c r="C337" s="32">
        <v>3.6999999999999998E-2</v>
      </c>
      <c r="D337" s="32">
        <v>32.386000000000003</v>
      </c>
      <c r="E337" s="32">
        <v>6.8000000000000005E-2</v>
      </c>
      <c r="F337" s="32">
        <v>0.01</v>
      </c>
      <c r="G337" s="32">
        <v>6.8000000000000005E-2</v>
      </c>
      <c r="H337" s="32">
        <v>0.49</v>
      </c>
      <c r="I337" s="32">
        <v>1E-3</v>
      </c>
      <c r="J337" s="32">
        <v>6.5069999999999997</v>
      </c>
      <c r="K337" s="32">
        <v>0.82399999999999995</v>
      </c>
      <c r="L337" s="32">
        <v>48.866</v>
      </c>
      <c r="M337" s="32">
        <v>9.7420000000000009</v>
      </c>
      <c r="N337" s="32">
        <v>0.43099999999999999</v>
      </c>
      <c r="O337" s="32">
        <v>99.852999999999994</v>
      </c>
      <c r="Q337" s="34">
        <f t="shared" si="83"/>
        <v>0.45077597605957276</v>
      </c>
      <c r="R337" s="34">
        <f t="shared" si="84"/>
        <v>0.2417069842451309</v>
      </c>
      <c r="S337" s="34">
        <f t="shared" si="85"/>
        <v>0.1160348086593673</v>
      </c>
      <c r="T337" s="34">
        <f t="shared" si="86"/>
        <v>34.904394490627745</v>
      </c>
      <c r="U337" s="34">
        <f t="shared" si="87"/>
        <v>55.753379005774747</v>
      </c>
      <c r="V337" s="34">
        <f t="shared" si="88"/>
        <v>14.351547129018469</v>
      </c>
      <c r="W337" s="34">
        <f t="shared" si="89"/>
        <v>29.895073865206779</v>
      </c>
      <c r="X337" s="34"/>
      <c r="Y337" s="32">
        <v>5.1200000000000002E-2</v>
      </c>
      <c r="Z337" s="32">
        <v>4.7999999999999996E-3</v>
      </c>
      <c r="AA337" s="32">
        <v>4.3590999999999998</v>
      </c>
      <c r="AB337" s="32">
        <v>8.6E-3</v>
      </c>
      <c r="AC337" s="32">
        <v>3.2000000000000002E-3</v>
      </c>
      <c r="AD337" s="32">
        <v>9.2999999999999992E-3</v>
      </c>
      <c r="AE337" s="32">
        <v>9.2899999999999996E-2</v>
      </c>
      <c r="AF337" s="32">
        <v>2.0000000000000001E-4</v>
      </c>
      <c r="AG337" s="32">
        <v>1.1222000000000001</v>
      </c>
      <c r="AH337" s="32">
        <v>0.1123</v>
      </c>
      <c r="AI337" s="32">
        <v>7.8644999999999996</v>
      </c>
      <c r="AJ337" s="32">
        <v>2.3372999999999999</v>
      </c>
      <c r="AK337" s="32">
        <v>5.57E-2</v>
      </c>
      <c r="AL337" s="32">
        <v>16.0213</v>
      </c>
      <c r="AM337" s="11">
        <f t="shared" si="90"/>
        <v>7.9573999999999998</v>
      </c>
      <c r="AN337" s="34">
        <f t="shared" si="91"/>
        <v>1.8144531249999998</v>
      </c>
    </row>
    <row r="338" spans="1:40" s="32" customFormat="1" x14ac:dyDescent="0.25">
      <c r="A338" s="11" t="s">
        <v>129</v>
      </c>
      <c r="B338" s="32">
        <v>0.44400000000000001</v>
      </c>
      <c r="C338" s="32">
        <v>2.1000000000000001E-2</v>
      </c>
      <c r="D338" s="32">
        <v>31.73</v>
      </c>
      <c r="E338" s="32">
        <v>6.6000000000000003E-2</v>
      </c>
      <c r="F338" s="32">
        <v>6.2E-2</v>
      </c>
      <c r="G338" s="32">
        <v>0.04</v>
      </c>
      <c r="H338" s="32">
        <v>0.80800000000000005</v>
      </c>
      <c r="I338" s="32">
        <v>1.0999999999999999E-2</v>
      </c>
      <c r="J338" s="32">
        <v>6.5919999999999996</v>
      </c>
      <c r="K338" s="32">
        <v>0.82099999999999995</v>
      </c>
      <c r="L338" s="32">
        <v>48.57</v>
      </c>
      <c r="M338" s="32">
        <v>9.3040000000000003</v>
      </c>
      <c r="N338" s="32">
        <v>9.1999999999999998E-2</v>
      </c>
      <c r="O338" s="32">
        <v>98.561000000000007</v>
      </c>
      <c r="Q338" s="34">
        <f t="shared" si="83"/>
        <v>0.44164520843482497</v>
      </c>
      <c r="R338" s="34">
        <f t="shared" si="84"/>
        <v>0.23083984617293141</v>
      </c>
      <c r="S338" s="34">
        <f t="shared" si="85"/>
        <v>0.11755055458468561</v>
      </c>
      <c r="T338" s="34">
        <f t="shared" si="86"/>
        <v>34.326390540764436</v>
      </c>
      <c r="U338" s="34">
        <f t="shared" si="87"/>
        <v>55.901936988165076</v>
      </c>
      <c r="V338" s="34">
        <f t="shared" si="88"/>
        <v>14.879146359598064</v>
      </c>
      <c r="W338" s="34">
        <f t="shared" si="89"/>
        <v>29.218916652236871</v>
      </c>
      <c r="X338" s="34"/>
      <c r="Y338" s="32">
        <v>5.4300000000000001E-2</v>
      </c>
      <c r="Z338" s="32">
        <v>2.8E-3</v>
      </c>
      <c r="AA338" s="32">
        <v>4.3113000000000001</v>
      </c>
      <c r="AB338" s="32">
        <v>8.3999999999999995E-3</v>
      </c>
      <c r="AC338" s="32">
        <v>1.9400000000000001E-2</v>
      </c>
      <c r="AD338" s="32">
        <v>5.4999999999999997E-3</v>
      </c>
      <c r="AE338" s="32">
        <v>0.15459999999999999</v>
      </c>
      <c r="AF338" s="32">
        <v>2.3E-3</v>
      </c>
      <c r="AG338" s="32">
        <v>1.1476</v>
      </c>
      <c r="AH338" s="32">
        <v>0.113</v>
      </c>
      <c r="AI338" s="32">
        <v>7.891</v>
      </c>
      <c r="AJ338" s="32">
        <v>2.2534000000000001</v>
      </c>
      <c r="AK338" s="32">
        <v>1.2E-2</v>
      </c>
      <c r="AL338" s="32">
        <v>15.9756</v>
      </c>
      <c r="AM338" s="11">
        <f t="shared" si="90"/>
        <v>8.0456000000000003</v>
      </c>
      <c r="AN338" s="34">
        <f t="shared" si="91"/>
        <v>2.8471454880294655</v>
      </c>
    </row>
    <row r="339" spans="1:40" s="32" customFormat="1" x14ac:dyDescent="0.25">
      <c r="A339" s="11" t="s">
        <v>39</v>
      </c>
      <c r="B339" s="32">
        <v>0.44500000000000001</v>
      </c>
      <c r="C339" s="32">
        <v>0</v>
      </c>
      <c r="D339" s="32">
        <v>31.876999999999999</v>
      </c>
      <c r="E339" s="32">
        <v>4.3999999999999997E-2</v>
      </c>
      <c r="F339" s="32">
        <v>7.0999999999999994E-2</v>
      </c>
      <c r="G339" s="32">
        <v>0</v>
      </c>
      <c r="H339" s="32">
        <v>0.57299999999999995</v>
      </c>
      <c r="I339" s="32">
        <v>0</v>
      </c>
      <c r="J339" s="32">
        <v>7.4420000000000002</v>
      </c>
      <c r="K339" s="32">
        <v>0.82899999999999996</v>
      </c>
      <c r="L339" s="32">
        <v>49.237000000000002</v>
      </c>
      <c r="M339" s="32">
        <v>9.2959999999999994</v>
      </c>
      <c r="N339" s="32">
        <v>0</v>
      </c>
      <c r="O339" s="32">
        <v>99.813999999999993</v>
      </c>
      <c r="Q339" s="34">
        <f t="shared" si="83"/>
        <v>0.44369127983854129</v>
      </c>
      <c r="R339" s="34">
        <f t="shared" si="84"/>
        <v>0.23064135963279989</v>
      </c>
      <c r="S339" s="34">
        <f t="shared" si="85"/>
        <v>0.13270801383786868</v>
      </c>
      <c r="T339" s="34">
        <f t="shared" si="86"/>
        <v>34.202906122654333</v>
      </c>
      <c r="U339" s="34">
        <f t="shared" si="87"/>
        <v>54.977562532843713</v>
      </c>
      <c r="V339" s="34">
        <f t="shared" si="88"/>
        <v>16.443783010646289</v>
      </c>
      <c r="W339" s="34">
        <f t="shared" si="89"/>
        <v>28.578654456509994</v>
      </c>
      <c r="X339" s="34"/>
      <c r="Y339" s="32">
        <v>5.3800000000000001E-2</v>
      </c>
      <c r="Z339" s="32">
        <v>0</v>
      </c>
      <c r="AA339" s="32">
        <v>4.2807000000000004</v>
      </c>
      <c r="AB339" s="32">
        <v>5.4999999999999997E-3</v>
      </c>
      <c r="AC339" s="32">
        <v>2.1999999999999999E-2</v>
      </c>
      <c r="AD339" s="32">
        <v>0</v>
      </c>
      <c r="AE339" s="32">
        <v>0.1084</v>
      </c>
      <c r="AF339" s="32">
        <v>0</v>
      </c>
      <c r="AG339" s="32">
        <v>1.2805</v>
      </c>
      <c r="AH339" s="32">
        <v>0.11269999999999999</v>
      </c>
      <c r="AI339" s="32">
        <v>7.9058999999999999</v>
      </c>
      <c r="AJ339" s="32">
        <v>2.2250000000000001</v>
      </c>
      <c r="AK339" s="32">
        <v>0</v>
      </c>
      <c r="AL339" s="32">
        <v>15.9945</v>
      </c>
      <c r="AM339" s="11">
        <f t="shared" si="90"/>
        <v>8.0143000000000004</v>
      </c>
      <c r="AN339" s="34">
        <f t="shared" si="91"/>
        <v>2.0148698884758365</v>
      </c>
    </row>
    <row r="340" spans="1:40" s="32" customFormat="1" x14ac:dyDescent="0.25">
      <c r="A340" s="11" t="s">
        <v>123</v>
      </c>
      <c r="B340" s="32">
        <v>0.434</v>
      </c>
      <c r="C340" s="32">
        <v>4.4999999999999998E-2</v>
      </c>
      <c r="D340" s="32">
        <v>32.585000000000001</v>
      </c>
      <c r="E340" s="32">
        <v>7.9000000000000001E-2</v>
      </c>
      <c r="F340" s="32">
        <v>4.3999999999999997E-2</v>
      </c>
      <c r="G340" s="32">
        <v>5.6000000000000001E-2</v>
      </c>
      <c r="H340" s="32">
        <v>0.495</v>
      </c>
      <c r="I340" s="32">
        <v>2.1999999999999999E-2</v>
      </c>
      <c r="J340" s="32">
        <v>6.2690000000000001</v>
      </c>
      <c r="K340" s="32">
        <v>0.83599999999999997</v>
      </c>
      <c r="L340" s="32">
        <v>48.796999999999997</v>
      </c>
      <c r="M340" s="32">
        <v>9.4789999999999992</v>
      </c>
      <c r="N340" s="32">
        <v>3.1E-2</v>
      </c>
      <c r="O340" s="32">
        <v>99.171999999999997</v>
      </c>
      <c r="Q340" s="34">
        <f t="shared" si="83"/>
        <v>0.45354582782378733</v>
      </c>
      <c r="R340" s="34">
        <f t="shared" si="84"/>
        <v>0.23518173923830787</v>
      </c>
      <c r="S340" s="34">
        <f t="shared" si="85"/>
        <v>0.11179072006847605</v>
      </c>
      <c r="T340" s="34">
        <f t="shared" si="86"/>
        <v>34.147281230737214</v>
      </c>
      <c r="U340" s="34">
        <f t="shared" si="87"/>
        <v>56.656523044527304</v>
      </c>
      <c r="V340" s="34">
        <f t="shared" si="88"/>
        <v>13.964792793077327</v>
      </c>
      <c r="W340" s="34">
        <f t="shared" si="89"/>
        <v>29.37868416239538</v>
      </c>
      <c r="X340" s="34"/>
      <c r="Y340" s="32">
        <v>5.2900000000000003E-2</v>
      </c>
      <c r="Z340" s="32">
        <v>5.8999999999999999E-3</v>
      </c>
      <c r="AA340" s="32">
        <v>4.4114000000000004</v>
      </c>
      <c r="AB340" s="32">
        <v>1.0200000000000001E-2</v>
      </c>
      <c r="AC340" s="32">
        <v>1.38E-2</v>
      </c>
      <c r="AD340" s="32">
        <v>7.7000000000000002E-3</v>
      </c>
      <c r="AE340" s="32">
        <v>9.4500000000000001E-2</v>
      </c>
      <c r="AF340" s="32">
        <v>4.4999999999999997E-3</v>
      </c>
      <c r="AG340" s="32">
        <v>1.0873999999999999</v>
      </c>
      <c r="AH340" s="32">
        <v>0.11459999999999999</v>
      </c>
      <c r="AI340" s="32">
        <v>7.8990999999999998</v>
      </c>
      <c r="AJ340" s="32">
        <v>2.2875000000000001</v>
      </c>
      <c r="AK340" s="32">
        <v>4.0000000000000001E-3</v>
      </c>
      <c r="AL340" s="32">
        <v>15.993499999999999</v>
      </c>
      <c r="AM340" s="11">
        <f t="shared" si="90"/>
        <v>7.9935999999999998</v>
      </c>
      <c r="AN340" s="34">
        <f t="shared" si="91"/>
        <v>1.7863894139886578</v>
      </c>
    </row>
    <row r="341" spans="1:40" s="32" customFormat="1" x14ac:dyDescent="0.25">
      <c r="A341" s="11" t="s">
        <v>215</v>
      </c>
      <c r="B341" s="32">
        <v>0.376</v>
      </c>
      <c r="C341" s="32">
        <v>1.4999999999999999E-2</v>
      </c>
      <c r="D341" s="32">
        <v>32.744999999999997</v>
      </c>
      <c r="E341" s="32">
        <v>9.7000000000000003E-2</v>
      </c>
      <c r="F341" s="32">
        <v>5.6000000000000001E-2</v>
      </c>
      <c r="G341" s="32">
        <v>0</v>
      </c>
      <c r="H341" s="32">
        <v>0.60699999999999998</v>
      </c>
      <c r="I341" s="32">
        <v>0</v>
      </c>
      <c r="J341" s="32">
        <v>6.1929999999999996</v>
      </c>
      <c r="K341" s="32">
        <v>0.76100000000000001</v>
      </c>
      <c r="L341" s="32">
        <v>48.670999999999999</v>
      </c>
      <c r="M341" s="32">
        <v>9.4550000000000001</v>
      </c>
      <c r="N341" s="32">
        <v>0.154</v>
      </c>
      <c r="O341" s="32">
        <v>99.13</v>
      </c>
      <c r="Q341" s="34">
        <f t="shared" si="83"/>
        <v>0.45577284431762821</v>
      </c>
      <c r="R341" s="34">
        <f t="shared" si="84"/>
        <v>0.23458627961791342</v>
      </c>
      <c r="S341" s="34">
        <f t="shared" si="85"/>
        <v>0.11043546488819143</v>
      </c>
      <c r="T341" s="34">
        <f t="shared" si="86"/>
        <v>33.980325816598693</v>
      </c>
      <c r="U341" s="34">
        <f t="shared" si="87"/>
        <v>56.915075436149166</v>
      </c>
      <c r="V341" s="34">
        <f t="shared" si="88"/>
        <v>13.790735655495286</v>
      </c>
      <c r="W341" s="34">
        <f t="shared" si="89"/>
        <v>29.294188908355544</v>
      </c>
      <c r="X341" s="34"/>
      <c r="Y341" s="32">
        <v>4.58E-2</v>
      </c>
      <c r="Z341" s="32">
        <v>2E-3</v>
      </c>
      <c r="AA341" s="32">
        <v>4.4396000000000004</v>
      </c>
      <c r="AB341" s="32">
        <v>1.24E-2</v>
      </c>
      <c r="AC341" s="32">
        <v>1.7600000000000001E-2</v>
      </c>
      <c r="AD341" s="32">
        <v>0</v>
      </c>
      <c r="AE341" s="32">
        <v>0.1159</v>
      </c>
      <c r="AF341" s="32">
        <v>0</v>
      </c>
      <c r="AG341" s="32">
        <v>1.0758000000000001</v>
      </c>
      <c r="AH341" s="32">
        <v>0.10440000000000001</v>
      </c>
      <c r="AI341" s="32">
        <v>7.8902000000000001</v>
      </c>
      <c r="AJ341" s="32">
        <v>2.2848999999999999</v>
      </c>
      <c r="AK341" s="32">
        <v>2.01E-2</v>
      </c>
      <c r="AL341" s="32">
        <v>16.008700000000001</v>
      </c>
      <c r="AM341" s="11">
        <f t="shared" si="90"/>
        <v>8.0061</v>
      </c>
      <c r="AN341" s="34">
        <f t="shared" si="91"/>
        <v>2.5305676855895198</v>
      </c>
    </row>
    <row r="342" spans="1:40" s="32" customFormat="1" x14ac:dyDescent="0.25">
      <c r="A342" s="11" t="s">
        <v>230</v>
      </c>
      <c r="B342" s="32">
        <v>0.28599999999999998</v>
      </c>
      <c r="C342" s="32">
        <v>0</v>
      </c>
      <c r="D342" s="32">
        <v>33.021000000000001</v>
      </c>
      <c r="E342" s="32">
        <v>0.1</v>
      </c>
      <c r="F342" s="32">
        <v>0.10199999999999999</v>
      </c>
      <c r="G342" s="32">
        <v>0</v>
      </c>
      <c r="H342" s="32">
        <v>0.69299999999999995</v>
      </c>
      <c r="I342" s="32">
        <v>1.2E-2</v>
      </c>
      <c r="J342" s="32">
        <v>6.07</v>
      </c>
      <c r="K342" s="32">
        <v>0.85799999999999998</v>
      </c>
      <c r="L342" s="32">
        <v>48.645000000000003</v>
      </c>
      <c r="M342" s="32">
        <v>9.4700000000000006</v>
      </c>
      <c r="N342" s="32">
        <v>0</v>
      </c>
      <c r="O342" s="32">
        <v>99.257000000000005</v>
      </c>
      <c r="Q342" s="34">
        <f t="shared" si="83"/>
        <v>0.45961444776950383</v>
      </c>
      <c r="R342" s="34">
        <f t="shared" si="84"/>
        <v>0.23495844188065998</v>
      </c>
      <c r="S342" s="34">
        <f t="shared" si="85"/>
        <v>0.10824209137273084</v>
      </c>
      <c r="T342" s="34">
        <f t="shared" si="86"/>
        <v>33.827758811462068</v>
      </c>
      <c r="U342" s="34">
        <f t="shared" si="87"/>
        <v>57.250357633323304</v>
      </c>
      <c r="V342" s="34">
        <f t="shared" si="88"/>
        <v>13.482819071813509</v>
      </c>
      <c r="W342" s="34">
        <f t="shared" si="89"/>
        <v>29.26682329486318</v>
      </c>
      <c r="X342" s="34"/>
      <c r="Y342" s="32">
        <v>3.4799999999999998E-2</v>
      </c>
      <c r="Z342" s="32">
        <v>0</v>
      </c>
      <c r="AA342" s="32">
        <v>4.4741999999999997</v>
      </c>
      <c r="AB342" s="32">
        <v>1.2800000000000001E-2</v>
      </c>
      <c r="AC342" s="32">
        <v>3.2000000000000001E-2</v>
      </c>
      <c r="AD342" s="32">
        <v>0</v>
      </c>
      <c r="AE342" s="32">
        <v>0.13239999999999999</v>
      </c>
      <c r="AF342" s="32">
        <v>2.5000000000000001E-3</v>
      </c>
      <c r="AG342" s="32">
        <v>1.0538000000000001</v>
      </c>
      <c r="AH342" s="32">
        <v>0.1178</v>
      </c>
      <c r="AI342" s="32">
        <v>7.8811999999999998</v>
      </c>
      <c r="AJ342" s="32">
        <v>2.2871000000000001</v>
      </c>
      <c r="AK342" s="32">
        <v>0</v>
      </c>
      <c r="AL342" s="32">
        <v>16.028600000000001</v>
      </c>
      <c r="AM342" s="11">
        <f t="shared" si="90"/>
        <v>8.0136000000000003</v>
      </c>
      <c r="AN342" s="34">
        <f t="shared" si="91"/>
        <v>3.8045977011494254</v>
      </c>
    </row>
    <row r="343" spans="1:40" s="32" customFormat="1" x14ac:dyDescent="0.25">
      <c r="A343" s="11" t="s">
        <v>52</v>
      </c>
      <c r="B343" s="32">
        <v>0.39100000000000001</v>
      </c>
      <c r="C343" s="32">
        <v>0</v>
      </c>
      <c r="D343" s="32">
        <v>32.99</v>
      </c>
      <c r="E343" s="32">
        <v>0</v>
      </c>
      <c r="F343" s="32">
        <v>7.6999999999999999E-2</v>
      </c>
      <c r="G343" s="32">
        <v>0</v>
      </c>
      <c r="H343" s="32">
        <v>0.5</v>
      </c>
      <c r="I343" s="32">
        <v>7.0000000000000001E-3</v>
      </c>
      <c r="J343" s="32">
        <v>6.5229999999999997</v>
      </c>
      <c r="K343" s="32">
        <v>0.80600000000000005</v>
      </c>
      <c r="L343" s="32">
        <v>48.679000000000002</v>
      </c>
      <c r="M343" s="32">
        <v>9.42</v>
      </c>
      <c r="N343" s="32">
        <v>0.185</v>
      </c>
      <c r="O343" s="32">
        <v>99.578000000000003</v>
      </c>
      <c r="Q343" s="34">
        <f t="shared" si="83"/>
        <v>0.45918296332382214</v>
      </c>
      <c r="R343" s="34">
        <f t="shared" si="84"/>
        <v>0.23371790100483811</v>
      </c>
      <c r="S343" s="34">
        <f t="shared" si="85"/>
        <v>0.11632012553942722</v>
      </c>
      <c r="T343" s="34">
        <f t="shared" si="86"/>
        <v>33.73035206577255</v>
      </c>
      <c r="U343" s="34">
        <f t="shared" si="87"/>
        <v>56.743827591357253</v>
      </c>
      <c r="V343" s="34">
        <f t="shared" si="88"/>
        <v>14.374333710546578</v>
      </c>
      <c r="W343" s="34">
        <f t="shared" si="89"/>
        <v>28.881838698096157</v>
      </c>
      <c r="X343" s="34"/>
      <c r="Y343" s="32">
        <v>4.7600000000000003E-2</v>
      </c>
      <c r="Z343" s="32">
        <v>0</v>
      </c>
      <c r="AA343" s="32">
        <v>4.4631999999999996</v>
      </c>
      <c r="AB343" s="32">
        <v>0</v>
      </c>
      <c r="AC343" s="32">
        <v>2.4E-2</v>
      </c>
      <c r="AD343" s="32">
        <v>0</v>
      </c>
      <c r="AE343" s="32">
        <v>9.5399999999999999E-2</v>
      </c>
      <c r="AF343" s="32">
        <v>1.4E-3</v>
      </c>
      <c r="AG343" s="32">
        <v>1.1307</v>
      </c>
      <c r="AH343" s="32">
        <v>0.1104</v>
      </c>
      <c r="AI343" s="32">
        <v>7.8746</v>
      </c>
      <c r="AJ343" s="32">
        <v>2.2715000000000001</v>
      </c>
      <c r="AK343" s="32">
        <v>2.4E-2</v>
      </c>
      <c r="AL343" s="32">
        <v>16.0428</v>
      </c>
      <c r="AM343" s="11">
        <f t="shared" si="90"/>
        <v>7.97</v>
      </c>
      <c r="AN343" s="34">
        <f t="shared" si="91"/>
        <v>2.0042016806722689</v>
      </c>
    </row>
    <row r="344" spans="1:40" s="32" customFormat="1" x14ac:dyDescent="0.25">
      <c r="A344" s="11" t="s">
        <v>24</v>
      </c>
      <c r="B344" s="32">
        <v>0.45500000000000002</v>
      </c>
      <c r="C344" s="32">
        <v>0</v>
      </c>
      <c r="D344" s="32">
        <v>33.947000000000003</v>
      </c>
      <c r="E344" s="32">
        <v>5.7000000000000002E-2</v>
      </c>
      <c r="F344" s="32">
        <v>0.122</v>
      </c>
      <c r="G344" s="32">
        <v>4.3999999999999997E-2</v>
      </c>
      <c r="H344" s="32">
        <v>0.45700000000000002</v>
      </c>
      <c r="I344" s="32">
        <v>4.9000000000000002E-2</v>
      </c>
      <c r="J344" s="32">
        <v>5.6950000000000003</v>
      </c>
      <c r="K344" s="32">
        <v>0.85399999999999998</v>
      </c>
      <c r="L344" s="32">
        <v>48.793999999999997</v>
      </c>
      <c r="M344" s="32">
        <v>9.6739999999999995</v>
      </c>
      <c r="N344" s="32">
        <v>0</v>
      </c>
      <c r="O344" s="32">
        <v>100.148</v>
      </c>
      <c r="Q344" s="34">
        <f t="shared" si="83"/>
        <v>0.47250330572760807</v>
      </c>
      <c r="R344" s="34">
        <f t="shared" si="84"/>
        <v>0.24001984865401313</v>
      </c>
      <c r="S344" s="34">
        <f t="shared" si="85"/>
        <v>0.10155497699632654</v>
      </c>
      <c r="T344" s="34">
        <f t="shared" si="86"/>
        <v>33.685901598849739</v>
      </c>
      <c r="U344" s="34">
        <f t="shared" si="87"/>
        <v>58.041518069994865</v>
      </c>
      <c r="V344" s="34">
        <f t="shared" si="88"/>
        <v>12.474844008452814</v>
      </c>
      <c r="W344" s="34">
        <f t="shared" si="89"/>
        <v>29.483637921552326</v>
      </c>
      <c r="X344" s="34"/>
      <c r="Y344" s="32">
        <v>5.5100000000000003E-2</v>
      </c>
      <c r="Z344" s="32">
        <v>0</v>
      </c>
      <c r="AA344" s="32">
        <v>4.5720999999999998</v>
      </c>
      <c r="AB344" s="32">
        <v>7.1999999999999998E-3</v>
      </c>
      <c r="AC344" s="32">
        <v>3.7900000000000003E-2</v>
      </c>
      <c r="AD344" s="32">
        <v>6.0000000000000001E-3</v>
      </c>
      <c r="AE344" s="32">
        <v>8.6800000000000002E-2</v>
      </c>
      <c r="AF344" s="32">
        <v>1.01E-2</v>
      </c>
      <c r="AG344" s="32">
        <v>0.98270000000000002</v>
      </c>
      <c r="AH344" s="32">
        <v>0.1166</v>
      </c>
      <c r="AI344" s="32">
        <v>7.8579999999999997</v>
      </c>
      <c r="AJ344" s="32">
        <v>2.3224</v>
      </c>
      <c r="AK344" s="32">
        <v>0</v>
      </c>
      <c r="AL344" s="32">
        <v>16.0549</v>
      </c>
      <c r="AM344" s="11">
        <f t="shared" si="90"/>
        <v>7.9447999999999999</v>
      </c>
      <c r="AN344" s="34">
        <f t="shared" si="91"/>
        <v>1.5753176043557169</v>
      </c>
    </row>
    <row r="345" spans="1:40" s="32" customFormat="1" x14ac:dyDescent="0.25">
      <c r="A345" s="11" t="s">
        <v>668</v>
      </c>
      <c r="B345" s="32">
        <v>0.38700000000000001</v>
      </c>
      <c r="C345" s="32">
        <v>0</v>
      </c>
      <c r="D345" s="32">
        <v>33.683999999999997</v>
      </c>
      <c r="E345" s="32">
        <v>3.5000000000000003E-2</v>
      </c>
      <c r="F345" s="32">
        <v>4.2000000000000003E-2</v>
      </c>
      <c r="G345" s="32">
        <v>0</v>
      </c>
      <c r="H345" s="32">
        <v>0.4</v>
      </c>
      <c r="I345" s="32">
        <v>0</v>
      </c>
      <c r="J345" s="32">
        <v>6.1719999999999997</v>
      </c>
      <c r="K345" s="32">
        <v>0.85399999999999998</v>
      </c>
      <c r="L345" s="32">
        <v>49.170999999999999</v>
      </c>
      <c r="M345" s="32">
        <v>9.5030000000000001</v>
      </c>
      <c r="N345" s="32">
        <v>6.2E-2</v>
      </c>
      <c r="O345" s="32">
        <v>100.31</v>
      </c>
      <c r="Q345" s="34">
        <f t="shared" si="83"/>
        <v>0.46884264736585701</v>
      </c>
      <c r="R345" s="34">
        <f t="shared" si="84"/>
        <v>0.23577719885870241</v>
      </c>
      <c r="S345" s="34">
        <f t="shared" si="85"/>
        <v>0.1100609864831128</v>
      </c>
      <c r="T345" s="34">
        <f t="shared" si="86"/>
        <v>33.461617654118868</v>
      </c>
      <c r="U345" s="34">
        <f t="shared" si="87"/>
        <v>57.549242420201807</v>
      </c>
      <c r="V345" s="34">
        <f t="shared" si="88"/>
        <v>13.509706140662994</v>
      </c>
      <c r="W345" s="34">
        <f t="shared" si="89"/>
        <v>28.941051439135201</v>
      </c>
      <c r="X345" s="34"/>
      <c r="Y345" s="32">
        <v>4.6699999999999998E-2</v>
      </c>
      <c r="Z345" s="32">
        <v>0</v>
      </c>
      <c r="AA345" s="32">
        <v>4.5244</v>
      </c>
      <c r="AB345" s="32">
        <v>4.4000000000000003E-3</v>
      </c>
      <c r="AC345" s="32">
        <v>1.29E-2</v>
      </c>
      <c r="AD345" s="32">
        <v>0</v>
      </c>
      <c r="AE345" s="32">
        <v>7.5700000000000003E-2</v>
      </c>
      <c r="AF345" s="32">
        <v>0</v>
      </c>
      <c r="AG345" s="32">
        <v>1.0621</v>
      </c>
      <c r="AH345" s="32">
        <v>0.11609999999999999</v>
      </c>
      <c r="AI345" s="32">
        <v>7.8971</v>
      </c>
      <c r="AJ345" s="32">
        <v>2.2751999999999999</v>
      </c>
      <c r="AK345" s="32">
        <v>8.0000000000000002E-3</v>
      </c>
      <c r="AL345" s="32">
        <v>16.022600000000001</v>
      </c>
      <c r="AM345" s="11">
        <f t="shared" si="90"/>
        <v>7.9728000000000003</v>
      </c>
      <c r="AN345" s="34">
        <f t="shared" si="91"/>
        <v>1.6209850107066381</v>
      </c>
    </row>
    <row r="346" spans="1:40" s="32" customFormat="1" x14ac:dyDescent="0.25">
      <c r="A346" s="11" t="s">
        <v>134</v>
      </c>
      <c r="B346" s="32">
        <v>0.51600000000000001</v>
      </c>
      <c r="C346" s="32">
        <v>2E-3</v>
      </c>
      <c r="D346" s="32">
        <v>32.817</v>
      </c>
      <c r="E346" s="32">
        <v>0</v>
      </c>
      <c r="F346" s="32">
        <v>4.9000000000000002E-2</v>
      </c>
      <c r="G346" s="32">
        <v>5.3999999999999999E-2</v>
      </c>
      <c r="H346" s="32">
        <v>0.53</v>
      </c>
      <c r="I346" s="32">
        <v>0</v>
      </c>
      <c r="J346" s="32">
        <v>6.952</v>
      </c>
      <c r="K346" s="32">
        <v>0.84699999999999998</v>
      </c>
      <c r="L346" s="32">
        <v>48.661999999999999</v>
      </c>
      <c r="M346" s="32">
        <v>9</v>
      </c>
      <c r="N346" s="32">
        <v>3.1E-2</v>
      </c>
      <c r="O346" s="32">
        <v>99.46</v>
      </c>
      <c r="Q346" s="34">
        <f t="shared" si="83"/>
        <v>0.45677500173985663</v>
      </c>
      <c r="R346" s="34">
        <f t="shared" si="84"/>
        <v>0.22329735764793451</v>
      </c>
      <c r="S346" s="34">
        <f t="shared" si="85"/>
        <v>0.12397018438603373</v>
      </c>
      <c r="T346" s="34">
        <f t="shared" si="86"/>
        <v>32.834352781070145</v>
      </c>
      <c r="U346" s="34">
        <f t="shared" si="87"/>
        <v>56.809805062796073</v>
      </c>
      <c r="V346" s="34">
        <f t="shared" si="88"/>
        <v>15.418361297671115</v>
      </c>
      <c r="W346" s="34">
        <f t="shared" si="89"/>
        <v>27.771833639532829</v>
      </c>
      <c r="X346" s="34"/>
      <c r="Y346" s="32">
        <v>6.2799999999999995E-2</v>
      </c>
      <c r="Z346" s="32">
        <v>2.9999999999999997E-4</v>
      </c>
      <c r="AA346" s="32">
        <v>4.4429999999999996</v>
      </c>
      <c r="AB346" s="32">
        <v>0</v>
      </c>
      <c r="AC346" s="32">
        <v>1.5299999999999999E-2</v>
      </c>
      <c r="AD346" s="32">
        <v>7.4000000000000003E-3</v>
      </c>
      <c r="AE346" s="32">
        <v>0.1011</v>
      </c>
      <c r="AF346" s="32">
        <v>0</v>
      </c>
      <c r="AG346" s="32">
        <v>1.2059</v>
      </c>
      <c r="AH346" s="32">
        <v>0.1162</v>
      </c>
      <c r="AI346" s="32">
        <v>7.8776000000000002</v>
      </c>
      <c r="AJ346" s="32">
        <v>2.1718999999999999</v>
      </c>
      <c r="AK346" s="32">
        <v>4.0000000000000001E-3</v>
      </c>
      <c r="AL346" s="32">
        <v>16.005500000000001</v>
      </c>
      <c r="AM346" s="11">
        <f t="shared" si="90"/>
        <v>7.9786999999999999</v>
      </c>
      <c r="AN346" s="34">
        <f t="shared" si="91"/>
        <v>1.6098726114649682</v>
      </c>
    </row>
    <row r="347" spans="1:40" s="32" customFormat="1" x14ac:dyDescent="0.25">
      <c r="A347" s="11" t="s">
        <v>188</v>
      </c>
      <c r="B347" s="32">
        <v>0.43099999999999999</v>
      </c>
      <c r="C347" s="32">
        <v>4.0000000000000001E-3</v>
      </c>
      <c r="D347" s="32">
        <v>33.197000000000003</v>
      </c>
      <c r="E347" s="32">
        <v>4.1000000000000002E-2</v>
      </c>
      <c r="F347" s="32">
        <v>7.1999999999999995E-2</v>
      </c>
      <c r="G347" s="32">
        <v>7.4999999999999997E-2</v>
      </c>
      <c r="H347" s="32">
        <v>0.52300000000000002</v>
      </c>
      <c r="I347" s="32">
        <v>0</v>
      </c>
      <c r="J347" s="32">
        <v>6.4530000000000003</v>
      </c>
      <c r="K347" s="32">
        <v>0.86099999999999999</v>
      </c>
      <c r="L347" s="32">
        <v>48.360999999999997</v>
      </c>
      <c r="M347" s="32">
        <v>8.9149999999999991</v>
      </c>
      <c r="N347" s="32">
        <v>0</v>
      </c>
      <c r="O347" s="32">
        <v>98.933000000000007</v>
      </c>
      <c r="Q347" s="34">
        <f t="shared" si="83"/>
        <v>0.46206416591272886</v>
      </c>
      <c r="R347" s="34">
        <f t="shared" si="84"/>
        <v>0.22118843815903733</v>
      </c>
      <c r="S347" s="34">
        <f t="shared" si="85"/>
        <v>0.1150718641891651</v>
      </c>
      <c r="T347" s="34">
        <f t="shared" si="86"/>
        <v>32.372864273167785</v>
      </c>
      <c r="U347" s="34">
        <f t="shared" si="87"/>
        <v>57.879243876777167</v>
      </c>
      <c r="V347" s="34">
        <f t="shared" si="88"/>
        <v>14.414172277574991</v>
      </c>
      <c r="W347" s="34">
        <f t="shared" si="89"/>
        <v>27.706583845647859</v>
      </c>
      <c r="X347" s="34"/>
      <c r="Y347" s="32">
        <v>5.28E-2</v>
      </c>
      <c r="Z347" s="32">
        <v>5.0000000000000001E-4</v>
      </c>
      <c r="AA347" s="32">
        <v>4.5244999999999997</v>
      </c>
      <c r="AB347" s="32">
        <v>5.3E-3</v>
      </c>
      <c r="AC347" s="32">
        <v>2.2800000000000001E-2</v>
      </c>
      <c r="AD347" s="32">
        <v>1.03E-2</v>
      </c>
      <c r="AE347" s="32">
        <v>0.1004</v>
      </c>
      <c r="AF347" s="32">
        <v>0</v>
      </c>
      <c r="AG347" s="32">
        <v>1.1268</v>
      </c>
      <c r="AH347" s="32">
        <v>0.1188</v>
      </c>
      <c r="AI347" s="32">
        <v>7.8811</v>
      </c>
      <c r="AJ347" s="32">
        <v>2.1657999999999999</v>
      </c>
      <c r="AK347" s="32">
        <v>0</v>
      </c>
      <c r="AL347" s="32">
        <v>16.0091</v>
      </c>
      <c r="AM347" s="11">
        <f t="shared" si="90"/>
        <v>7.9814999999999996</v>
      </c>
      <c r="AN347" s="34">
        <f t="shared" si="91"/>
        <v>1.9015151515151516</v>
      </c>
    </row>
    <row r="348" spans="1:40" s="32" customFormat="1" x14ac:dyDescent="0.25">
      <c r="A348" s="11" t="s">
        <v>240</v>
      </c>
      <c r="B348" s="32">
        <v>0.35299999999999998</v>
      </c>
      <c r="C348" s="32">
        <v>7.0000000000000001E-3</v>
      </c>
      <c r="D348" s="32">
        <v>34.375999999999998</v>
      </c>
      <c r="E348" s="32">
        <v>1.9E-2</v>
      </c>
      <c r="F348" s="32">
        <v>8.1000000000000003E-2</v>
      </c>
      <c r="G348" s="32">
        <v>3.5000000000000003E-2</v>
      </c>
      <c r="H348" s="32">
        <v>0.40699999999999997</v>
      </c>
      <c r="I348" s="32">
        <v>2E-3</v>
      </c>
      <c r="J348" s="32">
        <v>5.5519999999999996</v>
      </c>
      <c r="K348" s="32">
        <v>0.76800000000000002</v>
      </c>
      <c r="L348" s="32">
        <v>48.872999999999998</v>
      </c>
      <c r="M348" s="32">
        <v>9.2249999999999996</v>
      </c>
      <c r="N348" s="32">
        <v>0.46700000000000003</v>
      </c>
      <c r="O348" s="32">
        <v>100.16500000000001</v>
      </c>
      <c r="Q348" s="34">
        <f t="shared" si="83"/>
        <v>0.47847449370171896</v>
      </c>
      <c r="R348" s="34">
        <f t="shared" si="84"/>
        <v>0.22887979158913285</v>
      </c>
      <c r="S348" s="34">
        <f t="shared" si="85"/>
        <v>9.9004957380791028E-2</v>
      </c>
      <c r="T348" s="34">
        <f t="shared" si="86"/>
        <v>32.357164768574407</v>
      </c>
      <c r="U348" s="34">
        <f t="shared" si="87"/>
        <v>59.337633697411249</v>
      </c>
      <c r="V348" s="34">
        <f t="shared" si="88"/>
        <v>12.278021028538861</v>
      </c>
      <c r="W348" s="34">
        <f t="shared" si="89"/>
        <v>28.384345274049878</v>
      </c>
      <c r="X348" s="34"/>
      <c r="Y348" s="32">
        <v>4.2900000000000001E-2</v>
      </c>
      <c r="Z348" s="32">
        <v>8.9999999999999998E-4</v>
      </c>
      <c r="AA348" s="32">
        <v>4.6416000000000004</v>
      </c>
      <c r="AB348" s="32">
        <v>2.3999999999999998E-3</v>
      </c>
      <c r="AC348" s="32">
        <v>2.52E-2</v>
      </c>
      <c r="AD348" s="32">
        <v>4.7999999999999996E-3</v>
      </c>
      <c r="AE348" s="32">
        <v>7.7499999999999999E-2</v>
      </c>
      <c r="AF348" s="32">
        <v>5.0000000000000001E-4</v>
      </c>
      <c r="AG348" s="32">
        <v>0.96050000000000002</v>
      </c>
      <c r="AH348" s="32">
        <v>0.105</v>
      </c>
      <c r="AI348" s="32">
        <v>7.8905000000000003</v>
      </c>
      <c r="AJ348" s="32">
        <v>2.2201</v>
      </c>
      <c r="AK348" s="32">
        <v>6.0499999999999998E-2</v>
      </c>
      <c r="AL348" s="32">
        <v>16.032399999999999</v>
      </c>
      <c r="AM348" s="11">
        <f t="shared" si="90"/>
        <v>7.968</v>
      </c>
      <c r="AN348" s="34">
        <f t="shared" si="91"/>
        <v>1.8065268065268065</v>
      </c>
    </row>
    <row r="349" spans="1:40" s="32" customFormat="1" x14ac:dyDescent="0.25">
      <c r="A349" s="11" t="s">
        <v>174</v>
      </c>
      <c r="B349" s="32">
        <v>0.45200000000000001</v>
      </c>
      <c r="C349" s="32">
        <v>0</v>
      </c>
      <c r="D349" s="32">
        <v>33.856999999999999</v>
      </c>
      <c r="E349" s="32">
        <v>5.5E-2</v>
      </c>
      <c r="F349" s="32">
        <v>2.4E-2</v>
      </c>
      <c r="G349" s="32">
        <v>0</v>
      </c>
      <c r="H349" s="32">
        <v>0.61599999999999999</v>
      </c>
      <c r="I349" s="32">
        <v>0</v>
      </c>
      <c r="J349" s="32">
        <v>6.3840000000000003</v>
      </c>
      <c r="K349" s="32">
        <v>0.90400000000000003</v>
      </c>
      <c r="L349" s="32">
        <v>48.716000000000001</v>
      </c>
      <c r="M349" s="32">
        <v>9.0719999999999992</v>
      </c>
      <c r="N349" s="32">
        <v>0.495</v>
      </c>
      <c r="O349" s="32">
        <v>100.575</v>
      </c>
      <c r="Q349" s="34">
        <f t="shared" si="83"/>
        <v>0.47125060894982251</v>
      </c>
      <c r="R349" s="34">
        <f t="shared" si="84"/>
        <v>0.22508373650911795</v>
      </c>
      <c r="S349" s="34">
        <f t="shared" si="85"/>
        <v>0.1138414351439067</v>
      </c>
      <c r="T349" s="34">
        <f t="shared" si="86"/>
        <v>32.32408942298683</v>
      </c>
      <c r="U349" s="34">
        <f t="shared" si="87"/>
        <v>58.166464640447245</v>
      </c>
      <c r="V349" s="34">
        <f t="shared" si="88"/>
        <v>14.051448817588444</v>
      </c>
      <c r="W349" s="34">
        <f t="shared" si="89"/>
        <v>27.782086541964318</v>
      </c>
      <c r="X349" s="34"/>
      <c r="Y349" s="32">
        <v>5.4699999999999999E-2</v>
      </c>
      <c r="Z349" s="32">
        <v>0</v>
      </c>
      <c r="AA349" s="32">
        <v>4.5568999999999997</v>
      </c>
      <c r="AB349" s="32">
        <v>7.0000000000000001E-3</v>
      </c>
      <c r="AC349" s="32">
        <v>7.4000000000000003E-3</v>
      </c>
      <c r="AD349" s="32">
        <v>0</v>
      </c>
      <c r="AE349" s="32">
        <v>0.1168</v>
      </c>
      <c r="AF349" s="32">
        <v>0</v>
      </c>
      <c r="AG349" s="32">
        <v>1.1008</v>
      </c>
      <c r="AH349" s="32">
        <v>0.1232</v>
      </c>
      <c r="AI349" s="32">
        <v>7.84</v>
      </c>
      <c r="AJ349" s="32">
        <v>2.1764999999999999</v>
      </c>
      <c r="AK349" s="32">
        <v>6.3899999999999998E-2</v>
      </c>
      <c r="AL349" s="32">
        <v>16.0472</v>
      </c>
      <c r="AM349" s="11">
        <f t="shared" si="90"/>
        <v>7.9567999999999994</v>
      </c>
      <c r="AN349" s="34">
        <f t="shared" si="91"/>
        <v>2.1352833638025595</v>
      </c>
    </row>
    <row r="350" spans="1:40" s="32" customFormat="1" x14ac:dyDescent="0.25">
      <c r="A350" s="11" t="s">
        <v>135</v>
      </c>
      <c r="B350" s="32">
        <v>0.40200000000000002</v>
      </c>
      <c r="C350" s="32">
        <v>2.5999999999999999E-2</v>
      </c>
      <c r="D350" s="32">
        <v>33.811999999999998</v>
      </c>
      <c r="E350" s="32">
        <v>0.01</v>
      </c>
      <c r="F350" s="32">
        <v>6.8000000000000005E-2</v>
      </c>
      <c r="G350" s="32">
        <v>1E-3</v>
      </c>
      <c r="H350" s="32">
        <v>0.434</v>
      </c>
      <c r="I350" s="32">
        <v>0</v>
      </c>
      <c r="J350" s="32">
        <v>5.5330000000000004</v>
      </c>
      <c r="K350" s="32">
        <v>0.86699999999999999</v>
      </c>
      <c r="L350" s="32">
        <v>48.773000000000003</v>
      </c>
      <c r="M350" s="32">
        <v>9.0559999999999992</v>
      </c>
      <c r="N350" s="32">
        <v>0</v>
      </c>
      <c r="O350" s="32">
        <v>98.981999999999999</v>
      </c>
      <c r="Q350" s="34">
        <f t="shared" si="83"/>
        <v>0.47062426056092976</v>
      </c>
      <c r="R350" s="34">
        <f t="shared" si="84"/>
        <v>0.22468676342885496</v>
      </c>
      <c r="S350" s="34">
        <f t="shared" si="85"/>
        <v>9.8666143585719887E-2</v>
      </c>
      <c r="T350" s="34">
        <f t="shared" si="86"/>
        <v>32.314569405152419</v>
      </c>
      <c r="U350" s="34">
        <f t="shared" si="87"/>
        <v>59.274281400059905</v>
      </c>
      <c r="V350" s="34">
        <f t="shared" si="88"/>
        <v>12.426823794821159</v>
      </c>
      <c r="W350" s="34">
        <f t="shared" si="89"/>
        <v>28.298894805118941</v>
      </c>
      <c r="X350" s="34"/>
      <c r="Y350" s="32">
        <v>4.9200000000000001E-2</v>
      </c>
      <c r="Z350" s="32">
        <v>3.3999999999999998E-3</v>
      </c>
      <c r="AA350" s="32">
        <v>4.6021999999999998</v>
      </c>
      <c r="AB350" s="32">
        <v>1.2999999999999999E-3</v>
      </c>
      <c r="AC350" s="32">
        <v>2.1600000000000001E-2</v>
      </c>
      <c r="AD350" s="32">
        <v>2.0000000000000001E-4</v>
      </c>
      <c r="AE350" s="32">
        <v>8.3299999999999999E-2</v>
      </c>
      <c r="AF350" s="32">
        <v>0</v>
      </c>
      <c r="AG350" s="32">
        <v>0.96499999999999997</v>
      </c>
      <c r="AH350" s="32">
        <v>0.1195</v>
      </c>
      <c r="AI350" s="32">
        <v>7.9379999999999997</v>
      </c>
      <c r="AJ350" s="32">
        <v>2.1972</v>
      </c>
      <c r="AK350" s="32">
        <v>0</v>
      </c>
      <c r="AL350" s="32">
        <v>15.9809</v>
      </c>
      <c r="AM350" s="11">
        <f t="shared" si="90"/>
        <v>8.0213000000000001</v>
      </c>
      <c r="AN350" s="34">
        <f t="shared" si="91"/>
        <v>1.693089430894309</v>
      </c>
    </row>
    <row r="351" spans="1:40" s="32" customFormat="1" x14ac:dyDescent="0.25">
      <c r="A351" s="11" t="s">
        <v>228</v>
      </c>
      <c r="B351" s="32">
        <v>0.39500000000000002</v>
      </c>
      <c r="C351" s="32">
        <v>5.0000000000000001E-3</v>
      </c>
      <c r="D351" s="32">
        <v>34.247</v>
      </c>
      <c r="E351" s="32">
        <v>4.5999999999999999E-2</v>
      </c>
      <c r="F351" s="32">
        <v>0.04</v>
      </c>
      <c r="G351" s="32">
        <v>3.6999999999999998E-2</v>
      </c>
      <c r="H351" s="32">
        <v>0.435</v>
      </c>
      <c r="I351" s="32">
        <v>0</v>
      </c>
      <c r="J351" s="32">
        <v>5.6369999999999996</v>
      </c>
      <c r="K351" s="32">
        <v>0.90500000000000003</v>
      </c>
      <c r="L351" s="32">
        <v>48.774999999999999</v>
      </c>
      <c r="M351" s="32">
        <v>9.1059999999999999</v>
      </c>
      <c r="N351" s="32">
        <v>0</v>
      </c>
      <c r="O351" s="32">
        <v>99.628</v>
      </c>
      <c r="Q351" s="34">
        <f t="shared" si="83"/>
        <v>0.47667896165355977</v>
      </c>
      <c r="R351" s="34">
        <f t="shared" si="84"/>
        <v>0.22592730430467683</v>
      </c>
      <c r="S351" s="34">
        <f t="shared" si="85"/>
        <v>0.10052070330610934</v>
      </c>
      <c r="T351" s="34">
        <f t="shared" si="86"/>
        <v>32.155606240794057</v>
      </c>
      <c r="U351" s="34">
        <f t="shared" si="87"/>
        <v>59.352876929309403</v>
      </c>
      <c r="V351" s="34">
        <f t="shared" si="88"/>
        <v>12.51616583093767</v>
      </c>
      <c r="W351" s="34">
        <f t="shared" si="89"/>
        <v>28.130957239752934</v>
      </c>
      <c r="X351" s="34"/>
      <c r="Y351" s="32">
        <v>4.8099999999999997E-2</v>
      </c>
      <c r="Z351" s="32">
        <v>5.9999999999999995E-4</v>
      </c>
      <c r="AA351" s="32">
        <v>4.6410999999999998</v>
      </c>
      <c r="AB351" s="32">
        <v>6.0000000000000001E-3</v>
      </c>
      <c r="AC351" s="32">
        <v>1.26E-2</v>
      </c>
      <c r="AD351" s="32">
        <v>5.1000000000000004E-3</v>
      </c>
      <c r="AE351" s="32">
        <v>8.3000000000000004E-2</v>
      </c>
      <c r="AF351" s="32">
        <v>0</v>
      </c>
      <c r="AG351" s="32">
        <v>0.9788</v>
      </c>
      <c r="AH351" s="32">
        <v>0.1242</v>
      </c>
      <c r="AI351" s="32">
        <v>7.9035000000000002</v>
      </c>
      <c r="AJ351" s="32">
        <v>2.1996000000000002</v>
      </c>
      <c r="AK351" s="32">
        <v>0</v>
      </c>
      <c r="AL351" s="32">
        <v>16.002600000000001</v>
      </c>
      <c r="AM351" s="11">
        <f t="shared" si="90"/>
        <v>7.9865000000000004</v>
      </c>
      <c r="AN351" s="34">
        <f t="shared" si="91"/>
        <v>1.7255717255717258</v>
      </c>
    </row>
    <row r="352" spans="1:40" s="32" customFormat="1" x14ac:dyDescent="0.25">
      <c r="A352" s="11" t="s">
        <v>117</v>
      </c>
      <c r="B352" s="32">
        <v>0.437</v>
      </c>
      <c r="C352" s="32">
        <v>0</v>
      </c>
      <c r="D352" s="32">
        <v>33.86</v>
      </c>
      <c r="E352" s="32">
        <v>4.2999999999999997E-2</v>
      </c>
      <c r="F352" s="32">
        <v>6.2E-2</v>
      </c>
      <c r="G352" s="32">
        <v>8.8999999999999996E-2</v>
      </c>
      <c r="H352" s="32">
        <v>0.436</v>
      </c>
      <c r="I352" s="32">
        <v>0</v>
      </c>
      <c r="J352" s="32">
        <v>6.2480000000000002</v>
      </c>
      <c r="K352" s="32">
        <v>0.89200000000000002</v>
      </c>
      <c r="L352" s="32">
        <v>48.402999999999999</v>
      </c>
      <c r="M352" s="32">
        <v>8.8469999999999995</v>
      </c>
      <c r="N352" s="32">
        <v>6.2E-2</v>
      </c>
      <c r="O352" s="32">
        <v>99.379000000000005</v>
      </c>
      <c r="Q352" s="34">
        <f t="shared" si="83"/>
        <v>0.47129236550908205</v>
      </c>
      <c r="R352" s="34">
        <f t="shared" si="84"/>
        <v>0.21950130256791961</v>
      </c>
      <c r="S352" s="34">
        <f t="shared" si="85"/>
        <v>0.11141624166339741</v>
      </c>
      <c r="T352" s="34">
        <f t="shared" si="86"/>
        <v>31.775233721953011</v>
      </c>
      <c r="U352" s="34">
        <f t="shared" si="87"/>
        <v>58.749257493166049</v>
      </c>
      <c r="V352" s="34">
        <f t="shared" si="88"/>
        <v>13.888664339667969</v>
      </c>
      <c r="W352" s="34">
        <f t="shared" si="89"/>
        <v>27.362078167165976</v>
      </c>
      <c r="X352" s="34"/>
      <c r="Y352" s="32">
        <v>5.3400000000000003E-2</v>
      </c>
      <c r="Z352" s="32">
        <v>0</v>
      </c>
      <c r="AA352" s="32">
        <v>4.6063999999999998</v>
      </c>
      <c r="AB352" s="32">
        <v>5.4999999999999997E-3</v>
      </c>
      <c r="AC352" s="32">
        <v>1.9699999999999999E-2</v>
      </c>
      <c r="AD352" s="32">
        <v>1.23E-2</v>
      </c>
      <c r="AE352" s="32">
        <v>8.3599999999999994E-2</v>
      </c>
      <c r="AF352" s="32">
        <v>0</v>
      </c>
      <c r="AG352" s="32">
        <v>1.0891</v>
      </c>
      <c r="AH352" s="32">
        <v>0.1229</v>
      </c>
      <c r="AI352" s="32">
        <v>7.8734999999999999</v>
      </c>
      <c r="AJ352" s="32">
        <v>2.1453000000000002</v>
      </c>
      <c r="AK352" s="32">
        <v>8.0999999999999996E-3</v>
      </c>
      <c r="AL352" s="32">
        <v>16.0198</v>
      </c>
      <c r="AM352" s="11">
        <f t="shared" si="90"/>
        <v>7.9570999999999996</v>
      </c>
      <c r="AN352" s="34">
        <f t="shared" si="91"/>
        <v>1.5655430711610485</v>
      </c>
    </row>
    <row r="353" spans="1:40" s="32" customFormat="1" x14ac:dyDescent="0.25">
      <c r="A353" s="11" t="s">
        <v>254</v>
      </c>
      <c r="B353" s="32">
        <v>0.47</v>
      </c>
      <c r="C353" s="32">
        <v>4.0000000000000001E-3</v>
      </c>
      <c r="D353" s="32">
        <v>34.332999999999998</v>
      </c>
      <c r="E353" s="32">
        <v>8.9999999999999993E-3</v>
      </c>
      <c r="F353" s="32">
        <v>5.3999999999999999E-2</v>
      </c>
      <c r="G353" s="32">
        <v>0</v>
      </c>
      <c r="H353" s="32">
        <v>0.45500000000000002</v>
      </c>
      <c r="I353" s="32">
        <v>0</v>
      </c>
      <c r="J353" s="32">
        <v>5.5819999999999999</v>
      </c>
      <c r="K353" s="32">
        <v>0.78</v>
      </c>
      <c r="L353" s="32">
        <v>48.466999999999999</v>
      </c>
      <c r="M353" s="32">
        <v>8.968</v>
      </c>
      <c r="N353" s="32">
        <v>0</v>
      </c>
      <c r="O353" s="32">
        <v>99.122</v>
      </c>
      <c r="Q353" s="34">
        <f t="shared" si="83"/>
        <v>0.4778759830189992</v>
      </c>
      <c r="R353" s="34">
        <f t="shared" si="84"/>
        <v>0.22250341148740851</v>
      </c>
      <c r="S353" s="34">
        <f t="shared" si="85"/>
        <v>9.9539926530903378E-2</v>
      </c>
      <c r="T353" s="34">
        <f t="shared" si="86"/>
        <v>31.768983101539956</v>
      </c>
      <c r="U353" s="34">
        <f t="shared" si="87"/>
        <v>59.740522631620422</v>
      </c>
      <c r="V353" s="34">
        <f t="shared" si="88"/>
        <v>12.443745751986965</v>
      </c>
      <c r="W353" s="34">
        <f t="shared" si="89"/>
        <v>27.815731616392618</v>
      </c>
      <c r="X353" s="34"/>
      <c r="Y353" s="32">
        <v>5.7599999999999998E-2</v>
      </c>
      <c r="Z353" s="32">
        <v>5.0000000000000001E-4</v>
      </c>
      <c r="AA353" s="32">
        <v>4.6803999999999997</v>
      </c>
      <c r="AB353" s="32">
        <v>1.1000000000000001E-3</v>
      </c>
      <c r="AC353" s="32">
        <v>1.7000000000000001E-2</v>
      </c>
      <c r="AD353" s="32">
        <v>0</v>
      </c>
      <c r="AE353" s="32">
        <v>8.7400000000000005E-2</v>
      </c>
      <c r="AF353" s="32">
        <v>0</v>
      </c>
      <c r="AG353" s="32">
        <v>0.97489999999999999</v>
      </c>
      <c r="AH353" s="32">
        <v>0.10780000000000001</v>
      </c>
      <c r="AI353" s="32">
        <v>7.9002999999999997</v>
      </c>
      <c r="AJ353" s="32">
        <v>2.1791</v>
      </c>
      <c r="AK353" s="32">
        <v>0</v>
      </c>
      <c r="AL353" s="32">
        <v>16.0061</v>
      </c>
      <c r="AM353" s="11">
        <f t="shared" si="90"/>
        <v>7.9876999999999994</v>
      </c>
      <c r="AN353" s="34">
        <f t="shared" si="91"/>
        <v>1.5173611111111112</v>
      </c>
    </row>
    <row r="354" spans="1:40" s="32" customFormat="1" x14ac:dyDescent="0.25">
      <c r="A354" s="11" t="s">
        <v>255</v>
      </c>
      <c r="B354" s="32">
        <v>0.435</v>
      </c>
      <c r="C354" s="32">
        <v>1.4999999999999999E-2</v>
      </c>
      <c r="D354" s="32">
        <v>34.277000000000001</v>
      </c>
      <c r="E354" s="32">
        <v>7.0000000000000001E-3</v>
      </c>
      <c r="F354" s="32">
        <v>0.05</v>
      </c>
      <c r="G354" s="32">
        <v>0</v>
      </c>
      <c r="H354" s="32">
        <v>0.437</v>
      </c>
      <c r="I354" s="32">
        <v>5.0000000000000001E-3</v>
      </c>
      <c r="J354" s="32">
        <v>6.1790000000000003</v>
      </c>
      <c r="K354" s="32">
        <v>0.81399999999999995</v>
      </c>
      <c r="L354" s="32">
        <v>48.588999999999999</v>
      </c>
      <c r="M354" s="32">
        <v>8.9280000000000008</v>
      </c>
      <c r="N354" s="32">
        <v>0</v>
      </c>
      <c r="O354" s="32">
        <v>99.736000000000004</v>
      </c>
      <c r="Q354" s="34">
        <f t="shared" si="83"/>
        <v>0.47709652724615492</v>
      </c>
      <c r="R354" s="34">
        <f t="shared" si="84"/>
        <v>0.22151097878675105</v>
      </c>
      <c r="S354" s="34">
        <f t="shared" si="85"/>
        <v>0.11018581261813902</v>
      </c>
      <c r="T354" s="34">
        <f t="shared" si="86"/>
        <v>31.707500545566337</v>
      </c>
      <c r="U354" s="34">
        <f t="shared" si="87"/>
        <v>58.988683047219745</v>
      </c>
      <c r="V354" s="34">
        <f t="shared" si="88"/>
        <v>13.623482053723398</v>
      </c>
      <c r="W354" s="34">
        <f t="shared" si="89"/>
        <v>27.387834899056863</v>
      </c>
      <c r="X354" s="34"/>
      <c r="Y354" s="32">
        <v>5.3100000000000001E-2</v>
      </c>
      <c r="Z354" s="32">
        <v>2E-3</v>
      </c>
      <c r="AA354" s="32">
        <v>4.6497000000000002</v>
      </c>
      <c r="AB354" s="32">
        <v>8.9999999999999998E-4</v>
      </c>
      <c r="AC354" s="32">
        <v>1.5800000000000002E-2</v>
      </c>
      <c r="AD354" s="32">
        <v>0</v>
      </c>
      <c r="AE354" s="32">
        <v>8.3599999999999994E-2</v>
      </c>
      <c r="AF354" s="32">
        <v>1.1000000000000001E-3</v>
      </c>
      <c r="AG354" s="32">
        <v>1.0739000000000001</v>
      </c>
      <c r="AH354" s="32">
        <v>0.1119</v>
      </c>
      <c r="AI354" s="32">
        <v>7.8811</v>
      </c>
      <c r="AJ354" s="32">
        <v>2.1587999999999998</v>
      </c>
      <c r="AK354" s="32">
        <v>0</v>
      </c>
      <c r="AL354" s="32">
        <v>16.0319</v>
      </c>
      <c r="AM354" s="11">
        <f t="shared" si="90"/>
        <v>7.9646999999999997</v>
      </c>
      <c r="AN354" s="34">
        <f t="shared" si="91"/>
        <v>1.574387947269303</v>
      </c>
    </row>
    <row r="355" spans="1:40" s="32" customFormat="1" x14ac:dyDescent="0.25">
      <c r="A355" s="11" t="s">
        <v>669</v>
      </c>
      <c r="B355" s="32">
        <v>0.51</v>
      </c>
      <c r="C355" s="32">
        <v>1.9E-2</v>
      </c>
      <c r="D355" s="32">
        <v>32.222999999999999</v>
      </c>
      <c r="E355" s="32">
        <v>0.05</v>
      </c>
      <c r="F355" s="32">
        <v>9.0999999999999998E-2</v>
      </c>
      <c r="G355" s="32">
        <v>0</v>
      </c>
      <c r="H355" s="32">
        <v>0.63100000000000001</v>
      </c>
      <c r="I355" s="32">
        <v>0</v>
      </c>
      <c r="J355" s="32">
        <v>8.1479999999999997</v>
      </c>
      <c r="K355" s="32">
        <v>0.82499999999999996</v>
      </c>
      <c r="L355" s="32">
        <v>48.473999999999997</v>
      </c>
      <c r="M355" s="32">
        <v>8.3689999999999998</v>
      </c>
      <c r="N355" s="32">
        <v>9.2999999999999999E-2</v>
      </c>
      <c r="O355" s="32">
        <v>99.433000000000007</v>
      </c>
      <c r="Q355" s="34">
        <f t="shared" si="83"/>
        <v>0.44850720300647223</v>
      </c>
      <c r="R355" s="34">
        <f t="shared" si="84"/>
        <v>0.20764173179506265</v>
      </c>
      <c r="S355" s="34">
        <f t="shared" si="85"/>
        <v>0.14529762117051248</v>
      </c>
      <c r="T355" s="34">
        <f t="shared" si="86"/>
        <v>31.645518384917892</v>
      </c>
      <c r="U355" s="34">
        <f t="shared" si="87"/>
        <v>55.962209789833459</v>
      </c>
      <c r="V355" s="34">
        <f t="shared" si="88"/>
        <v>18.129421118328459</v>
      </c>
      <c r="W355" s="34">
        <f t="shared" si="89"/>
        <v>25.908369091838075</v>
      </c>
      <c r="X355" s="34"/>
      <c r="Y355" s="32">
        <v>6.2199999999999998E-2</v>
      </c>
      <c r="Z355" s="32">
        <v>2.5000000000000001E-3</v>
      </c>
      <c r="AA355" s="32">
        <v>4.3723999999999998</v>
      </c>
      <c r="AB355" s="32">
        <v>6.4000000000000003E-3</v>
      </c>
      <c r="AC355" s="32">
        <v>2.87E-2</v>
      </c>
      <c r="AD355" s="32">
        <v>0</v>
      </c>
      <c r="AE355" s="32">
        <v>0.1208</v>
      </c>
      <c r="AF355" s="32">
        <v>0</v>
      </c>
      <c r="AG355" s="32">
        <v>1.4165000000000001</v>
      </c>
      <c r="AH355" s="32">
        <v>0.1134</v>
      </c>
      <c r="AI355" s="32">
        <v>7.8647</v>
      </c>
      <c r="AJ355" s="32">
        <v>2.0242</v>
      </c>
      <c r="AK355" s="32">
        <v>1.21E-2</v>
      </c>
      <c r="AL355" s="32">
        <v>16.023900000000001</v>
      </c>
      <c r="AM355" s="11">
        <f t="shared" si="90"/>
        <v>7.9855</v>
      </c>
      <c r="AN355" s="34">
        <f t="shared" si="91"/>
        <v>1.942122186495177</v>
      </c>
    </row>
    <row r="356" spans="1:40" s="32" customFormat="1" x14ac:dyDescent="0.25">
      <c r="A356" s="11" t="s">
        <v>118</v>
      </c>
      <c r="B356" s="32">
        <v>0.437</v>
      </c>
      <c r="C356" s="32">
        <v>0</v>
      </c>
      <c r="D356" s="32">
        <v>33.246000000000002</v>
      </c>
      <c r="E356" s="32">
        <v>2.1999999999999999E-2</v>
      </c>
      <c r="F356" s="32">
        <v>5.2999999999999999E-2</v>
      </c>
      <c r="G356" s="32">
        <v>6.5000000000000002E-2</v>
      </c>
      <c r="H356" s="32">
        <v>0.46600000000000003</v>
      </c>
      <c r="I356" s="32">
        <v>0</v>
      </c>
      <c r="J356" s="32">
        <v>7.0789999999999997</v>
      </c>
      <c r="K356" s="32">
        <v>0.92500000000000004</v>
      </c>
      <c r="L356" s="32">
        <v>48.814</v>
      </c>
      <c r="M356" s="32">
        <v>8.5909999999999993</v>
      </c>
      <c r="N356" s="32">
        <v>0</v>
      </c>
      <c r="O356" s="32">
        <v>99.697999999999993</v>
      </c>
      <c r="Q356" s="34">
        <f t="shared" si="83"/>
        <v>0.46274618971396758</v>
      </c>
      <c r="R356" s="34">
        <f t="shared" si="84"/>
        <v>0.21314973328371167</v>
      </c>
      <c r="S356" s="34">
        <f t="shared" si="85"/>
        <v>0.12623488712150932</v>
      </c>
      <c r="T356" s="34">
        <f t="shared" si="86"/>
        <v>31.535880899882795</v>
      </c>
      <c r="U356" s="34">
        <f t="shared" si="87"/>
        <v>57.689616690475717</v>
      </c>
      <c r="V356" s="34">
        <f t="shared" si="88"/>
        <v>15.737444009007968</v>
      </c>
      <c r="W356" s="34">
        <f t="shared" si="89"/>
        <v>26.572939300516303</v>
      </c>
      <c r="X356" s="34"/>
      <c r="Y356" s="32">
        <v>5.3199999999999997E-2</v>
      </c>
      <c r="Z356" s="32">
        <v>0</v>
      </c>
      <c r="AA356" s="32">
        <v>4.4995000000000003</v>
      </c>
      <c r="AB356" s="32">
        <v>2.8999999999999998E-3</v>
      </c>
      <c r="AC356" s="32">
        <v>1.67E-2</v>
      </c>
      <c r="AD356" s="32">
        <v>8.8999999999999999E-3</v>
      </c>
      <c r="AE356" s="32">
        <v>8.8900000000000007E-2</v>
      </c>
      <c r="AF356" s="32">
        <v>0</v>
      </c>
      <c r="AG356" s="32">
        <v>1.2275</v>
      </c>
      <c r="AH356" s="32">
        <v>0.1268</v>
      </c>
      <c r="AI356" s="32">
        <v>7.8994999999999997</v>
      </c>
      <c r="AJ356" s="32">
        <v>2.0724999999999998</v>
      </c>
      <c r="AK356" s="32">
        <v>0</v>
      </c>
      <c r="AL356" s="32">
        <v>15.9964</v>
      </c>
      <c r="AM356" s="11">
        <f t="shared" si="90"/>
        <v>7.9883999999999995</v>
      </c>
      <c r="AN356" s="34">
        <f t="shared" si="91"/>
        <v>1.6710526315789476</v>
      </c>
    </row>
    <row r="357" spans="1:40" s="32" customFormat="1" x14ac:dyDescent="0.25">
      <c r="A357" s="11" t="s">
        <v>202</v>
      </c>
      <c r="B357" s="32">
        <v>0.32800000000000001</v>
      </c>
      <c r="C357" s="32">
        <v>2.3E-2</v>
      </c>
      <c r="D357" s="32">
        <v>34.488</v>
      </c>
      <c r="E357" s="32">
        <v>8.9999999999999993E-3</v>
      </c>
      <c r="F357" s="32">
        <v>7.0000000000000007E-2</v>
      </c>
      <c r="G357" s="32">
        <v>0</v>
      </c>
      <c r="H357" s="32">
        <v>0.45200000000000001</v>
      </c>
      <c r="I357" s="32">
        <v>8.0000000000000002E-3</v>
      </c>
      <c r="J357" s="32">
        <v>5.6790000000000003</v>
      </c>
      <c r="K357" s="32">
        <v>0.86599999999999999</v>
      </c>
      <c r="L357" s="32">
        <v>48.621000000000002</v>
      </c>
      <c r="M357" s="32">
        <v>8.8960000000000008</v>
      </c>
      <c r="N357" s="32">
        <v>0.28000000000000003</v>
      </c>
      <c r="O357" s="32">
        <v>99.72</v>
      </c>
      <c r="Q357" s="34">
        <f t="shared" si="83"/>
        <v>0.48003340524740762</v>
      </c>
      <c r="R357" s="34">
        <f t="shared" si="84"/>
        <v>0.22071703262622505</v>
      </c>
      <c r="S357" s="34">
        <f t="shared" si="85"/>
        <v>0.10126966011626663</v>
      </c>
      <c r="T357" s="34">
        <f t="shared" si="86"/>
        <v>31.497237917677516</v>
      </c>
      <c r="U357" s="34">
        <f t="shared" si="87"/>
        <v>59.853039400198824</v>
      </c>
      <c r="V357" s="34">
        <f t="shared" si="88"/>
        <v>12.626823239227857</v>
      </c>
      <c r="W357" s="34">
        <f t="shared" si="89"/>
        <v>27.520137360573326</v>
      </c>
      <c r="X357" s="34"/>
      <c r="Y357" s="32">
        <v>4.0099999999999997E-2</v>
      </c>
      <c r="Z357" s="32">
        <v>2.8999999999999998E-3</v>
      </c>
      <c r="AA357" s="32">
        <v>4.6841999999999997</v>
      </c>
      <c r="AB357" s="32">
        <v>1.1000000000000001E-3</v>
      </c>
      <c r="AC357" s="32">
        <v>2.1999999999999999E-2</v>
      </c>
      <c r="AD357" s="32">
        <v>0</v>
      </c>
      <c r="AE357" s="32">
        <v>8.6599999999999996E-2</v>
      </c>
      <c r="AF357" s="32">
        <v>1.6999999999999999E-3</v>
      </c>
      <c r="AG357" s="32">
        <v>0.98809999999999998</v>
      </c>
      <c r="AH357" s="32">
        <v>0.1191</v>
      </c>
      <c r="AI357" s="32">
        <v>7.8960999999999997</v>
      </c>
      <c r="AJ357" s="32">
        <v>2.1536</v>
      </c>
      <c r="AK357" s="32">
        <v>3.6400000000000002E-2</v>
      </c>
      <c r="AL357" s="32">
        <v>16.0319</v>
      </c>
      <c r="AM357" s="11">
        <f t="shared" si="90"/>
        <v>7.9826999999999995</v>
      </c>
      <c r="AN357" s="34">
        <f t="shared" si="91"/>
        <v>2.1596009975062347</v>
      </c>
    </row>
    <row r="358" spans="1:40" s="32" customFormat="1" x14ac:dyDescent="0.25">
      <c r="A358" s="11" t="s">
        <v>256</v>
      </c>
      <c r="B358" s="32">
        <v>0.378</v>
      </c>
      <c r="C358" s="32">
        <v>0</v>
      </c>
      <c r="D358" s="32">
        <v>34.456000000000003</v>
      </c>
      <c r="E358" s="32">
        <v>1.4E-2</v>
      </c>
      <c r="F358" s="32">
        <v>5.1999999999999998E-2</v>
      </c>
      <c r="G358" s="32">
        <v>2.9000000000000001E-2</v>
      </c>
      <c r="H358" s="32">
        <v>0.39400000000000002</v>
      </c>
      <c r="I358" s="32">
        <v>2E-3</v>
      </c>
      <c r="J358" s="32">
        <v>5.6920000000000002</v>
      </c>
      <c r="K358" s="32">
        <v>0.88300000000000001</v>
      </c>
      <c r="L358" s="32">
        <v>48.576999999999998</v>
      </c>
      <c r="M358" s="32">
        <v>8.7200000000000006</v>
      </c>
      <c r="N358" s="32">
        <v>0</v>
      </c>
      <c r="O358" s="32">
        <v>99.197000000000003</v>
      </c>
      <c r="Q358" s="34">
        <f t="shared" si="83"/>
        <v>0.47958800194863949</v>
      </c>
      <c r="R358" s="34">
        <f t="shared" si="84"/>
        <v>0.2163503287433321</v>
      </c>
      <c r="S358" s="34">
        <f t="shared" si="85"/>
        <v>0.10150148008131531</v>
      </c>
      <c r="T358" s="34">
        <f t="shared" si="86"/>
        <v>31.087571872670811</v>
      </c>
      <c r="U358" s="34">
        <f t="shared" si="87"/>
        <v>60.140965558714363</v>
      </c>
      <c r="V358" s="34">
        <f t="shared" si="88"/>
        <v>12.728418961537438</v>
      </c>
      <c r="W358" s="34">
        <f t="shared" si="89"/>
        <v>27.130615479748201</v>
      </c>
      <c r="X358" s="34"/>
      <c r="Y358" s="32">
        <v>4.6399999999999997E-2</v>
      </c>
      <c r="Z358" s="32">
        <v>0</v>
      </c>
      <c r="AA358" s="32">
        <v>4.6980000000000004</v>
      </c>
      <c r="AB358" s="32">
        <v>1.8E-3</v>
      </c>
      <c r="AC358" s="32">
        <v>1.6400000000000001E-2</v>
      </c>
      <c r="AD358" s="32">
        <v>4.0000000000000001E-3</v>
      </c>
      <c r="AE358" s="32">
        <v>7.5700000000000003E-2</v>
      </c>
      <c r="AF358" s="32">
        <v>4.0000000000000002E-4</v>
      </c>
      <c r="AG358" s="32">
        <v>0.99429999999999996</v>
      </c>
      <c r="AH358" s="32">
        <v>0.12189999999999999</v>
      </c>
      <c r="AI358" s="32">
        <v>7.9196</v>
      </c>
      <c r="AJ358" s="32">
        <v>2.1193</v>
      </c>
      <c r="AK358" s="32">
        <v>0</v>
      </c>
      <c r="AL358" s="32">
        <v>15.9978</v>
      </c>
      <c r="AM358" s="11">
        <f t="shared" si="90"/>
        <v>7.9953000000000003</v>
      </c>
      <c r="AN358" s="34">
        <f t="shared" si="91"/>
        <v>1.6314655172413794</v>
      </c>
    </row>
    <row r="359" spans="1:40" s="32" customFormat="1" x14ac:dyDescent="0.25">
      <c r="A359" s="11" t="s">
        <v>216</v>
      </c>
      <c r="B359" s="32">
        <v>0.41199999999999998</v>
      </c>
      <c r="C359" s="32">
        <v>0</v>
      </c>
      <c r="D359" s="32">
        <v>34.4</v>
      </c>
      <c r="E359" s="32">
        <v>3.5999999999999997E-2</v>
      </c>
      <c r="F359" s="32">
        <v>5.1999999999999998E-2</v>
      </c>
      <c r="G359" s="32">
        <v>0</v>
      </c>
      <c r="H359" s="32">
        <v>0.51400000000000001</v>
      </c>
      <c r="I359" s="32">
        <v>1.0999999999999999E-2</v>
      </c>
      <c r="J359" s="32">
        <v>5.8940000000000001</v>
      </c>
      <c r="K359" s="32">
        <v>0.88100000000000001</v>
      </c>
      <c r="L359" s="32">
        <v>48.249000000000002</v>
      </c>
      <c r="M359" s="32">
        <v>8.702</v>
      </c>
      <c r="N359" s="32">
        <v>0</v>
      </c>
      <c r="O359" s="32">
        <v>99.150999999999996</v>
      </c>
      <c r="Q359" s="34">
        <f t="shared" si="83"/>
        <v>0.4788085461757951</v>
      </c>
      <c r="R359" s="34">
        <f t="shared" si="84"/>
        <v>0.21590373402803623</v>
      </c>
      <c r="S359" s="34">
        <f t="shared" si="85"/>
        <v>0.10510360569207175</v>
      </c>
      <c r="T359" s="34">
        <f t="shared" si="86"/>
        <v>31.078151370044765</v>
      </c>
      <c r="U359" s="34">
        <f t="shared" si="87"/>
        <v>59.864845725021333</v>
      </c>
      <c r="V359" s="34">
        <f t="shared" si="88"/>
        <v>13.140975010060139</v>
      </c>
      <c r="W359" s="34">
        <f t="shared" si="89"/>
        <v>26.994179264918515</v>
      </c>
      <c r="X359" s="34"/>
      <c r="Y359" s="32">
        <v>5.0700000000000002E-2</v>
      </c>
      <c r="Z359" s="32">
        <v>0</v>
      </c>
      <c r="AA359" s="32">
        <v>4.6993</v>
      </c>
      <c r="AB359" s="32">
        <v>4.5999999999999999E-3</v>
      </c>
      <c r="AC359" s="32">
        <v>1.6500000000000001E-2</v>
      </c>
      <c r="AD359" s="32">
        <v>0</v>
      </c>
      <c r="AE359" s="32">
        <v>9.9000000000000005E-2</v>
      </c>
      <c r="AF359" s="32">
        <v>2.2000000000000001E-3</v>
      </c>
      <c r="AG359" s="32">
        <v>1.0315000000000001</v>
      </c>
      <c r="AH359" s="32">
        <v>0.12180000000000001</v>
      </c>
      <c r="AI359" s="32">
        <v>7.8811999999999998</v>
      </c>
      <c r="AJ359" s="32">
        <v>2.1187999999999998</v>
      </c>
      <c r="AK359" s="32">
        <v>0</v>
      </c>
      <c r="AL359" s="32">
        <v>16.025600000000001</v>
      </c>
      <c r="AM359" s="11">
        <f t="shared" si="90"/>
        <v>7.9802</v>
      </c>
      <c r="AN359" s="34">
        <f t="shared" si="91"/>
        <v>1.9526627218934911</v>
      </c>
    </row>
    <row r="360" spans="1:40" s="32" customFormat="1" x14ac:dyDescent="0.25">
      <c r="A360" s="11" t="s">
        <v>238</v>
      </c>
      <c r="B360" s="32">
        <v>0.48199999999999998</v>
      </c>
      <c r="C360" s="32">
        <v>0</v>
      </c>
      <c r="D360" s="32">
        <v>34.398000000000003</v>
      </c>
      <c r="E360" s="32">
        <v>0</v>
      </c>
      <c r="F360" s="32">
        <v>7.2999999999999995E-2</v>
      </c>
      <c r="G360" s="32">
        <v>0</v>
      </c>
      <c r="H360" s="32">
        <v>0.57799999999999996</v>
      </c>
      <c r="I360" s="32">
        <v>0</v>
      </c>
      <c r="J360" s="32">
        <v>6.4080000000000004</v>
      </c>
      <c r="K360" s="32">
        <v>0.88300000000000001</v>
      </c>
      <c r="L360" s="32">
        <v>48.798999999999999</v>
      </c>
      <c r="M360" s="32">
        <v>8.6340000000000003</v>
      </c>
      <c r="N360" s="32">
        <v>0.188</v>
      </c>
      <c r="O360" s="32">
        <v>100.443</v>
      </c>
      <c r="Q360" s="34">
        <f t="shared" si="83"/>
        <v>0.47878070846962217</v>
      </c>
      <c r="R360" s="34">
        <f t="shared" si="84"/>
        <v>0.21421659843691851</v>
      </c>
      <c r="S360" s="34">
        <f t="shared" si="85"/>
        <v>0.11426941046399658</v>
      </c>
      <c r="T360" s="34">
        <f t="shared" si="86"/>
        <v>30.911606192693082</v>
      </c>
      <c r="U360" s="34">
        <f t="shared" si="87"/>
        <v>59.308862630820038</v>
      </c>
      <c r="V360" s="34">
        <f t="shared" si="88"/>
        <v>14.155099919912425</v>
      </c>
      <c r="W360" s="34">
        <f t="shared" si="89"/>
        <v>26.536037449267543</v>
      </c>
      <c r="X360" s="34"/>
      <c r="Y360" s="32">
        <v>5.8400000000000001E-2</v>
      </c>
      <c r="Z360" s="32">
        <v>0</v>
      </c>
      <c r="AA360" s="32">
        <v>4.6394000000000002</v>
      </c>
      <c r="AB360" s="32">
        <v>0</v>
      </c>
      <c r="AC360" s="32">
        <v>2.29E-2</v>
      </c>
      <c r="AD360" s="32">
        <v>0</v>
      </c>
      <c r="AE360" s="32">
        <v>0.10979999999999999</v>
      </c>
      <c r="AF360" s="32">
        <v>0</v>
      </c>
      <c r="AG360" s="32">
        <v>1.1073999999999999</v>
      </c>
      <c r="AH360" s="32">
        <v>0.1206</v>
      </c>
      <c r="AI360" s="32">
        <v>7.8697999999999997</v>
      </c>
      <c r="AJ360" s="32">
        <v>2.0756999999999999</v>
      </c>
      <c r="AK360" s="32">
        <v>2.4299999999999999E-2</v>
      </c>
      <c r="AL360" s="32">
        <v>16.028300000000002</v>
      </c>
      <c r="AM360" s="11">
        <f t="shared" si="90"/>
        <v>7.9795999999999996</v>
      </c>
      <c r="AN360" s="34">
        <f t="shared" si="91"/>
        <v>1.8801369863013697</v>
      </c>
    </row>
    <row r="361" spans="1:40" s="32" customFormat="1" x14ac:dyDescent="0.25">
      <c r="A361" s="11" t="s">
        <v>168</v>
      </c>
      <c r="B361" s="32">
        <v>0.45800000000000002</v>
      </c>
      <c r="C361" s="32">
        <v>1.4999999999999999E-2</v>
      </c>
      <c r="D361" s="32">
        <v>34.872</v>
      </c>
      <c r="E361" s="32">
        <v>5.7000000000000002E-2</v>
      </c>
      <c r="F361" s="32">
        <v>6.6000000000000003E-2</v>
      </c>
      <c r="G361" s="32">
        <v>3.0000000000000001E-3</v>
      </c>
      <c r="H361" s="32">
        <v>0.49199999999999999</v>
      </c>
      <c r="I361" s="32">
        <v>0</v>
      </c>
      <c r="J361" s="32">
        <v>5.8029999999999999</v>
      </c>
      <c r="K361" s="32">
        <v>0.871</v>
      </c>
      <c r="L361" s="32">
        <v>48.835999999999999</v>
      </c>
      <c r="M361" s="32">
        <v>8.7230000000000008</v>
      </c>
      <c r="N361" s="32">
        <v>6.3E-2</v>
      </c>
      <c r="O361" s="32">
        <v>100.259</v>
      </c>
      <c r="Q361" s="34">
        <f t="shared" si="83"/>
        <v>0.48537824483262582</v>
      </c>
      <c r="R361" s="34">
        <f t="shared" si="84"/>
        <v>0.21642476119588142</v>
      </c>
      <c r="S361" s="34">
        <f t="shared" si="85"/>
        <v>0.10348086593673098</v>
      </c>
      <c r="T361" s="34">
        <f t="shared" si="86"/>
        <v>30.83839187589491</v>
      </c>
      <c r="U361" s="34">
        <f t="shared" si="87"/>
        <v>60.274179296313811</v>
      </c>
      <c r="V361" s="34">
        <f t="shared" si="88"/>
        <v>12.850234499815979</v>
      </c>
      <c r="W361" s="34">
        <f t="shared" si="89"/>
        <v>26.87558620387021</v>
      </c>
      <c r="X361" s="34"/>
      <c r="Y361" s="32">
        <v>5.57E-2</v>
      </c>
      <c r="Z361" s="32">
        <v>2E-3</v>
      </c>
      <c r="AA361" s="32">
        <v>4.7117000000000004</v>
      </c>
      <c r="AB361" s="32">
        <v>7.1999999999999998E-3</v>
      </c>
      <c r="AC361" s="32">
        <v>2.06E-2</v>
      </c>
      <c r="AD361" s="32">
        <v>5.0000000000000001E-4</v>
      </c>
      <c r="AE361" s="32">
        <v>9.3700000000000006E-2</v>
      </c>
      <c r="AF361" s="32">
        <v>0</v>
      </c>
      <c r="AG361" s="32">
        <v>1.0045999999999999</v>
      </c>
      <c r="AH361" s="32">
        <v>0.1192</v>
      </c>
      <c r="AI361" s="32">
        <v>7.8898000000000001</v>
      </c>
      <c r="AJ361" s="32">
        <v>2.1006999999999998</v>
      </c>
      <c r="AK361" s="32">
        <v>8.0999999999999996E-3</v>
      </c>
      <c r="AL361" s="32">
        <v>16.0138</v>
      </c>
      <c r="AM361" s="11">
        <f t="shared" si="90"/>
        <v>7.9835000000000003</v>
      </c>
      <c r="AN361" s="34">
        <f t="shared" si="91"/>
        <v>1.6822262118491922</v>
      </c>
    </row>
    <row r="362" spans="1:40" s="32" customFormat="1" x14ac:dyDescent="0.25">
      <c r="A362" s="11" t="s">
        <v>133</v>
      </c>
      <c r="B362" s="32">
        <v>0.41899999999999998</v>
      </c>
      <c r="C362" s="32">
        <v>0</v>
      </c>
      <c r="D362" s="32">
        <v>34.759</v>
      </c>
      <c r="E362" s="32">
        <v>0.01</v>
      </c>
      <c r="F362" s="32">
        <v>6.4000000000000001E-2</v>
      </c>
      <c r="G362" s="32">
        <v>0</v>
      </c>
      <c r="H362" s="32">
        <v>0.44400000000000001</v>
      </c>
      <c r="I362" s="32">
        <v>3.0000000000000001E-3</v>
      </c>
      <c r="J362" s="32">
        <v>6.1260000000000003</v>
      </c>
      <c r="K362" s="32">
        <v>0.92300000000000004</v>
      </c>
      <c r="L362" s="32">
        <v>48.496000000000002</v>
      </c>
      <c r="M362" s="32">
        <v>8.6720000000000006</v>
      </c>
      <c r="N362" s="32">
        <v>0</v>
      </c>
      <c r="O362" s="32">
        <v>99.915999999999997</v>
      </c>
      <c r="Q362" s="34">
        <f t="shared" si="83"/>
        <v>0.48380541443385067</v>
      </c>
      <c r="R362" s="34">
        <f t="shared" si="84"/>
        <v>0.21515940950254311</v>
      </c>
      <c r="S362" s="34">
        <f t="shared" si="85"/>
        <v>0.10924070045294054</v>
      </c>
      <c r="T362" s="34">
        <f t="shared" si="86"/>
        <v>30.782580486786092</v>
      </c>
      <c r="U362" s="34">
        <f t="shared" si="87"/>
        <v>59.861681197911309</v>
      </c>
      <c r="V362" s="34">
        <f t="shared" si="88"/>
        <v>13.516450600295125</v>
      </c>
      <c r="W362" s="34">
        <f t="shared" si="89"/>
        <v>26.621868201793564</v>
      </c>
      <c r="X362" s="34"/>
      <c r="Y362" s="32">
        <v>5.1200000000000002E-2</v>
      </c>
      <c r="Z362" s="32">
        <v>0</v>
      </c>
      <c r="AA362" s="32">
        <v>4.7195999999999998</v>
      </c>
      <c r="AB362" s="32">
        <v>1.2999999999999999E-3</v>
      </c>
      <c r="AC362" s="32">
        <v>2.0199999999999999E-2</v>
      </c>
      <c r="AD362" s="32">
        <v>0</v>
      </c>
      <c r="AE362" s="32">
        <v>8.4900000000000003E-2</v>
      </c>
      <c r="AF362" s="32">
        <v>5.9999999999999995E-4</v>
      </c>
      <c r="AG362" s="32">
        <v>1.0657000000000001</v>
      </c>
      <c r="AH362" s="32">
        <v>0.12690000000000001</v>
      </c>
      <c r="AI362" s="32">
        <v>7.8734000000000002</v>
      </c>
      <c r="AJ362" s="32">
        <v>2.0988000000000002</v>
      </c>
      <c r="AK362" s="32">
        <v>0</v>
      </c>
      <c r="AL362" s="32">
        <v>16.0426</v>
      </c>
      <c r="AM362" s="11">
        <f t="shared" si="90"/>
        <v>7.9583000000000004</v>
      </c>
      <c r="AN362" s="34">
        <f t="shared" si="91"/>
        <v>1.658203125</v>
      </c>
    </row>
    <row r="363" spans="1:40" s="32" customFormat="1" x14ac:dyDescent="0.25">
      <c r="A363" s="11" t="s">
        <v>670</v>
      </c>
      <c r="B363" s="32">
        <v>0.47299999999999998</v>
      </c>
      <c r="C363" s="32">
        <v>0</v>
      </c>
      <c r="D363" s="32">
        <v>33.335000000000001</v>
      </c>
      <c r="E363" s="32">
        <v>4.2999999999999997E-2</v>
      </c>
      <c r="F363" s="32">
        <v>6.2E-2</v>
      </c>
      <c r="G363" s="32">
        <v>3.0000000000000001E-3</v>
      </c>
      <c r="H363" s="32">
        <v>0.52500000000000002</v>
      </c>
      <c r="I363" s="32">
        <v>1E-3</v>
      </c>
      <c r="J363" s="32">
        <v>7.6719999999999997</v>
      </c>
      <c r="K363" s="32">
        <v>0.872</v>
      </c>
      <c r="L363" s="32">
        <v>48.71</v>
      </c>
      <c r="M363" s="32">
        <v>8.282</v>
      </c>
      <c r="N363" s="32">
        <v>6.2E-2</v>
      </c>
      <c r="O363" s="32">
        <v>100.04</v>
      </c>
      <c r="Q363" s="34">
        <f t="shared" ref="Q363:Q390" si="92">D363/(55.845+16)</f>
        <v>0.46398496763866659</v>
      </c>
      <c r="R363" s="34">
        <f t="shared" ref="R363:R390" si="93">M363/(24.305+16)</f>
        <v>0.2054831906711326</v>
      </c>
      <c r="S363" s="34">
        <f t="shared" ref="S363:S390" si="94">J363/(40.078+16)</f>
        <v>0.13680944398872996</v>
      </c>
      <c r="T363" s="34">
        <f t="shared" ref="T363:T390" si="95">R363/(Q363+R363)*100</f>
        <v>30.693497236659372</v>
      </c>
      <c r="U363" s="34">
        <f t="shared" ref="U363:U390" si="96">Q363/(Q363+R363+S363)*100</f>
        <v>57.546552988194421</v>
      </c>
      <c r="V363" s="34">
        <f t="shared" ref="V363:V390" si="97">S363/(Q363+R363+S363)*100</f>
        <v>16.96803230037828</v>
      </c>
      <c r="W363" s="34">
        <f t="shared" ref="W363:W390" si="98">R363/(Q363+R363+S363)*100</f>
        <v>25.485414711427296</v>
      </c>
      <c r="X363" s="34"/>
      <c r="Y363" s="32">
        <v>5.7500000000000002E-2</v>
      </c>
      <c r="Z363" s="32">
        <v>0</v>
      </c>
      <c r="AA363" s="32">
        <v>4.5084</v>
      </c>
      <c r="AB363" s="32">
        <v>5.4999999999999997E-3</v>
      </c>
      <c r="AC363" s="32">
        <v>1.95E-2</v>
      </c>
      <c r="AD363" s="32">
        <v>4.0000000000000002E-4</v>
      </c>
      <c r="AE363" s="32">
        <v>0.1</v>
      </c>
      <c r="AF363" s="32">
        <v>1E-4</v>
      </c>
      <c r="AG363" s="32">
        <v>1.3292999999999999</v>
      </c>
      <c r="AH363" s="32">
        <v>0.1195</v>
      </c>
      <c r="AI363" s="32">
        <v>7.8771000000000004</v>
      </c>
      <c r="AJ363" s="32">
        <v>1.9964999999999999</v>
      </c>
      <c r="AK363" s="32">
        <v>8.0999999999999996E-3</v>
      </c>
      <c r="AL363" s="32">
        <v>16.021899999999999</v>
      </c>
      <c r="AM363" s="11">
        <f t="shared" ref="AM363:AM390" si="99">AI363+AE363</f>
        <v>7.9771000000000001</v>
      </c>
      <c r="AN363" s="34">
        <f t="shared" ref="AN363:AN390" si="100">AE363/Y363</f>
        <v>1.7391304347826086</v>
      </c>
    </row>
    <row r="364" spans="1:40" s="32" customFormat="1" x14ac:dyDescent="0.25">
      <c r="A364" s="11" t="s">
        <v>33</v>
      </c>
      <c r="B364" s="32">
        <v>0.45100000000000001</v>
      </c>
      <c r="C364" s="32">
        <v>0.03</v>
      </c>
      <c r="D364" s="32">
        <v>33.978999999999999</v>
      </c>
      <c r="E364" s="32">
        <v>5.0999999999999997E-2</v>
      </c>
      <c r="F364" s="32">
        <v>4.2000000000000003E-2</v>
      </c>
      <c r="G364" s="32">
        <v>4.4999999999999998E-2</v>
      </c>
      <c r="H364" s="32">
        <v>0.436</v>
      </c>
      <c r="I364" s="32">
        <v>1.4E-2</v>
      </c>
      <c r="J364" s="32">
        <v>6.5060000000000002</v>
      </c>
      <c r="K364" s="32">
        <v>0.84599999999999997</v>
      </c>
      <c r="L364" s="32">
        <v>48.002000000000002</v>
      </c>
      <c r="M364" s="32">
        <v>8.4049999999999994</v>
      </c>
      <c r="N364" s="32">
        <v>0</v>
      </c>
      <c r="O364" s="32">
        <v>98.807000000000002</v>
      </c>
      <c r="Q364" s="34">
        <f t="shared" si="92"/>
        <v>0.4729487090263762</v>
      </c>
      <c r="R364" s="34">
        <f t="shared" si="93"/>
        <v>0.20853492122565437</v>
      </c>
      <c r="S364" s="34">
        <f t="shared" si="94"/>
        <v>0.11601697635436356</v>
      </c>
      <c r="T364" s="34">
        <f t="shared" si="95"/>
        <v>30.600136521039051</v>
      </c>
      <c r="U364" s="34">
        <f t="shared" si="96"/>
        <v>59.303868248942869</v>
      </c>
      <c r="V364" s="34">
        <f t="shared" si="97"/>
        <v>14.547572176534237</v>
      </c>
      <c r="W364" s="34">
        <f t="shared" si="98"/>
        <v>26.148559574522885</v>
      </c>
      <c r="X364" s="34"/>
      <c r="Y364" s="32">
        <v>5.5599999999999997E-2</v>
      </c>
      <c r="Z364" s="32">
        <v>3.8999999999999998E-3</v>
      </c>
      <c r="AA364" s="32">
        <v>4.6612999999999998</v>
      </c>
      <c r="AB364" s="32">
        <v>6.7000000000000002E-3</v>
      </c>
      <c r="AC364" s="32">
        <v>1.32E-2</v>
      </c>
      <c r="AD364" s="32">
        <v>6.3E-3</v>
      </c>
      <c r="AE364" s="32">
        <v>8.4199999999999997E-2</v>
      </c>
      <c r="AF364" s="32">
        <v>3.0000000000000001E-3</v>
      </c>
      <c r="AG364" s="32">
        <v>1.1435999999999999</v>
      </c>
      <c r="AH364" s="32">
        <v>0.11749999999999999</v>
      </c>
      <c r="AI364" s="32">
        <v>7.8735999999999997</v>
      </c>
      <c r="AJ364" s="32">
        <v>2.0552000000000001</v>
      </c>
      <c r="AK364" s="32">
        <v>0</v>
      </c>
      <c r="AL364" s="32">
        <v>16.024100000000001</v>
      </c>
      <c r="AM364" s="11">
        <f t="shared" si="99"/>
        <v>7.9577999999999998</v>
      </c>
      <c r="AN364" s="34">
        <f t="shared" si="100"/>
        <v>1.5143884892086332</v>
      </c>
    </row>
    <row r="365" spans="1:40" s="32" customFormat="1" x14ac:dyDescent="0.25">
      <c r="A365" s="11" t="s">
        <v>671</v>
      </c>
      <c r="B365" s="32">
        <v>0.36099999999999999</v>
      </c>
      <c r="C365" s="32">
        <v>0</v>
      </c>
      <c r="D365" s="32">
        <v>34.29</v>
      </c>
      <c r="E365" s="32">
        <v>1.4999999999999999E-2</v>
      </c>
      <c r="F365" s="32">
        <v>4.7E-2</v>
      </c>
      <c r="G365" s="32">
        <v>9.4E-2</v>
      </c>
      <c r="H365" s="32">
        <v>0.51500000000000001</v>
      </c>
      <c r="I365" s="32">
        <v>4.0000000000000001E-3</v>
      </c>
      <c r="J365" s="32">
        <v>6.6050000000000004</v>
      </c>
      <c r="K365" s="32">
        <v>0.877</v>
      </c>
      <c r="L365" s="32">
        <v>48.503</v>
      </c>
      <c r="M365" s="32">
        <v>8.4770000000000003</v>
      </c>
      <c r="N365" s="32">
        <v>0</v>
      </c>
      <c r="O365" s="32">
        <v>99.787999999999997</v>
      </c>
      <c r="Q365" s="34">
        <f t="shared" si="92"/>
        <v>0.47727747233627948</v>
      </c>
      <c r="R365" s="34">
        <f t="shared" si="93"/>
        <v>0.21032130008683786</v>
      </c>
      <c r="S365" s="34">
        <f t="shared" si="94"/>
        <v>0.11778237454973429</v>
      </c>
      <c r="T365" s="34">
        <f t="shared" si="95"/>
        <v>30.587794586319532</v>
      </c>
      <c r="U365" s="34">
        <f t="shared" si="96"/>
        <v>59.261068393542601</v>
      </c>
      <c r="V365" s="34">
        <f t="shared" si="97"/>
        <v>14.624426582672983</v>
      </c>
      <c r="W365" s="34">
        <f t="shared" si="98"/>
        <v>26.114505023784414</v>
      </c>
      <c r="X365" s="34"/>
      <c r="Y365" s="32">
        <v>4.3999999999999997E-2</v>
      </c>
      <c r="Z365" s="32">
        <v>0</v>
      </c>
      <c r="AA365" s="32">
        <v>4.6547999999999998</v>
      </c>
      <c r="AB365" s="32">
        <v>2E-3</v>
      </c>
      <c r="AC365" s="32">
        <v>1.49E-2</v>
      </c>
      <c r="AD365" s="32">
        <v>1.2999999999999999E-2</v>
      </c>
      <c r="AE365" s="32">
        <v>9.8599999999999993E-2</v>
      </c>
      <c r="AF365" s="32">
        <v>8.9999999999999998E-4</v>
      </c>
      <c r="AG365" s="32">
        <v>1.1487000000000001</v>
      </c>
      <c r="AH365" s="32">
        <v>0.1206</v>
      </c>
      <c r="AI365" s="32">
        <v>7.8727999999999998</v>
      </c>
      <c r="AJ365" s="32">
        <v>2.0510999999999999</v>
      </c>
      <c r="AK365" s="32">
        <v>0</v>
      </c>
      <c r="AL365" s="32">
        <v>16.0214</v>
      </c>
      <c r="AM365" s="11">
        <f t="shared" si="99"/>
        <v>7.9714</v>
      </c>
      <c r="AN365" s="34">
        <f t="shared" si="100"/>
        <v>2.2409090909090907</v>
      </c>
    </row>
    <row r="366" spans="1:40" s="32" customFormat="1" x14ac:dyDescent="0.25">
      <c r="A366" s="11" t="s">
        <v>234</v>
      </c>
      <c r="B366" s="32">
        <v>0.44900000000000001</v>
      </c>
      <c r="C366" s="32">
        <v>0</v>
      </c>
      <c r="D366" s="32">
        <v>34.146999999999998</v>
      </c>
      <c r="E366" s="32">
        <v>1.2E-2</v>
      </c>
      <c r="F366" s="32">
        <v>6.3E-2</v>
      </c>
      <c r="G366" s="32">
        <v>0</v>
      </c>
      <c r="H366" s="32">
        <v>0.40300000000000002</v>
      </c>
      <c r="I366" s="32">
        <v>0</v>
      </c>
      <c r="J366" s="32">
        <v>6.8860000000000001</v>
      </c>
      <c r="K366" s="32">
        <v>0.82399999999999995</v>
      </c>
      <c r="L366" s="32">
        <v>48.168999999999997</v>
      </c>
      <c r="M366" s="32">
        <v>8.4250000000000007</v>
      </c>
      <c r="N366" s="32">
        <v>0.34399999999999997</v>
      </c>
      <c r="O366" s="32">
        <v>99.721999999999994</v>
      </c>
      <c r="Q366" s="34">
        <f t="shared" si="92"/>
        <v>0.47528707634490919</v>
      </c>
      <c r="R366" s="34">
        <f t="shared" si="93"/>
        <v>0.20903113757598316</v>
      </c>
      <c r="S366" s="34">
        <f t="shared" si="94"/>
        <v>0.12279325225578658</v>
      </c>
      <c r="T366" s="34">
        <f t="shared" si="95"/>
        <v>30.545897116826897</v>
      </c>
      <c r="U366" s="34">
        <f t="shared" si="96"/>
        <v>58.8874147205917</v>
      </c>
      <c r="V366" s="34">
        <f t="shared" si="97"/>
        <v>15.213914979731783</v>
      </c>
      <c r="W366" s="34">
        <f t="shared" si="98"/>
        <v>25.898670299676507</v>
      </c>
      <c r="X366" s="34"/>
      <c r="Y366" s="32">
        <v>5.5E-2</v>
      </c>
      <c r="Z366" s="32">
        <v>0</v>
      </c>
      <c r="AA366" s="32">
        <v>4.6539999999999999</v>
      </c>
      <c r="AB366" s="32">
        <v>1.6000000000000001E-3</v>
      </c>
      <c r="AC366" s="32">
        <v>1.9800000000000002E-2</v>
      </c>
      <c r="AD366" s="32">
        <v>0</v>
      </c>
      <c r="AE366" s="32">
        <v>7.7299999999999994E-2</v>
      </c>
      <c r="AF366" s="32">
        <v>0</v>
      </c>
      <c r="AG366" s="32">
        <v>1.2024999999999999</v>
      </c>
      <c r="AH366" s="32">
        <v>0.1138</v>
      </c>
      <c r="AI366" s="32">
        <v>7.8498999999999999</v>
      </c>
      <c r="AJ366" s="32">
        <v>2.0467</v>
      </c>
      <c r="AK366" s="32">
        <v>4.4999999999999998E-2</v>
      </c>
      <c r="AL366" s="32">
        <v>16.0656</v>
      </c>
      <c r="AM366" s="11">
        <f t="shared" si="99"/>
        <v>7.9272</v>
      </c>
      <c r="AN366" s="34">
        <f t="shared" si="100"/>
        <v>1.4054545454545453</v>
      </c>
    </row>
    <row r="367" spans="1:40" s="32" customFormat="1" x14ac:dyDescent="0.25">
      <c r="A367" s="11" t="s">
        <v>53</v>
      </c>
      <c r="B367" s="32">
        <v>0.42699999999999999</v>
      </c>
      <c r="C367" s="32">
        <v>5.0000000000000001E-3</v>
      </c>
      <c r="D367" s="32">
        <v>34.009</v>
      </c>
      <c r="E367" s="32">
        <v>0.05</v>
      </c>
      <c r="F367" s="32">
        <v>8.1000000000000003E-2</v>
      </c>
      <c r="G367" s="32">
        <v>3.4000000000000002E-2</v>
      </c>
      <c r="H367" s="32">
        <v>0.502</v>
      </c>
      <c r="I367" s="32">
        <v>6.0000000000000001E-3</v>
      </c>
      <c r="J367" s="32">
        <v>7.1349999999999998</v>
      </c>
      <c r="K367" s="32">
        <v>0.79600000000000004</v>
      </c>
      <c r="L367" s="32">
        <v>48.661000000000001</v>
      </c>
      <c r="M367" s="32">
        <v>8.3379999999999992</v>
      </c>
      <c r="N367" s="32">
        <v>0.25</v>
      </c>
      <c r="O367" s="32">
        <v>100.294</v>
      </c>
      <c r="Q367" s="34">
        <f t="shared" si="92"/>
        <v>0.47336627461897141</v>
      </c>
      <c r="R367" s="34">
        <f t="shared" si="93"/>
        <v>0.20687259645205308</v>
      </c>
      <c r="S367" s="34">
        <f t="shared" si="94"/>
        <v>0.12723349620171903</v>
      </c>
      <c r="T367" s="34">
        <f t="shared" si="95"/>
        <v>30.41175758249976</v>
      </c>
      <c r="U367" s="34">
        <f t="shared" si="96"/>
        <v>58.623216571209348</v>
      </c>
      <c r="V367" s="34">
        <f t="shared" si="97"/>
        <v>15.757009324226548</v>
      </c>
      <c r="W367" s="34">
        <f t="shared" si="98"/>
        <v>25.619774104564101</v>
      </c>
      <c r="X367" s="34"/>
      <c r="Y367" s="32">
        <v>5.1900000000000002E-2</v>
      </c>
      <c r="Z367" s="32">
        <v>5.9999999999999995E-4</v>
      </c>
      <c r="AA367" s="32">
        <v>4.5979000000000001</v>
      </c>
      <c r="AB367" s="32">
        <v>6.4000000000000003E-3</v>
      </c>
      <c r="AC367" s="32">
        <v>2.53E-2</v>
      </c>
      <c r="AD367" s="32">
        <v>4.7000000000000002E-3</v>
      </c>
      <c r="AE367" s="32">
        <v>9.5600000000000004E-2</v>
      </c>
      <c r="AF367" s="32">
        <v>1.2999999999999999E-3</v>
      </c>
      <c r="AG367" s="32">
        <v>1.236</v>
      </c>
      <c r="AH367" s="32">
        <v>0.1089</v>
      </c>
      <c r="AI367" s="32">
        <v>7.8665000000000003</v>
      </c>
      <c r="AJ367" s="32">
        <v>2.0093000000000001</v>
      </c>
      <c r="AK367" s="32">
        <v>3.2500000000000001E-2</v>
      </c>
      <c r="AL367" s="32">
        <v>16.036899999999999</v>
      </c>
      <c r="AM367" s="11">
        <f t="shared" si="99"/>
        <v>7.9621000000000004</v>
      </c>
      <c r="AN367" s="34">
        <f t="shared" si="100"/>
        <v>1.8420038535645473</v>
      </c>
    </row>
    <row r="368" spans="1:40" s="32" customFormat="1" x14ac:dyDescent="0.25">
      <c r="A368" s="11" t="s">
        <v>672</v>
      </c>
      <c r="B368" s="32">
        <v>0.45700000000000002</v>
      </c>
      <c r="C368" s="32">
        <v>3.3000000000000002E-2</v>
      </c>
      <c r="D368" s="32">
        <v>35.049999999999997</v>
      </c>
      <c r="E368" s="32">
        <v>3.5999999999999997E-2</v>
      </c>
      <c r="F368" s="32">
        <v>7.2999999999999995E-2</v>
      </c>
      <c r="G368" s="32">
        <v>0</v>
      </c>
      <c r="H368" s="32">
        <v>0.44700000000000001</v>
      </c>
      <c r="I368" s="32">
        <v>3.0000000000000001E-3</v>
      </c>
      <c r="J368" s="32">
        <v>5.883</v>
      </c>
      <c r="K368" s="32">
        <v>0.89500000000000002</v>
      </c>
      <c r="L368" s="32">
        <v>48.454000000000001</v>
      </c>
      <c r="M368" s="32">
        <v>8.5190000000000001</v>
      </c>
      <c r="N368" s="32">
        <v>0.59299999999999997</v>
      </c>
      <c r="O368" s="32">
        <v>100.443</v>
      </c>
      <c r="Q368" s="34">
        <f t="shared" si="92"/>
        <v>0.48785580068202378</v>
      </c>
      <c r="R368" s="34">
        <f t="shared" si="93"/>
        <v>0.21136335442252824</v>
      </c>
      <c r="S368" s="34">
        <f t="shared" si="94"/>
        <v>0.10490745033703056</v>
      </c>
      <c r="T368" s="34">
        <f t="shared" si="95"/>
        <v>30.228484571610991</v>
      </c>
      <c r="U368" s="34">
        <f t="shared" si="96"/>
        <v>60.669028655521217</v>
      </c>
      <c r="V368" s="34">
        <f t="shared" si="97"/>
        <v>13.046135972509093</v>
      </c>
      <c r="W368" s="34">
        <f t="shared" si="98"/>
        <v>26.284835371969688</v>
      </c>
      <c r="X368" s="34"/>
      <c r="Y368" s="32">
        <v>5.57E-2</v>
      </c>
      <c r="Z368" s="32">
        <v>4.3E-3</v>
      </c>
      <c r="AA368" s="32">
        <v>4.7510000000000003</v>
      </c>
      <c r="AB368" s="32">
        <v>4.5999999999999999E-3</v>
      </c>
      <c r="AC368" s="32">
        <v>2.3E-2</v>
      </c>
      <c r="AD368" s="32">
        <v>0</v>
      </c>
      <c r="AE368" s="32">
        <v>8.5400000000000004E-2</v>
      </c>
      <c r="AF368" s="32">
        <v>5.9999999999999995E-4</v>
      </c>
      <c r="AG368" s="32">
        <v>1.0216000000000001</v>
      </c>
      <c r="AH368" s="32">
        <v>0.1229</v>
      </c>
      <c r="AI368" s="32">
        <v>7.8532999999999999</v>
      </c>
      <c r="AJ368" s="32">
        <v>2.0581999999999998</v>
      </c>
      <c r="AK368" s="32">
        <v>7.7100000000000002E-2</v>
      </c>
      <c r="AL368" s="32">
        <v>16.057700000000001</v>
      </c>
      <c r="AM368" s="11">
        <f t="shared" si="99"/>
        <v>7.9386999999999999</v>
      </c>
      <c r="AN368" s="34">
        <f t="shared" si="100"/>
        <v>1.533213644524237</v>
      </c>
    </row>
    <row r="369" spans="1:40" s="32" customFormat="1" x14ac:dyDescent="0.25">
      <c r="A369" s="11" t="s">
        <v>673</v>
      </c>
      <c r="B369" s="32">
        <v>0.47599999999999998</v>
      </c>
      <c r="C369" s="32">
        <v>7.0000000000000001E-3</v>
      </c>
      <c r="D369" s="32">
        <v>34.085000000000001</v>
      </c>
      <c r="E369" s="32">
        <v>9.4E-2</v>
      </c>
      <c r="F369" s="32">
        <v>4.8000000000000001E-2</v>
      </c>
      <c r="G369" s="32">
        <v>0</v>
      </c>
      <c r="H369" s="32">
        <v>0.60499999999999998</v>
      </c>
      <c r="I369" s="32">
        <v>0</v>
      </c>
      <c r="J369" s="32">
        <v>7.069</v>
      </c>
      <c r="K369" s="32">
        <v>0.87</v>
      </c>
      <c r="L369" s="32">
        <v>48.302</v>
      </c>
      <c r="M369" s="32">
        <v>8.0920000000000005</v>
      </c>
      <c r="N369" s="32">
        <v>0.312</v>
      </c>
      <c r="O369" s="32">
        <v>99.96</v>
      </c>
      <c r="Q369" s="34">
        <f t="shared" si="92"/>
        <v>0.47442410745354585</v>
      </c>
      <c r="R369" s="34">
        <f t="shared" si="93"/>
        <v>0.20076913534300958</v>
      </c>
      <c r="S369" s="34">
        <f t="shared" si="94"/>
        <v>0.12605656407147187</v>
      </c>
      <c r="T369" s="34">
        <f t="shared" si="95"/>
        <v>29.735062885323327</v>
      </c>
      <c r="U369" s="34">
        <f t="shared" si="96"/>
        <v>59.210511302087276</v>
      </c>
      <c r="V369" s="34">
        <f t="shared" si="97"/>
        <v>15.732492287793393</v>
      </c>
      <c r="W369" s="34">
        <f t="shared" si="98"/>
        <v>25.056996410119314</v>
      </c>
      <c r="X369" s="34"/>
      <c r="Y369" s="32">
        <v>5.8099999999999999E-2</v>
      </c>
      <c r="Z369" s="32">
        <v>8.9999999999999998E-4</v>
      </c>
      <c r="AA369" s="32">
        <v>4.6325000000000003</v>
      </c>
      <c r="AB369" s="32">
        <v>1.21E-2</v>
      </c>
      <c r="AC369" s="32">
        <v>1.4999999999999999E-2</v>
      </c>
      <c r="AD369" s="32">
        <v>0</v>
      </c>
      <c r="AE369" s="32">
        <v>0.1159</v>
      </c>
      <c r="AF369" s="32">
        <v>0</v>
      </c>
      <c r="AG369" s="32">
        <v>1.2309000000000001</v>
      </c>
      <c r="AH369" s="32">
        <v>0.1198</v>
      </c>
      <c r="AI369" s="32">
        <v>7.8494999999999999</v>
      </c>
      <c r="AJ369" s="32">
        <v>1.9602999999999999</v>
      </c>
      <c r="AK369" s="32">
        <v>4.0599999999999997E-2</v>
      </c>
      <c r="AL369" s="32">
        <v>16.035599999999999</v>
      </c>
      <c r="AM369" s="11">
        <f t="shared" si="99"/>
        <v>7.9653999999999998</v>
      </c>
      <c r="AN369" s="34">
        <f t="shared" si="100"/>
        <v>1.9948364888123926</v>
      </c>
    </row>
    <row r="370" spans="1:40" s="32" customFormat="1" x14ac:dyDescent="0.25">
      <c r="A370" s="11" t="s">
        <v>245</v>
      </c>
      <c r="B370" s="32">
        <v>0.41499999999999998</v>
      </c>
      <c r="C370" s="32">
        <v>7.0000000000000001E-3</v>
      </c>
      <c r="D370" s="32">
        <v>34.380000000000003</v>
      </c>
      <c r="E370" s="32">
        <v>5.0000000000000001E-3</v>
      </c>
      <c r="F370" s="32">
        <v>7.3999999999999996E-2</v>
      </c>
      <c r="G370" s="32">
        <v>0</v>
      </c>
      <c r="H370" s="32">
        <v>0.48099999999999998</v>
      </c>
      <c r="I370" s="32">
        <v>3.0000000000000001E-3</v>
      </c>
      <c r="J370" s="32">
        <v>7.0979999999999999</v>
      </c>
      <c r="K370" s="32">
        <v>0.83</v>
      </c>
      <c r="L370" s="32">
        <v>48.488</v>
      </c>
      <c r="M370" s="32">
        <v>8.1110000000000007</v>
      </c>
      <c r="N370" s="32">
        <v>0</v>
      </c>
      <c r="O370" s="32">
        <v>99.891999999999996</v>
      </c>
      <c r="Q370" s="34">
        <f t="shared" si="92"/>
        <v>0.47853016911406504</v>
      </c>
      <c r="R370" s="34">
        <f t="shared" si="93"/>
        <v>0.20124054087582188</v>
      </c>
      <c r="S370" s="34">
        <f t="shared" si="94"/>
        <v>0.12657370091658046</v>
      </c>
      <c r="T370" s="34">
        <f t="shared" si="95"/>
        <v>29.604179456160416</v>
      </c>
      <c r="U370" s="34">
        <f t="shared" si="96"/>
        <v>59.345629812962464</v>
      </c>
      <c r="V370" s="34">
        <f t="shared" si="97"/>
        <v>15.697225553320354</v>
      </c>
      <c r="W370" s="34">
        <f t="shared" si="98"/>
        <v>24.957144633717188</v>
      </c>
      <c r="X370" s="34"/>
      <c r="Y370" s="32">
        <v>5.0700000000000002E-2</v>
      </c>
      <c r="Z370" s="32">
        <v>8.9999999999999998E-4</v>
      </c>
      <c r="AA370" s="32">
        <v>4.6725000000000003</v>
      </c>
      <c r="AB370" s="32">
        <v>6.9999999999999999E-4</v>
      </c>
      <c r="AC370" s="32">
        <v>2.3400000000000001E-2</v>
      </c>
      <c r="AD370" s="32">
        <v>0</v>
      </c>
      <c r="AE370" s="32">
        <v>9.2200000000000004E-2</v>
      </c>
      <c r="AF370" s="32">
        <v>6.9999999999999999E-4</v>
      </c>
      <c r="AG370" s="32">
        <v>1.236</v>
      </c>
      <c r="AH370" s="32">
        <v>0.1142</v>
      </c>
      <c r="AI370" s="32">
        <v>7.8794000000000004</v>
      </c>
      <c r="AJ370" s="32">
        <v>1.9648000000000001</v>
      </c>
      <c r="AK370" s="32">
        <v>0</v>
      </c>
      <c r="AL370" s="32">
        <v>16.035499999999999</v>
      </c>
      <c r="AM370" s="11">
        <f t="shared" si="99"/>
        <v>7.9716000000000005</v>
      </c>
      <c r="AN370" s="34">
        <f t="shared" si="100"/>
        <v>1.8185404339250493</v>
      </c>
    </row>
    <row r="371" spans="1:40" s="32" customFormat="1" x14ac:dyDescent="0.25">
      <c r="A371" s="11" t="s">
        <v>186</v>
      </c>
      <c r="B371" s="32">
        <v>0.53600000000000003</v>
      </c>
      <c r="C371" s="32">
        <v>2.5999999999999999E-2</v>
      </c>
      <c r="D371" s="32">
        <v>32.613999999999997</v>
      </c>
      <c r="E371" s="32">
        <v>0.04</v>
      </c>
      <c r="F371" s="32">
        <v>7.0000000000000007E-2</v>
      </c>
      <c r="G371" s="32">
        <v>0.10100000000000001</v>
      </c>
      <c r="H371" s="32">
        <v>0.61</v>
      </c>
      <c r="I371" s="32">
        <v>0</v>
      </c>
      <c r="J371" s="32">
        <v>7.7839999999999998</v>
      </c>
      <c r="K371" s="32">
        <v>0.89400000000000002</v>
      </c>
      <c r="L371" s="32">
        <v>48.225999999999999</v>
      </c>
      <c r="M371" s="32">
        <v>7.6559999999999997</v>
      </c>
      <c r="N371" s="32">
        <v>0</v>
      </c>
      <c r="O371" s="32">
        <v>98.557000000000002</v>
      </c>
      <c r="Q371" s="34">
        <f t="shared" si="92"/>
        <v>0.45394947456329593</v>
      </c>
      <c r="R371" s="34">
        <f t="shared" si="93"/>
        <v>0.18995161890584294</v>
      </c>
      <c r="S371" s="34">
        <f t="shared" si="94"/>
        <v>0.13880666214914938</v>
      </c>
      <c r="T371" s="34">
        <f t="shared" si="95"/>
        <v>29.500123673100582</v>
      </c>
      <c r="U371" s="34">
        <f t="shared" si="96"/>
        <v>57.997313978919927</v>
      </c>
      <c r="V371" s="34">
        <f t="shared" si="97"/>
        <v>17.734162099812227</v>
      </c>
      <c r="W371" s="34">
        <f t="shared" si="98"/>
        <v>24.268523921267843</v>
      </c>
      <c r="X371" s="34"/>
      <c r="Y371" s="32">
        <v>6.6000000000000003E-2</v>
      </c>
      <c r="Z371" s="32">
        <v>3.3999999999999998E-3</v>
      </c>
      <c r="AA371" s="32">
        <v>4.4692999999999996</v>
      </c>
      <c r="AB371" s="32">
        <v>5.1999999999999998E-3</v>
      </c>
      <c r="AC371" s="32">
        <v>2.2100000000000002E-2</v>
      </c>
      <c r="AD371" s="32">
        <v>1.4E-2</v>
      </c>
      <c r="AE371" s="32">
        <v>0.1177</v>
      </c>
      <c r="AF371" s="32">
        <v>0</v>
      </c>
      <c r="AG371" s="32">
        <v>1.3667</v>
      </c>
      <c r="AH371" s="32">
        <v>0.1241</v>
      </c>
      <c r="AI371" s="32">
        <v>7.9020999999999999</v>
      </c>
      <c r="AJ371" s="32">
        <v>1.8701000000000001</v>
      </c>
      <c r="AK371" s="32">
        <v>0</v>
      </c>
      <c r="AL371" s="32">
        <v>15.960699999999999</v>
      </c>
      <c r="AM371" s="11">
        <f t="shared" si="99"/>
        <v>8.0198</v>
      </c>
      <c r="AN371" s="34">
        <f t="shared" si="100"/>
        <v>1.7833333333333332</v>
      </c>
    </row>
    <row r="372" spans="1:40" s="32" customFormat="1" x14ac:dyDescent="0.25">
      <c r="A372" s="11" t="s">
        <v>269</v>
      </c>
      <c r="B372" s="32">
        <v>0.48099999999999998</v>
      </c>
      <c r="C372" s="32">
        <v>0</v>
      </c>
      <c r="D372" s="32">
        <v>34.231999999999999</v>
      </c>
      <c r="E372" s="32">
        <v>2.1999999999999999E-2</v>
      </c>
      <c r="F372" s="32">
        <v>7.5999999999999998E-2</v>
      </c>
      <c r="G372" s="32">
        <v>3.5999999999999997E-2</v>
      </c>
      <c r="H372" s="32">
        <v>0.439</v>
      </c>
      <c r="I372" s="32">
        <v>6.0000000000000001E-3</v>
      </c>
      <c r="J372" s="32">
        <v>6.6029999999999998</v>
      </c>
      <c r="K372" s="32">
        <v>0.83299999999999996</v>
      </c>
      <c r="L372" s="32">
        <v>48.347999999999999</v>
      </c>
      <c r="M372" s="32">
        <v>7.9240000000000004</v>
      </c>
      <c r="N372" s="32">
        <v>0.218</v>
      </c>
      <c r="O372" s="32">
        <v>99.218000000000004</v>
      </c>
      <c r="Q372" s="34">
        <f t="shared" si="92"/>
        <v>0.47647017885726217</v>
      </c>
      <c r="R372" s="34">
        <f t="shared" si="93"/>
        <v>0.19660091800024812</v>
      </c>
      <c r="S372" s="34">
        <f t="shared" si="94"/>
        <v>0.1177467099397268</v>
      </c>
      <c r="T372" s="34">
        <f t="shared" si="95"/>
        <v>29.209532086306282</v>
      </c>
      <c r="U372" s="34">
        <f t="shared" si="96"/>
        <v>60.25030983899272</v>
      </c>
      <c r="V372" s="34">
        <f t="shared" si="97"/>
        <v>14.88923351594644</v>
      </c>
      <c r="W372" s="34">
        <f t="shared" si="98"/>
        <v>24.86045664506084</v>
      </c>
      <c r="X372" s="34"/>
      <c r="Y372" s="32">
        <v>5.91E-2</v>
      </c>
      <c r="Z372" s="32">
        <v>0</v>
      </c>
      <c r="AA372" s="32">
        <v>4.6813000000000002</v>
      </c>
      <c r="AB372" s="32">
        <v>2.8999999999999998E-3</v>
      </c>
      <c r="AC372" s="32">
        <v>2.41E-2</v>
      </c>
      <c r="AD372" s="32">
        <v>5.0000000000000001E-3</v>
      </c>
      <c r="AE372" s="32">
        <v>8.4599999999999995E-2</v>
      </c>
      <c r="AF372" s="32">
        <v>1.2999999999999999E-3</v>
      </c>
      <c r="AG372" s="32">
        <v>1.1569</v>
      </c>
      <c r="AH372" s="32">
        <v>0.1153</v>
      </c>
      <c r="AI372" s="32">
        <v>7.9058000000000002</v>
      </c>
      <c r="AJ372" s="32">
        <v>1.9316</v>
      </c>
      <c r="AK372" s="32">
        <v>2.86E-2</v>
      </c>
      <c r="AL372" s="32">
        <v>15.996499999999999</v>
      </c>
      <c r="AM372" s="11">
        <f t="shared" si="99"/>
        <v>7.9904000000000002</v>
      </c>
      <c r="AN372" s="34">
        <f t="shared" si="100"/>
        <v>1.431472081218274</v>
      </c>
    </row>
    <row r="373" spans="1:40" s="32" customFormat="1" x14ac:dyDescent="0.25">
      <c r="A373" s="11" t="s">
        <v>176</v>
      </c>
      <c r="B373" s="32">
        <v>0.439</v>
      </c>
      <c r="C373" s="32">
        <v>1.4E-2</v>
      </c>
      <c r="D373" s="32">
        <v>34.371000000000002</v>
      </c>
      <c r="E373" s="32">
        <v>5.0000000000000001E-3</v>
      </c>
      <c r="F373" s="32">
        <v>0.19500000000000001</v>
      </c>
      <c r="G373" s="32">
        <v>8.0000000000000002E-3</v>
      </c>
      <c r="H373" s="32">
        <v>0.70899999999999996</v>
      </c>
      <c r="I373" s="32">
        <v>2.9000000000000001E-2</v>
      </c>
      <c r="J373" s="32">
        <v>6.8460000000000001</v>
      </c>
      <c r="K373" s="32">
        <v>0.90800000000000003</v>
      </c>
      <c r="L373" s="32">
        <v>47.588000000000001</v>
      </c>
      <c r="M373" s="32">
        <v>7.923</v>
      </c>
      <c r="N373" s="32">
        <v>3.1E-2</v>
      </c>
      <c r="O373" s="32">
        <v>99.066000000000003</v>
      </c>
      <c r="Q373" s="34">
        <f t="shared" si="92"/>
        <v>0.4784048994362865</v>
      </c>
      <c r="R373" s="34">
        <f t="shared" si="93"/>
        <v>0.19657610718273166</v>
      </c>
      <c r="S373" s="34">
        <f t="shared" si="94"/>
        <v>0.12207996005563679</v>
      </c>
      <c r="T373" s="34">
        <f t="shared" si="95"/>
        <v>29.123205728022178</v>
      </c>
      <c r="U373" s="34">
        <f t="shared" si="96"/>
        <v>60.021117510269725</v>
      </c>
      <c r="V373" s="34">
        <f t="shared" si="97"/>
        <v>15.316263769000681</v>
      </c>
      <c r="W373" s="34">
        <f t="shared" si="98"/>
        <v>24.662618720729583</v>
      </c>
      <c r="X373" s="34"/>
      <c r="Y373" s="32">
        <v>5.4300000000000001E-2</v>
      </c>
      <c r="Z373" s="32">
        <v>1.9E-3</v>
      </c>
      <c r="AA373" s="32">
        <v>4.7247000000000003</v>
      </c>
      <c r="AB373" s="32">
        <v>6.9999999999999999E-4</v>
      </c>
      <c r="AC373" s="32">
        <v>6.2E-2</v>
      </c>
      <c r="AD373" s="32">
        <v>1.1000000000000001E-3</v>
      </c>
      <c r="AE373" s="32">
        <v>0.13730000000000001</v>
      </c>
      <c r="AF373" s="32">
        <v>6.1000000000000004E-3</v>
      </c>
      <c r="AG373" s="32">
        <v>1.2058</v>
      </c>
      <c r="AH373" s="32">
        <v>0.12640000000000001</v>
      </c>
      <c r="AI373" s="32">
        <v>7.8216999999999999</v>
      </c>
      <c r="AJ373" s="32">
        <v>1.9412</v>
      </c>
      <c r="AK373" s="32">
        <v>4.1000000000000003E-3</v>
      </c>
      <c r="AL373" s="32">
        <v>16.087299999999999</v>
      </c>
      <c r="AM373" s="11">
        <f t="shared" si="99"/>
        <v>7.9589999999999996</v>
      </c>
      <c r="AN373" s="34">
        <f t="shared" si="100"/>
        <v>2.5285451197053406</v>
      </c>
    </row>
    <row r="374" spans="1:40" s="32" customFormat="1" x14ac:dyDescent="0.25">
      <c r="A374" s="11" t="s">
        <v>119</v>
      </c>
      <c r="B374" s="32">
        <v>0.45100000000000001</v>
      </c>
      <c r="C374" s="32">
        <v>0</v>
      </c>
      <c r="D374" s="32">
        <v>33.976999999999997</v>
      </c>
      <c r="E374" s="32">
        <v>0.04</v>
      </c>
      <c r="F374" s="32">
        <v>8.5000000000000006E-2</v>
      </c>
      <c r="G374" s="32">
        <v>5.8999999999999997E-2</v>
      </c>
      <c r="H374" s="32">
        <v>0.52900000000000003</v>
      </c>
      <c r="I374" s="32">
        <v>0</v>
      </c>
      <c r="J374" s="32">
        <v>7.5270000000000001</v>
      </c>
      <c r="K374" s="32">
        <v>0.873</v>
      </c>
      <c r="L374" s="32">
        <v>47.973999999999997</v>
      </c>
      <c r="M374" s="32">
        <v>7.7770000000000001</v>
      </c>
      <c r="N374" s="32">
        <v>0</v>
      </c>
      <c r="O374" s="32">
        <v>99.292000000000002</v>
      </c>
      <c r="Q374" s="34">
        <f t="shared" si="92"/>
        <v>0.47292087132020316</v>
      </c>
      <c r="R374" s="34">
        <f t="shared" si="93"/>
        <v>0.19295372782533185</v>
      </c>
      <c r="S374" s="34">
        <f t="shared" si="94"/>
        <v>0.13422375976318698</v>
      </c>
      <c r="T374" s="34">
        <f t="shared" si="95"/>
        <v>28.977487363676936</v>
      </c>
      <c r="U374" s="34">
        <f t="shared" si="96"/>
        <v>59.107841686518888</v>
      </c>
      <c r="V374" s="34">
        <f t="shared" si="97"/>
        <v>16.775907395468074</v>
      </c>
      <c r="W374" s="34">
        <f t="shared" si="98"/>
        <v>24.116250918013026</v>
      </c>
      <c r="X374" s="34"/>
      <c r="Y374" s="32">
        <v>5.5500000000000001E-2</v>
      </c>
      <c r="Z374" s="32">
        <v>0</v>
      </c>
      <c r="AA374" s="32">
        <v>4.6509</v>
      </c>
      <c r="AB374" s="32">
        <v>5.1000000000000004E-3</v>
      </c>
      <c r="AC374" s="32">
        <v>2.7099999999999999E-2</v>
      </c>
      <c r="AD374" s="32">
        <v>8.2000000000000007E-3</v>
      </c>
      <c r="AE374" s="32">
        <v>0.1021</v>
      </c>
      <c r="AF374" s="32">
        <v>0</v>
      </c>
      <c r="AG374" s="32">
        <v>1.3202</v>
      </c>
      <c r="AH374" s="32">
        <v>0.1211</v>
      </c>
      <c r="AI374" s="32">
        <v>7.8521999999999998</v>
      </c>
      <c r="AJ374" s="32">
        <v>1.8975</v>
      </c>
      <c r="AK374" s="32">
        <v>0</v>
      </c>
      <c r="AL374" s="32">
        <v>16.039899999999999</v>
      </c>
      <c r="AM374" s="11">
        <f t="shared" si="99"/>
        <v>7.9542999999999999</v>
      </c>
      <c r="AN374" s="34">
        <f t="shared" si="100"/>
        <v>1.8396396396396395</v>
      </c>
    </row>
    <row r="375" spans="1:40" s="32" customFormat="1" x14ac:dyDescent="0.25">
      <c r="A375" s="11" t="s">
        <v>122</v>
      </c>
      <c r="B375" s="32">
        <v>0.501</v>
      </c>
      <c r="C375" s="32">
        <v>1.2999999999999999E-2</v>
      </c>
      <c r="D375" s="32">
        <v>34.591999999999999</v>
      </c>
      <c r="E375" s="32">
        <v>3.5999999999999997E-2</v>
      </c>
      <c r="F375" s="32">
        <v>5.1999999999999998E-2</v>
      </c>
      <c r="G375" s="32">
        <v>3.7999999999999999E-2</v>
      </c>
      <c r="H375" s="32">
        <v>0.52800000000000002</v>
      </c>
      <c r="I375" s="32">
        <v>0</v>
      </c>
      <c r="J375" s="32">
        <v>7.1909999999999998</v>
      </c>
      <c r="K375" s="32">
        <v>0.874</v>
      </c>
      <c r="L375" s="32">
        <v>48.142000000000003</v>
      </c>
      <c r="M375" s="32">
        <v>7.8860000000000001</v>
      </c>
      <c r="N375" s="32">
        <v>0</v>
      </c>
      <c r="O375" s="32">
        <v>99.852999999999994</v>
      </c>
      <c r="Q375" s="34">
        <f t="shared" si="92"/>
        <v>0.48148096596840417</v>
      </c>
      <c r="R375" s="34">
        <f t="shared" si="93"/>
        <v>0.19565810693462349</v>
      </c>
      <c r="S375" s="34">
        <f t="shared" si="94"/>
        <v>0.12823210528192874</v>
      </c>
      <c r="T375" s="34">
        <f t="shared" si="95"/>
        <v>28.894818622088795</v>
      </c>
      <c r="U375" s="34">
        <f t="shared" si="96"/>
        <v>59.783734383629792</v>
      </c>
      <c r="V375" s="34">
        <f t="shared" si="97"/>
        <v>15.922112530885702</v>
      </c>
      <c r="W375" s="34">
        <f t="shared" si="98"/>
        <v>24.294153085484503</v>
      </c>
      <c r="X375" s="34"/>
      <c r="Y375" s="32">
        <v>6.1400000000000003E-2</v>
      </c>
      <c r="Z375" s="32">
        <v>1.6999999999999999E-3</v>
      </c>
      <c r="AA375" s="32">
        <v>4.7141000000000002</v>
      </c>
      <c r="AB375" s="32">
        <v>4.7000000000000002E-3</v>
      </c>
      <c r="AC375" s="32">
        <v>1.66E-2</v>
      </c>
      <c r="AD375" s="32">
        <v>5.3E-3</v>
      </c>
      <c r="AE375" s="32">
        <v>0.1014</v>
      </c>
      <c r="AF375" s="32">
        <v>0</v>
      </c>
      <c r="AG375" s="32">
        <v>1.2555000000000001</v>
      </c>
      <c r="AH375" s="32">
        <v>0.1206</v>
      </c>
      <c r="AI375" s="32">
        <v>7.8445999999999998</v>
      </c>
      <c r="AJ375" s="32">
        <v>1.9155</v>
      </c>
      <c r="AK375" s="32">
        <v>0</v>
      </c>
      <c r="AL375" s="32">
        <v>16.041399999999999</v>
      </c>
      <c r="AM375" s="11">
        <f t="shared" si="99"/>
        <v>7.9459999999999997</v>
      </c>
      <c r="AN375" s="34">
        <f t="shared" si="100"/>
        <v>1.6514657980456027</v>
      </c>
    </row>
    <row r="376" spans="1:40" s="32" customFormat="1" x14ac:dyDescent="0.25">
      <c r="A376" s="11" t="s">
        <v>257</v>
      </c>
      <c r="B376" s="32">
        <v>0.496</v>
      </c>
      <c r="C376" s="32">
        <v>4.9000000000000002E-2</v>
      </c>
      <c r="D376" s="32">
        <v>34.067999999999998</v>
      </c>
      <c r="E376" s="32">
        <v>0.01</v>
      </c>
      <c r="F376" s="32">
        <v>8.2000000000000003E-2</v>
      </c>
      <c r="G376" s="32">
        <v>0.10199999999999999</v>
      </c>
      <c r="H376" s="32">
        <v>0.64300000000000002</v>
      </c>
      <c r="I376" s="32">
        <v>0</v>
      </c>
      <c r="J376" s="32">
        <v>7.976</v>
      </c>
      <c r="K376" s="32">
        <v>0.89400000000000002</v>
      </c>
      <c r="L376" s="32">
        <v>48.28</v>
      </c>
      <c r="M376" s="32">
        <v>7.5679999999999996</v>
      </c>
      <c r="N376" s="32">
        <v>9.4E-2</v>
      </c>
      <c r="O376" s="32">
        <v>100.262</v>
      </c>
      <c r="Q376" s="34">
        <f t="shared" si="92"/>
        <v>0.47418748695107521</v>
      </c>
      <c r="R376" s="34">
        <f t="shared" si="93"/>
        <v>0.18776826696439647</v>
      </c>
      <c r="S376" s="34">
        <f t="shared" si="94"/>
        <v>0.14223046470986839</v>
      </c>
      <c r="T376" s="34">
        <f t="shared" si="95"/>
        <v>28.365682427223604</v>
      </c>
      <c r="U376" s="34">
        <f t="shared" si="96"/>
        <v>58.964885988924529</v>
      </c>
      <c r="V376" s="34">
        <f t="shared" si="97"/>
        <v>17.686259900473587</v>
      </c>
      <c r="W376" s="34">
        <f t="shared" si="98"/>
        <v>23.34885411060187</v>
      </c>
      <c r="X376" s="34"/>
      <c r="Y376" s="32">
        <v>6.0499999999999998E-2</v>
      </c>
      <c r="Z376" s="32">
        <v>6.3E-3</v>
      </c>
      <c r="AA376" s="32">
        <v>4.6220999999999997</v>
      </c>
      <c r="AB376" s="32">
        <v>1.2999999999999999E-3</v>
      </c>
      <c r="AC376" s="32">
        <v>2.5700000000000001E-2</v>
      </c>
      <c r="AD376" s="32">
        <v>1.3899999999999999E-2</v>
      </c>
      <c r="AE376" s="32">
        <v>0.123</v>
      </c>
      <c r="AF376" s="32">
        <v>0</v>
      </c>
      <c r="AG376" s="32">
        <v>1.3865000000000001</v>
      </c>
      <c r="AH376" s="32">
        <v>0.1229</v>
      </c>
      <c r="AI376" s="32">
        <v>7.8323</v>
      </c>
      <c r="AJ376" s="32">
        <v>1.8301000000000001</v>
      </c>
      <c r="AK376" s="32">
        <v>1.2200000000000001E-2</v>
      </c>
      <c r="AL376" s="32">
        <v>16.036799999999999</v>
      </c>
      <c r="AM376" s="11">
        <f t="shared" si="99"/>
        <v>7.9553000000000003</v>
      </c>
      <c r="AN376" s="34">
        <f t="shared" si="100"/>
        <v>2.0330578512396693</v>
      </c>
    </row>
    <row r="377" spans="1:40" s="32" customFormat="1" x14ac:dyDescent="0.25">
      <c r="A377" s="11" t="s">
        <v>674</v>
      </c>
      <c r="B377" s="32">
        <v>0.65</v>
      </c>
      <c r="C377" s="32">
        <v>8.0000000000000002E-3</v>
      </c>
      <c r="D377" s="32">
        <v>33.093000000000004</v>
      </c>
      <c r="E377" s="32">
        <v>3.7999999999999999E-2</v>
      </c>
      <c r="F377" s="32">
        <v>0.316</v>
      </c>
      <c r="G377" s="32">
        <v>8.5000000000000006E-2</v>
      </c>
      <c r="H377" s="32">
        <v>0.68799999999999994</v>
      </c>
      <c r="I377" s="32">
        <v>0.09</v>
      </c>
      <c r="J377" s="32">
        <v>8.4580000000000002</v>
      </c>
      <c r="K377" s="32">
        <v>0.78200000000000003</v>
      </c>
      <c r="L377" s="32">
        <v>48.243000000000002</v>
      </c>
      <c r="M377" s="32">
        <v>7.2690000000000001</v>
      </c>
      <c r="N377" s="32">
        <v>0.77500000000000002</v>
      </c>
      <c r="O377" s="32">
        <v>100.495</v>
      </c>
      <c r="Q377" s="34">
        <f t="shared" si="92"/>
        <v>0.46061660519173225</v>
      </c>
      <c r="R377" s="34">
        <f t="shared" si="93"/>
        <v>0.18034983252698178</v>
      </c>
      <c r="S377" s="34">
        <f t="shared" si="94"/>
        <v>0.15082563572167337</v>
      </c>
      <c r="T377" s="34">
        <f t="shared" si="95"/>
        <v>28.137172543522109</v>
      </c>
      <c r="U377" s="34">
        <f t="shared" si="96"/>
        <v>58.173934880444492</v>
      </c>
      <c r="V377" s="34">
        <f t="shared" si="97"/>
        <v>19.048641781209845</v>
      </c>
      <c r="W377" s="34">
        <f t="shared" si="98"/>
        <v>22.777423338345653</v>
      </c>
      <c r="X377" s="34"/>
      <c r="Y377" s="32">
        <v>7.9100000000000004E-2</v>
      </c>
      <c r="Z377" s="32">
        <v>1.1000000000000001E-3</v>
      </c>
      <c r="AA377" s="32">
        <v>4.484</v>
      </c>
      <c r="AB377" s="32">
        <v>4.8999999999999998E-3</v>
      </c>
      <c r="AC377" s="32">
        <v>9.9099999999999994E-2</v>
      </c>
      <c r="AD377" s="32">
        <v>1.17E-2</v>
      </c>
      <c r="AE377" s="32">
        <v>0.1313</v>
      </c>
      <c r="AF377" s="32">
        <v>1.8700000000000001E-2</v>
      </c>
      <c r="AG377" s="32">
        <v>1.4683999999999999</v>
      </c>
      <c r="AH377" s="32">
        <v>0.10730000000000001</v>
      </c>
      <c r="AI377" s="32">
        <v>7.8159999999999998</v>
      </c>
      <c r="AJ377" s="32">
        <v>1.7556</v>
      </c>
      <c r="AK377" s="32">
        <v>0.1008</v>
      </c>
      <c r="AL377" s="32">
        <v>16.077999999999999</v>
      </c>
      <c r="AM377" s="11">
        <f t="shared" si="99"/>
        <v>7.9473000000000003</v>
      </c>
      <c r="AN377" s="34">
        <f t="shared" si="100"/>
        <v>1.6599241466498103</v>
      </c>
    </row>
    <row r="378" spans="1:40" s="32" customFormat="1" x14ac:dyDescent="0.25">
      <c r="A378" s="11" t="s">
        <v>51</v>
      </c>
      <c r="B378" s="32">
        <v>0.432</v>
      </c>
      <c r="C378" s="32">
        <v>3.6999999999999998E-2</v>
      </c>
      <c r="D378" s="32">
        <v>35.131</v>
      </c>
      <c r="E378" s="32">
        <v>1.4999999999999999E-2</v>
      </c>
      <c r="F378" s="32">
        <v>5.6000000000000001E-2</v>
      </c>
      <c r="G378" s="32">
        <v>0</v>
      </c>
      <c r="H378" s="32">
        <v>0.44700000000000001</v>
      </c>
      <c r="I378" s="32">
        <v>0</v>
      </c>
      <c r="J378" s="32">
        <v>6.8209999999999997</v>
      </c>
      <c r="K378" s="32">
        <v>0.92700000000000005</v>
      </c>
      <c r="L378" s="32">
        <v>48.529000000000003</v>
      </c>
      <c r="M378" s="32">
        <v>7.69</v>
      </c>
      <c r="N378" s="32">
        <v>0.252</v>
      </c>
      <c r="O378" s="32">
        <v>100.337</v>
      </c>
      <c r="Q378" s="34">
        <f t="shared" si="92"/>
        <v>0.48898322778203079</v>
      </c>
      <c r="R378" s="34">
        <f t="shared" si="93"/>
        <v>0.19079518670140183</v>
      </c>
      <c r="S378" s="34">
        <f t="shared" si="94"/>
        <v>0.12163415243054317</v>
      </c>
      <c r="T378" s="34">
        <f t="shared" si="95"/>
        <v>28.067261718862923</v>
      </c>
      <c r="U378" s="34">
        <f t="shared" si="96"/>
        <v>61.015168462477895</v>
      </c>
      <c r="V378" s="34">
        <f t="shared" si="97"/>
        <v>15.177470063755493</v>
      </c>
      <c r="W378" s="34">
        <f t="shared" si="98"/>
        <v>23.807361473766594</v>
      </c>
      <c r="X378" s="34"/>
      <c r="Y378" s="32">
        <v>5.2699999999999997E-2</v>
      </c>
      <c r="Z378" s="32">
        <v>4.7999999999999996E-3</v>
      </c>
      <c r="AA378" s="32">
        <v>4.7728999999999999</v>
      </c>
      <c r="AB378" s="32">
        <v>2E-3</v>
      </c>
      <c r="AC378" s="32">
        <v>1.7500000000000002E-2</v>
      </c>
      <c r="AD378" s="32">
        <v>0</v>
      </c>
      <c r="AE378" s="32">
        <v>8.5599999999999996E-2</v>
      </c>
      <c r="AF378" s="32">
        <v>0</v>
      </c>
      <c r="AG378" s="32">
        <v>1.1873</v>
      </c>
      <c r="AH378" s="32">
        <v>0.1275</v>
      </c>
      <c r="AI378" s="32">
        <v>7.8834</v>
      </c>
      <c r="AJ378" s="32">
        <v>1.8623000000000001</v>
      </c>
      <c r="AK378" s="32">
        <v>3.2800000000000003E-2</v>
      </c>
      <c r="AL378" s="32">
        <v>16.0288</v>
      </c>
      <c r="AM378" s="11">
        <f t="shared" si="99"/>
        <v>7.9690000000000003</v>
      </c>
      <c r="AN378" s="34">
        <f t="shared" si="100"/>
        <v>1.6242884250474383</v>
      </c>
    </row>
    <row r="379" spans="1:40" s="32" customFormat="1" x14ac:dyDescent="0.25">
      <c r="A379" s="11" t="s">
        <v>44</v>
      </c>
      <c r="B379" s="32">
        <v>0.50700000000000001</v>
      </c>
      <c r="C379" s="32">
        <v>0</v>
      </c>
      <c r="D379" s="32">
        <v>35.185000000000002</v>
      </c>
      <c r="E379" s="32">
        <v>0</v>
      </c>
      <c r="F379" s="32">
        <v>6.5000000000000002E-2</v>
      </c>
      <c r="G379" s="32">
        <v>2.7E-2</v>
      </c>
      <c r="H379" s="32">
        <v>0.54200000000000004</v>
      </c>
      <c r="I379" s="32">
        <v>0</v>
      </c>
      <c r="J379" s="32">
        <v>6.5030000000000001</v>
      </c>
      <c r="K379" s="32">
        <v>0.89900000000000002</v>
      </c>
      <c r="L379" s="32">
        <v>47.99</v>
      </c>
      <c r="M379" s="32">
        <v>7.6539999999999999</v>
      </c>
      <c r="N379" s="32">
        <v>0.47299999999999998</v>
      </c>
      <c r="O379" s="32">
        <v>99.844999999999999</v>
      </c>
      <c r="Q379" s="34">
        <f t="shared" si="92"/>
        <v>0.48973484584870208</v>
      </c>
      <c r="R379" s="34">
        <f t="shared" si="93"/>
        <v>0.18990199727081009</v>
      </c>
      <c r="S379" s="34">
        <f t="shared" si="94"/>
        <v>0.11596347943935233</v>
      </c>
      <c r="T379" s="34">
        <f t="shared" si="95"/>
        <v>27.941686680664013</v>
      </c>
      <c r="U379" s="34">
        <f t="shared" si="96"/>
        <v>61.555385532472286</v>
      </c>
      <c r="V379" s="34">
        <f t="shared" si="97"/>
        <v>14.57559482459517</v>
      </c>
      <c r="W379" s="34">
        <f t="shared" si="98"/>
        <v>23.86901964293255</v>
      </c>
      <c r="X379" s="34"/>
      <c r="Y379" s="32">
        <v>6.2300000000000001E-2</v>
      </c>
      <c r="Z379" s="32">
        <v>0</v>
      </c>
      <c r="AA379" s="32">
        <v>4.8120000000000003</v>
      </c>
      <c r="AB379" s="32">
        <v>0</v>
      </c>
      <c r="AC379" s="32">
        <v>2.06E-2</v>
      </c>
      <c r="AD379" s="32">
        <v>3.7000000000000002E-3</v>
      </c>
      <c r="AE379" s="32">
        <v>0.1045</v>
      </c>
      <c r="AF379" s="32">
        <v>0</v>
      </c>
      <c r="AG379" s="32">
        <v>1.1394</v>
      </c>
      <c r="AH379" s="32">
        <v>0.1245</v>
      </c>
      <c r="AI379" s="32">
        <v>7.8476999999999997</v>
      </c>
      <c r="AJ379" s="32">
        <v>1.8657999999999999</v>
      </c>
      <c r="AK379" s="32">
        <v>6.2E-2</v>
      </c>
      <c r="AL379" s="32">
        <v>16.0425</v>
      </c>
      <c r="AM379" s="11">
        <f t="shared" si="99"/>
        <v>7.9521999999999995</v>
      </c>
      <c r="AN379" s="34">
        <f t="shared" si="100"/>
        <v>1.6773675762439806</v>
      </c>
    </row>
    <row r="380" spans="1:40" s="32" customFormat="1" x14ac:dyDescent="0.25">
      <c r="A380" s="11" t="s">
        <v>675</v>
      </c>
      <c r="B380" s="32">
        <v>0.52</v>
      </c>
      <c r="C380" s="32">
        <v>1.2E-2</v>
      </c>
      <c r="D380" s="32">
        <v>33.841999999999999</v>
      </c>
      <c r="E380" s="32">
        <v>2.9000000000000001E-2</v>
      </c>
      <c r="F380" s="32">
        <v>4.5999999999999999E-2</v>
      </c>
      <c r="G380" s="32">
        <v>0</v>
      </c>
      <c r="H380" s="32">
        <v>0.55700000000000005</v>
      </c>
      <c r="I380" s="32">
        <v>1E-3</v>
      </c>
      <c r="J380" s="32">
        <v>8.8330000000000002</v>
      </c>
      <c r="K380" s="32">
        <v>0.81699999999999995</v>
      </c>
      <c r="L380" s="32">
        <v>48.421999999999997</v>
      </c>
      <c r="M380" s="32">
        <v>7.2779999999999996</v>
      </c>
      <c r="N380" s="32">
        <v>0.68500000000000005</v>
      </c>
      <c r="O380" s="32">
        <v>101.042</v>
      </c>
      <c r="Q380" s="34">
        <f t="shared" si="92"/>
        <v>0.47104182615352497</v>
      </c>
      <c r="R380" s="34">
        <f t="shared" si="93"/>
        <v>0.1805731298846297</v>
      </c>
      <c r="S380" s="34">
        <f t="shared" si="94"/>
        <v>0.15751275009807766</v>
      </c>
      <c r="T380" s="34">
        <f t="shared" si="95"/>
        <v>27.711630651101327</v>
      </c>
      <c r="U380" s="34">
        <f t="shared" si="96"/>
        <v>58.216005036195853</v>
      </c>
      <c r="V380" s="34">
        <f t="shared" si="97"/>
        <v>19.466982641125547</v>
      </c>
      <c r="W380" s="34">
        <f t="shared" si="98"/>
        <v>22.317012322678607</v>
      </c>
      <c r="X380" s="34"/>
      <c r="Y380" s="32">
        <v>6.3100000000000003E-2</v>
      </c>
      <c r="Z380" s="32">
        <v>1.5E-3</v>
      </c>
      <c r="AA380" s="32">
        <v>4.5724999999999998</v>
      </c>
      <c r="AB380" s="32">
        <v>3.7000000000000002E-3</v>
      </c>
      <c r="AC380" s="32">
        <v>1.4500000000000001E-2</v>
      </c>
      <c r="AD380" s="32">
        <v>0</v>
      </c>
      <c r="AE380" s="32">
        <v>0.1061</v>
      </c>
      <c r="AF380" s="32">
        <v>1E-4</v>
      </c>
      <c r="AG380" s="32">
        <v>1.5289999999999999</v>
      </c>
      <c r="AH380" s="32">
        <v>0.1118</v>
      </c>
      <c r="AI380" s="32">
        <v>7.8227000000000002</v>
      </c>
      <c r="AJ380" s="32">
        <v>1.7527999999999999</v>
      </c>
      <c r="AK380" s="32">
        <v>8.8700000000000001E-2</v>
      </c>
      <c r="AL380" s="32">
        <v>16.066500000000001</v>
      </c>
      <c r="AM380" s="11">
        <f t="shared" si="99"/>
        <v>7.9287999999999998</v>
      </c>
      <c r="AN380" s="34">
        <f t="shared" si="100"/>
        <v>1.6814580031695721</v>
      </c>
    </row>
    <row r="381" spans="1:40" s="32" customFormat="1" x14ac:dyDescent="0.25">
      <c r="A381" s="11" t="s">
        <v>676</v>
      </c>
      <c r="B381" s="32">
        <v>0.51900000000000002</v>
      </c>
      <c r="C381" s="32">
        <v>6.0000000000000001E-3</v>
      </c>
      <c r="D381" s="32">
        <v>33.695</v>
      </c>
      <c r="E381" s="32">
        <v>2.8000000000000001E-2</v>
      </c>
      <c r="F381" s="32">
        <v>0.1</v>
      </c>
      <c r="G381" s="32">
        <v>7.5999999999999998E-2</v>
      </c>
      <c r="H381" s="32">
        <v>0.55800000000000005</v>
      </c>
      <c r="I381" s="32">
        <v>6.0000000000000001E-3</v>
      </c>
      <c r="J381" s="32">
        <v>8.2469999999999999</v>
      </c>
      <c r="K381" s="32">
        <v>0.77200000000000002</v>
      </c>
      <c r="L381" s="32">
        <v>48.161000000000001</v>
      </c>
      <c r="M381" s="32">
        <v>7.2190000000000003</v>
      </c>
      <c r="N381" s="32">
        <v>0.187</v>
      </c>
      <c r="O381" s="32">
        <v>99.573999999999998</v>
      </c>
      <c r="Q381" s="34">
        <f t="shared" si="92"/>
        <v>0.46899575474980865</v>
      </c>
      <c r="R381" s="34">
        <f t="shared" si="93"/>
        <v>0.17910929165115991</v>
      </c>
      <c r="S381" s="34">
        <f t="shared" si="94"/>
        <v>0.14706301936588323</v>
      </c>
      <c r="T381" s="34">
        <f t="shared" si="95"/>
        <v>27.635842776689145</v>
      </c>
      <c r="U381" s="34">
        <f t="shared" si="96"/>
        <v>58.980707971152491</v>
      </c>
      <c r="V381" s="34">
        <f t="shared" si="97"/>
        <v>18.494583182746048</v>
      </c>
      <c r="W381" s="34">
        <f t="shared" si="98"/>
        <v>22.524708846101454</v>
      </c>
      <c r="X381" s="34"/>
      <c r="Y381" s="32">
        <v>6.3700000000000007E-2</v>
      </c>
      <c r="Z381" s="32">
        <v>8.0000000000000004E-4</v>
      </c>
      <c r="AA381" s="32">
        <v>4.6017000000000001</v>
      </c>
      <c r="AB381" s="32">
        <v>3.5999999999999999E-3</v>
      </c>
      <c r="AC381" s="32">
        <v>3.15E-2</v>
      </c>
      <c r="AD381" s="32">
        <v>1.06E-2</v>
      </c>
      <c r="AE381" s="32">
        <v>0.1074</v>
      </c>
      <c r="AF381" s="32">
        <v>1.1999999999999999E-3</v>
      </c>
      <c r="AG381" s="32">
        <v>1.4431</v>
      </c>
      <c r="AH381" s="32">
        <v>0.10680000000000001</v>
      </c>
      <c r="AI381" s="32">
        <v>7.8644999999999996</v>
      </c>
      <c r="AJ381" s="32">
        <v>1.7572000000000001</v>
      </c>
      <c r="AK381" s="32">
        <v>2.4500000000000001E-2</v>
      </c>
      <c r="AL381" s="32">
        <v>16.0166</v>
      </c>
      <c r="AM381" s="11">
        <f t="shared" si="99"/>
        <v>7.9718999999999998</v>
      </c>
      <c r="AN381" s="34">
        <f t="shared" si="100"/>
        <v>1.6860282574568286</v>
      </c>
    </row>
    <row r="382" spans="1:40" s="32" customFormat="1" x14ac:dyDescent="0.25">
      <c r="A382" s="11" t="s">
        <v>677</v>
      </c>
      <c r="B382" s="32">
        <v>0.45900000000000002</v>
      </c>
      <c r="C382" s="32">
        <v>0</v>
      </c>
      <c r="D382" s="32">
        <v>35.055999999999997</v>
      </c>
      <c r="E382" s="32">
        <v>2E-3</v>
      </c>
      <c r="F382" s="32">
        <v>3.2000000000000001E-2</v>
      </c>
      <c r="G382" s="32">
        <v>1.2E-2</v>
      </c>
      <c r="H382" s="32">
        <v>0.43099999999999999</v>
      </c>
      <c r="I382" s="32">
        <v>1E-3</v>
      </c>
      <c r="J382" s="32">
        <v>7.39</v>
      </c>
      <c r="K382" s="32">
        <v>0.85099999999999998</v>
      </c>
      <c r="L382" s="32">
        <v>48.017000000000003</v>
      </c>
      <c r="M382" s="32">
        <v>7.1669999999999998</v>
      </c>
      <c r="N382" s="32">
        <v>0</v>
      </c>
      <c r="O382" s="32">
        <v>99.418000000000006</v>
      </c>
      <c r="Q382" s="34">
        <f t="shared" si="92"/>
        <v>0.48793931380054278</v>
      </c>
      <c r="R382" s="34">
        <f t="shared" si="93"/>
        <v>0.17781912914030518</v>
      </c>
      <c r="S382" s="34">
        <f t="shared" si="94"/>
        <v>0.13178073397767395</v>
      </c>
      <c r="T382" s="34">
        <f t="shared" si="95"/>
        <v>26.709256341508276</v>
      </c>
      <c r="U382" s="34">
        <f t="shared" si="96"/>
        <v>61.18060753903147</v>
      </c>
      <c r="V382" s="34">
        <f t="shared" si="97"/>
        <v>16.523418258503547</v>
      </c>
      <c r="W382" s="34">
        <f t="shared" si="98"/>
        <v>22.295974202464979</v>
      </c>
      <c r="X382" s="34"/>
      <c r="Y382" s="32">
        <v>5.67E-2</v>
      </c>
      <c r="Z382" s="32">
        <v>0</v>
      </c>
      <c r="AA382" s="32">
        <v>4.8132999999999999</v>
      </c>
      <c r="AB382" s="32">
        <v>2.0000000000000001E-4</v>
      </c>
      <c r="AC382" s="32">
        <v>0.01</v>
      </c>
      <c r="AD382" s="32">
        <v>1.6999999999999999E-3</v>
      </c>
      <c r="AE382" s="32">
        <v>8.3400000000000002E-2</v>
      </c>
      <c r="AF382" s="32">
        <v>1E-4</v>
      </c>
      <c r="AG382" s="32">
        <v>1.2999000000000001</v>
      </c>
      <c r="AH382" s="32">
        <v>0.1183</v>
      </c>
      <c r="AI382" s="32">
        <v>7.8832000000000004</v>
      </c>
      <c r="AJ382" s="32">
        <v>1.7539</v>
      </c>
      <c r="AK382" s="32">
        <v>0</v>
      </c>
      <c r="AL382" s="32">
        <v>16.020700000000001</v>
      </c>
      <c r="AM382" s="11">
        <f t="shared" si="99"/>
        <v>7.9666000000000006</v>
      </c>
      <c r="AN382" s="34">
        <f t="shared" si="100"/>
        <v>1.4708994708994709</v>
      </c>
    </row>
    <row r="383" spans="1:40" s="32" customFormat="1" x14ac:dyDescent="0.25">
      <c r="A383" s="11" t="s">
        <v>678</v>
      </c>
      <c r="B383" s="32">
        <v>0.436</v>
      </c>
      <c r="C383" s="32">
        <v>0</v>
      </c>
      <c r="D383" s="32">
        <v>34.185000000000002</v>
      </c>
      <c r="E383" s="32">
        <v>1.7000000000000001E-2</v>
      </c>
      <c r="F383" s="32">
        <v>4.9000000000000002E-2</v>
      </c>
      <c r="G383" s="32">
        <v>5.3999999999999999E-2</v>
      </c>
      <c r="H383" s="32">
        <v>0.38500000000000001</v>
      </c>
      <c r="I383" s="32">
        <v>4.0000000000000001E-3</v>
      </c>
      <c r="J383" s="32">
        <v>8.1530000000000005</v>
      </c>
      <c r="K383" s="32">
        <v>0.875</v>
      </c>
      <c r="L383" s="32">
        <v>47.982999999999997</v>
      </c>
      <c r="M383" s="32">
        <v>6.9210000000000003</v>
      </c>
      <c r="N383" s="32">
        <v>0.34499999999999997</v>
      </c>
      <c r="O383" s="32">
        <v>99.406999999999996</v>
      </c>
      <c r="Q383" s="34">
        <f t="shared" si="92"/>
        <v>0.47581599276219644</v>
      </c>
      <c r="R383" s="34">
        <f t="shared" si="93"/>
        <v>0.17171566803126165</v>
      </c>
      <c r="S383" s="34">
        <f t="shared" si="94"/>
        <v>0.14538678269553124</v>
      </c>
      <c r="T383" s="34">
        <f t="shared" si="95"/>
        <v>26.518497616139499</v>
      </c>
      <c r="U383" s="34">
        <f t="shared" si="96"/>
        <v>60.008188316129605</v>
      </c>
      <c r="V383" s="34">
        <f t="shared" si="97"/>
        <v>18.335654049841775</v>
      </c>
      <c r="W383" s="34">
        <f t="shared" si="98"/>
        <v>21.656157634028617</v>
      </c>
      <c r="X383" s="34"/>
      <c r="Y383" s="32">
        <v>5.3800000000000001E-2</v>
      </c>
      <c r="Z383" s="32">
        <v>0</v>
      </c>
      <c r="AA383" s="32">
        <v>4.6948999999999996</v>
      </c>
      <c r="AB383" s="32">
        <v>2.2000000000000001E-3</v>
      </c>
      <c r="AC383" s="32">
        <v>1.5699999999999999E-2</v>
      </c>
      <c r="AD383" s="32">
        <v>7.4999999999999997E-3</v>
      </c>
      <c r="AE383" s="32">
        <v>7.4499999999999997E-2</v>
      </c>
      <c r="AF383" s="32">
        <v>8.9999999999999998E-4</v>
      </c>
      <c r="AG383" s="32">
        <v>1.4345000000000001</v>
      </c>
      <c r="AH383" s="32">
        <v>0.1217</v>
      </c>
      <c r="AI383" s="32">
        <v>7.8796999999999997</v>
      </c>
      <c r="AJ383" s="32">
        <v>1.6942999999999999</v>
      </c>
      <c r="AK383" s="32">
        <v>4.5400000000000003E-2</v>
      </c>
      <c r="AL383" s="32">
        <v>16.025099999999998</v>
      </c>
      <c r="AM383" s="11">
        <f t="shared" si="99"/>
        <v>7.9541999999999993</v>
      </c>
      <c r="AN383" s="34">
        <f t="shared" si="100"/>
        <v>1.3847583643122676</v>
      </c>
    </row>
    <row r="384" spans="1:40" s="32" customFormat="1" x14ac:dyDescent="0.25">
      <c r="A384" s="11" t="s">
        <v>679</v>
      </c>
      <c r="B384" s="32">
        <v>0.432</v>
      </c>
      <c r="C384" s="32">
        <v>0</v>
      </c>
      <c r="D384" s="32">
        <v>36.323999999999998</v>
      </c>
      <c r="E384" s="32">
        <v>0</v>
      </c>
      <c r="F384" s="32">
        <v>0.06</v>
      </c>
      <c r="G384" s="32">
        <v>4.2000000000000003E-2</v>
      </c>
      <c r="H384" s="32">
        <v>0.39400000000000002</v>
      </c>
      <c r="I384" s="32">
        <v>4.0000000000000001E-3</v>
      </c>
      <c r="J384" s="32">
        <v>6.2510000000000003</v>
      </c>
      <c r="K384" s="32">
        <v>0.91600000000000004</v>
      </c>
      <c r="L384" s="32">
        <v>48.073999999999998</v>
      </c>
      <c r="M384" s="32">
        <v>7.1879999999999997</v>
      </c>
      <c r="N384" s="32">
        <v>0</v>
      </c>
      <c r="O384" s="32">
        <v>99.685000000000002</v>
      </c>
      <c r="Q384" s="34">
        <f t="shared" si="92"/>
        <v>0.50558841951423206</v>
      </c>
      <c r="R384" s="34">
        <f t="shared" si="93"/>
        <v>0.17834015630815034</v>
      </c>
      <c r="S384" s="34">
        <f t="shared" si="94"/>
        <v>0.11146973857840864</v>
      </c>
      <c r="T384" s="34">
        <f t="shared" si="95"/>
        <v>26.075845141242588</v>
      </c>
      <c r="U384" s="34">
        <f t="shared" si="96"/>
        <v>63.564180406280393</v>
      </c>
      <c r="V384" s="34">
        <f t="shared" si="97"/>
        <v>14.014329243629811</v>
      </c>
      <c r="W384" s="34">
        <f t="shared" si="98"/>
        <v>22.421490350089808</v>
      </c>
      <c r="X384" s="34"/>
      <c r="Y384" s="32">
        <v>5.33E-2</v>
      </c>
      <c r="Z384" s="32">
        <v>0</v>
      </c>
      <c r="AA384" s="32">
        <v>4.9866000000000001</v>
      </c>
      <c r="AB384" s="32">
        <v>0</v>
      </c>
      <c r="AC384" s="32">
        <v>1.9199999999999998E-2</v>
      </c>
      <c r="AD384" s="32">
        <v>5.7999999999999996E-3</v>
      </c>
      <c r="AE384" s="32">
        <v>7.6300000000000007E-2</v>
      </c>
      <c r="AF384" s="32">
        <v>8.0000000000000004E-4</v>
      </c>
      <c r="AG384" s="32">
        <v>1.0994999999999999</v>
      </c>
      <c r="AH384" s="32">
        <v>0.12740000000000001</v>
      </c>
      <c r="AI384" s="32">
        <v>7.8910999999999998</v>
      </c>
      <c r="AJ384" s="32">
        <v>1.7586999999999999</v>
      </c>
      <c r="AK384" s="32">
        <v>0</v>
      </c>
      <c r="AL384" s="32">
        <v>16.018699999999999</v>
      </c>
      <c r="AM384" s="11">
        <f t="shared" si="99"/>
        <v>7.9673999999999996</v>
      </c>
      <c r="AN384" s="34">
        <f t="shared" si="100"/>
        <v>1.4315196998123829</v>
      </c>
    </row>
    <row r="385" spans="1:40" s="32" customFormat="1" x14ac:dyDescent="0.25">
      <c r="A385" s="11" t="s">
        <v>267</v>
      </c>
      <c r="B385" s="32">
        <v>0.43099999999999999</v>
      </c>
      <c r="C385" s="32">
        <v>8.0000000000000002E-3</v>
      </c>
      <c r="D385" s="32">
        <v>35.24</v>
      </c>
      <c r="E385" s="32">
        <v>4.1000000000000002E-2</v>
      </c>
      <c r="F385" s="32">
        <v>9.6000000000000002E-2</v>
      </c>
      <c r="G385" s="32">
        <v>0.11799999999999999</v>
      </c>
      <c r="H385" s="32">
        <v>0.46899999999999997</v>
      </c>
      <c r="I385" s="32">
        <v>5.0000000000000001E-3</v>
      </c>
      <c r="J385" s="32">
        <v>7.5880000000000001</v>
      </c>
      <c r="K385" s="32">
        <v>0.88</v>
      </c>
      <c r="L385" s="32">
        <v>48.171999999999997</v>
      </c>
      <c r="M385" s="32">
        <v>6.931</v>
      </c>
      <c r="N385" s="32">
        <v>0</v>
      </c>
      <c r="O385" s="32">
        <v>99.978999999999999</v>
      </c>
      <c r="Q385" s="34">
        <f t="shared" si="92"/>
        <v>0.49050038276845992</v>
      </c>
      <c r="R385" s="34">
        <f t="shared" si="93"/>
        <v>0.171963776206426</v>
      </c>
      <c r="S385" s="34">
        <f t="shared" si="94"/>
        <v>0.13531153036841542</v>
      </c>
      <c r="T385" s="34">
        <f t="shared" si="95"/>
        <v>25.958200738365555</v>
      </c>
      <c r="U385" s="34">
        <f t="shared" si="96"/>
        <v>61.483495839816996</v>
      </c>
      <c r="V385" s="34">
        <f t="shared" si="97"/>
        <v>16.961099739677294</v>
      </c>
      <c r="W385" s="34">
        <f t="shared" si="98"/>
        <v>21.555404420505727</v>
      </c>
      <c r="X385" s="34"/>
      <c r="Y385" s="32">
        <v>5.2900000000000003E-2</v>
      </c>
      <c r="Z385" s="32">
        <v>1.1000000000000001E-3</v>
      </c>
      <c r="AA385" s="32">
        <v>4.8148999999999997</v>
      </c>
      <c r="AB385" s="32">
        <v>5.3E-3</v>
      </c>
      <c r="AC385" s="32">
        <v>3.0499999999999999E-2</v>
      </c>
      <c r="AD385" s="32">
        <v>1.6299999999999999E-2</v>
      </c>
      <c r="AE385" s="32">
        <v>9.0300000000000005E-2</v>
      </c>
      <c r="AF385" s="32">
        <v>1.1000000000000001E-3</v>
      </c>
      <c r="AG385" s="32">
        <v>1.3283</v>
      </c>
      <c r="AH385" s="32">
        <v>0.12180000000000001</v>
      </c>
      <c r="AI385" s="32">
        <v>7.87</v>
      </c>
      <c r="AJ385" s="32">
        <v>1.6880999999999999</v>
      </c>
      <c r="AK385" s="32">
        <v>0</v>
      </c>
      <c r="AL385" s="32">
        <v>16.020600000000002</v>
      </c>
      <c r="AM385" s="11">
        <f t="shared" si="99"/>
        <v>7.9603000000000002</v>
      </c>
      <c r="AN385" s="34">
        <f t="shared" si="100"/>
        <v>1.7069943289224954</v>
      </c>
    </row>
    <row r="386" spans="1:40" s="32" customFormat="1" x14ac:dyDescent="0.25">
      <c r="A386" s="11" t="s">
        <v>197</v>
      </c>
      <c r="B386" s="32">
        <v>0.502</v>
      </c>
      <c r="C386" s="32">
        <v>4.0000000000000001E-3</v>
      </c>
      <c r="D386" s="32">
        <v>33.709000000000003</v>
      </c>
      <c r="E386" s="32">
        <v>2.5999999999999999E-2</v>
      </c>
      <c r="F386" s="32">
        <v>7.6999999999999999E-2</v>
      </c>
      <c r="G386" s="32">
        <v>0.05</v>
      </c>
      <c r="H386" s="32">
        <v>0.51700000000000002</v>
      </c>
      <c r="I386" s="32">
        <v>0</v>
      </c>
      <c r="J386" s="32">
        <v>8.8179999999999996</v>
      </c>
      <c r="K386" s="32">
        <v>0.89200000000000002</v>
      </c>
      <c r="L386" s="32">
        <v>47.975999999999999</v>
      </c>
      <c r="M386" s="32">
        <v>6.5170000000000003</v>
      </c>
      <c r="N386" s="32">
        <v>9.5000000000000001E-2</v>
      </c>
      <c r="O386" s="32">
        <v>99.183000000000007</v>
      </c>
      <c r="Q386" s="34">
        <f t="shared" si="92"/>
        <v>0.46919061869301976</v>
      </c>
      <c r="R386" s="34">
        <f t="shared" si="93"/>
        <v>0.16169209775462101</v>
      </c>
      <c r="S386" s="34">
        <f t="shared" si="94"/>
        <v>0.15724526552302148</v>
      </c>
      <c r="T386" s="34">
        <f t="shared" si="95"/>
        <v>25.629501893010005</v>
      </c>
      <c r="U386" s="34">
        <f t="shared" si="96"/>
        <v>59.532287829679575</v>
      </c>
      <c r="V386" s="34">
        <f t="shared" si="97"/>
        <v>19.951742498704341</v>
      </c>
      <c r="W386" s="34">
        <f t="shared" si="98"/>
        <v>20.515969671616094</v>
      </c>
      <c r="X386" s="34"/>
      <c r="Y386" s="32">
        <v>6.2E-2</v>
      </c>
      <c r="Z386" s="32">
        <v>5.0000000000000001E-4</v>
      </c>
      <c r="AA386" s="32">
        <v>4.6336000000000004</v>
      </c>
      <c r="AB386" s="32">
        <v>3.3999999999999998E-3</v>
      </c>
      <c r="AC386" s="32">
        <v>2.4400000000000002E-2</v>
      </c>
      <c r="AD386" s="32">
        <v>7.0000000000000001E-3</v>
      </c>
      <c r="AE386" s="32">
        <v>0.1002</v>
      </c>
      <c r="AF386" s="32">
        <v>0</v>
      </c>
      <c r="AG386" s="32">
        <v>1.5529999999999999</v>
      </c>
      <c r="AH386" s="32">
        <v>0.1242</v>
      </c>
      <c r="AI386" s="32">
        <v>7.8852000000000002</v>
      </c>
      <c r="AJ386" s="32">
        <v>1.5968</v>
      </c>
      <c r="AK386" s="32">
        <v>1.2500000000000001E-2</v>
      </c>
      <c r="AL386" s="32">
        <v>16.002800000000001</v>
      </c>
      <c r="AM386" s="11">
        <f t="shared" si="99"/>
        <v>7.9854000000000003</v>
      </c>
      <c r="AN386" s="34">
        <f t="shared" si="100"/>
        <v>1.6161290322580646</v>
      </c>
    </row>
    <row r="387" spans="1:40" s="32" customFormat="1" x14ac:dyDescent="0.25">
      <c r="A387" s="11" t="s">
        <v>680</v>
      </c>
      <c r="B387" s="32">
        <v>0.51800000000000002</v>
      </c>
      <c r="C387" s="32">
        <v>0</v>
      </c>
      <c r="D387" s="32">
        <v>36.340000000000003</v>
      </c>
      <c r="E387" s="32">
        <v>3.9E-2</v>
      </c>
      <c r="F387" s="32">
        <v>5.6000000000000001E-2</v>
      </c>
      <c r="G387" s="32">
        <v>0.08</v>
      </c>
      <c r="H387" s="32">
        <v>0.46500000000000002</v>
      </c>
      <c r="I387" s="32">
        <v>0</v>
      </c>
      <c r="J387" s="32">
        <v>7.25</v>
      </c>
      <c r="K387" s="32">
        <v>0.93600000000000005</v>
      </c>
      <c r="L387" s="32">
        <v>48.031999999999996</v>
      </c>
      <c r="M387" s="32">
        <v>6.7220000000000004</v>
      </c>
      <c r="N387" s="32">
        <v>0</v>
      </c>
      <c r="O387" s="32">
        <v>100.438</v>
      </c>
      <c r="Q387" s="34">
        <f t="shared" si="92"/>
        <v>0.50581112116361615</v>
      </c>
      <c r="R387" s="34">
        <f t="shared" si="93"/>
        <v>0.16677831534549065</v>
      </c>
      <c r="S387" s="34">
        <f t="shared" si="94"/>
        <v>0.12928421127714967</v>
      </c>
      <c r="T387" s="34">
        <f t="shared" si="95"/>
        <v>24.796451786562145</v>
      </c>
      <c r="U387" s="34">
        <f t="shared" si="96"/>
        <v>63.078656164847892</v>
      </c>
      <c r="V387" s="34">
        <f t="shared" si="97"/>
        <v>16.122765928780222</v>
      </c>
      <c r="W387" s="34">
        <f t="shared" si="98"/>
        <v>20.798577906371886</v>
      </c>
      <c r="X387" s="34"/>
      <c r="Y387" s="32">
        <v>6.3600000000000004E-2</v>
      </c>
      <c r="Z387" s="32">
        <v>0</v>
      </c>
      <c r="AA387" s="32">
        <v>4.9650999999999996</v>
      </c>
      <c r="AB387" s="32">
        <v>5.1000000000000004E-3</v>
      </c>
      <c r="AC387" s="32">
        <v>1.7600000000000001E-2</v>
      </c>
      <c r="AD387" s="32">
        <v>1.0999999999999999E-2</v>
      </c>
      <c r="AE387" s="32">
        <v>8.9599999999999999E-2</v>
      </c>
      <c r="AF387" s="32">
        <v>0</v>
      </c>
      <c r="AG387" s="32">
        <v>1.2692000000000001</v>
      </c>
      <c r="AH387" s="32">
        <v>0.1295</v>
      </c>
      <c r="AI387" s="32">
        <v>7.8468</v>
      </c>
      <c r="AJ387" s="32">
        <v>1.637</v>
      </c>
      <c r="AK387" s="32">
        <v>0</v>
      </c>
      <c r="AL387" s="32">
        <v>16.034500000000001</v>
      </c>
      <c r="AM387" s="11">
        <f t="shared" si="99"/>
        <v>7.9363999999999999</v>
      </c>
      <c r="AN387" s="34">
        <f t="shared" si="100"/>
        <v>1.4088050314465408</v>
      </c>
    </row>
    <row r="388" spans="1:40" s="32" customFormat="1" x14ac:dyDescent="0.25">
      <c r="A388" s="11" t="s">
        <v>681</v>
      </c>
      <c r="B388" s="32">
        <v>0.54200000000000004</v>
      </c>
      <c r="C388" s="32">
        <v>0</v>
      </c>
      <c r="D388" s="32">
        <v>36.033000000000001</v>
      </c>
      <c r="E388" s="32">
        <v>3.1E-2</v>
      </c>
      <c r="F388" s="32">
        <v>7.8E-2</v>
      </c>
      <c r="G388" s="32">
        <v>7.1999999999999995E-2</v>
      </c>
      <c r="H388" s="32">
        <v>0.46400000000000002</v>
      </c>
      <c r="I388" s="32">
        <v>7.0000000000000001E-3</v>
      </c>
      <c r="J388" s="32">
        <v>7.0869999999999997</v>
      </c>
      <c r="K388" s="32">
        <v>0.95699999999999996</v>
      </c>
      <c r="L388" s="32">
        <v>47.612000000000002</v>
      </c>
      <c r="M388" s="32">
        <v>6.15</v>
      </c>
      <c r="N388" s="32">
        <v>9.5000000000000001E-2</v>
      </c>
      <c r="O388" s="32">
        <v>99.128</v>
      </c>
      <c r="Q388" s="34">
        <f t="shared" si="92"/>
        <v>0.50153803326605895</v>
      </c>
      <c r="R388" s="34">
        <f t="shared" si="93"/>
        <v>0.15258652772608858</v>
      </c>
      <c r="S388" s="34">
        <f t="shared" si="94"/>
        <v>0.12637754556153927</v>
      </c>
      <c r="T388" s="34">
        <f t="shared" si="95"/>
        <v>23.326830519045487</v>
      </c>
      <c r="U388" s="34">
        <f t="shared" si="96"/>
        <v>64.258383040195</v>
      </c>
      <c r="V388" s="34">
        <f t="shared" si="97"/>
        <v>16.191826325691842</v>
      </c>
      <c r="W388" s="34">
        <f t="shared" si="98"/>
        <v>19.549790634113158</v>
      </c>
      <c r="X388" s="34"/>
      <c r="Y388" s="32">
        <v>6.7500000000000004E-2</v>
      </c>
      <c r="Z388" s="32">
        <v>0</v>
      </c>
      <c r="AA388" s="32">
        <v>4.9908999999999999</v>
      </c>
      <c r="AB388" s="32">
        <v>4.0000000000000001E-3</v>
      </c>
      <c r="AC388" s="32">
        <v>2.52E-2</v>
      </c>
      <c r="AD388" s="32">
        <v>1.01E-2</v>
      </c>
      <c r="AE388" s="32">
        <v>9.0700000000000003E-2</v>
      </c>
      <c r="AF388" s="32">
        <v>1.6000000000000001E-3</v>
      </c>
      <c r="AG388" s="32">
        <v>1.2577</v>
      </c>
      <c r="AH388" s="32">
        <v>0.13420000000000001</v>
      </c>
      <c r="AI388" s="32">
        <v>7.8853</v>
      </c>
      <c r="AJ388" s="32">
        <v>1.5182</v>
      </c>
      <c r="AK388" s="32">
        <v>1.2699999999999999E-2</v>
      </c>
      <c r="AL388" s="32">
        <v>15.998100000000001</v>
      </c>
      <c r="AM388" s="11">
        <f t="shared" si="99"/>
        <v>7.976</v>
      </c>
      <c r="AN388" s="34">
        <f t="shared" si="100"/>
        <v>1.3437037037037036</v>
      </c>
    </row>
    <row r="389" spans="1:40" s="32" customFormat="1" x14ac:dyDescent="0.25">
      <c r="A389" s="11" t="s">
        <v>223</v>
      </c>
      <c r="B389" s="32">
        <v>0.47899999999999998</v>
      </c>
      <c r="C389" s="32">
        <v>0</v>
      </c>
      <c r="D389" s="32">
        <v>38.771999999999998</v>
      </c>
      <c r="E389" s="32">
        <v>0</v>
      </c>
      <c r="F389" s="32">
        <v>4.4999999999999998E-2</v>
      </c>
      <c r="G389" s="32">
        <v>0</v>
      </c>
      <c r="H389" s="32">
        <v>0.47299999999999998</v>
      </c>
      <c r="I389" s="32">
        <v>2E-3</v>
      </c>
      <c r="J389" s="32">
        <v>6.4290000000000003</v>
      </c>
      <c r="K389" s="32">
        <v>0.97</v>
      </c>
      <c r="L389" s="32">
        <v>46.514000000000003</v>
      </c>
      <c r="M389" s="32">
        <v>4.8730000000000002</v>
      </c>
      <c r="N389" s="32">
        <v>0.64400000000000002</v>
      </c>
      <c r="O389" s="32">
        <v>99.200999999999993</v>
      </c>
      <c r="Q389" s="34">
        <f t="shared" si="92"/>
        <v>0.53966177186999786</v>
      </c>
      <c r="R389" s="34">
        <f t="shared" si="93"/>
        <v>0.12090311375759832</v>
      </c>
      <c r="S389" s="34">
        <f t="shared" si="94"/>
        <v>0.11464388886907521</v>
      </c>
      <c r="T389" s="34">
        <f t="shared" si="95"/>
        <v>18.302988304128437</v>
      </c>
      <c r="U389" s="34">
        <f t="shared" si="96"/>
        <v>69.615023671576765</v>
      </c>
      <c r="V389" s="34">
        <f t="shared" si="97"/>
        <v>14.788775958258645</v>
      </c>
      <c r="W389" s="34">
        <f t="shared" si="98"/>
        <v>15.596200370164601</v>
      </c>
      <c r="X389" s="34"/>
      <c r="Y389" s="32">
        <v>6.0600000000000001E-2</v>
      </c>
      <c r="Z389" s="32">
        <v>0</v>
      </c>
      <c r="AA389" s="32">
        <v>5.4593999999999996</v>
      </c>
      <c r="AB389" s="32">
        <v>0</v>
      </c>
      <c r="AC389" s="32">
        <v>1.46E-2</v>
      </c>
      <c r="AD389" s="32">
        <v>0</v>
      </c>
      <c r="AE389" s="32">
        <v>9.3899999999999997E-2</v>
      </c>
      <c r="AF389" s="32">
        <v>4.0000000000000002E-4</v>
      </c>
      <c r="AG389" s="32">
        <v>1.1598999999999999</v>
      </c>
      <c r="AH389" s="32">
        <v>0.13830000000000001</v>
      </c>
      <c r="AI389" s="32">
        <v>7.8312999999999997</v>
      </c>
      <c r="AJ389" s="32">
        <v>1.2231000000000001</v>
      </c>
      <c r="AK389" s="32">
        <v>8.6900000000000005E-2</v>
      </c>
      <c r="AL389" s="32">
        <v>16.0684</v>
      </c>
      <c r="AM389" s="11">
        <f t="shared" si="99"/>
        <v>7.9251999999999994</v>
      </c>
      <c r="AN389" s="34">
        <f t="shared" si="100"/>
        <v>1.5495049504950493</v>
      </c>
    </row>
    <row r="390" spans="1:40" s="32" customFormat="1" x14ac:dyDescent="0.25">
      <c r="A390" s="11" t="s">
        <v>171</v>
      </c>
      <c r="B390" s="32">
        <v>0.33600000000000002</v>
      </c>
      <c r="C390" s="32">
        <v>3.9E-2</v>
      </c>
      <c r="D390" s="32">
        <v>42.363999999999997</v>
      </c>
      <c r="E390" s="32">
        <v>0</v>
      </c>
      <c r="F390" s="32">
        <v>8.1000000000000003E-2</v>
      </c>
      <c r="G390" s="32">
        <v>0</v>
      </c>
      <c r="H390" s="32">
        <v>0.375</v>
      </c>
      <c r="I390" s="32">
        <v>1.4E-2</v>
      </c>
      <c r="J390" s="32">
        <v>3.871</v>
      </c>
      <c r="K390" s="32">
        <v>1.0920000000000001</v>
      </c>
      <c r="L390" s="32">
        <v>46.128</v>
      </c>
      <c r="M390" s="32">
        <v>4.4260000000000002</v>
      </c>
      <c r="N390" s="32">
        <v>0</v>
      </c>
      <c r="O390" s="32">
        <v>98.725999999999999</v>
      </c>
      <c r="Q390" s="34">
        <f t="shared" si="92"/>
        <v>0.58965829215672627</v>
      </c>
      <c r="R390" s="34">
        <f t="shared" si="93"/>
        <v>0.10981267832775091</v>
      </c>
      <c r="S390" s="34">
        <f t="shared" si="94"/>
        <v>6.9028852669496057E-2</v>
      </c>
      <c r="T390" s="34">
        <f t="shared" si="95"/>
        <v>15.699390390953743</v>
      </c>
      <c r="U390" s="34">
        <f t="shared" si="96"/>
        <v>76.728487683540422</v>
      </c>
      <c r="V390" s="34">
        <f t="shared" si="97"/>
        <v>8.9822860838402221</v>
      </c>
      <c r="W390" s="34">
        <f t="shared" si="98"/>
        <v>14.289226232619356</v>
      </c>
      <c r="X390" s="34"/>
      <c r="Y390" s="32">
        <v>4.3099999999999999E-2</v>
      </c>
      <c r="Z390" s="32">
        <v>5.3E-3</v>
      </c>
      <c r="AA390" s="32">
        <v>6.0460000000000003</v>
      </c>
      <c r="AB390" s="32">
        <v>0</v>
      </c>
      <c r="AC390" s="32">
        <v>2.69E-2</v>
      </c>
      <c r="AD390" s="32">
        <v>0</v>
      </c>
      <c r="AE390" s="32">
        <v>7.5499999999999998E-2</v>
      </c>
      <c r="AF390" s="32">
        <v>3.0000000000000001E-3</v>
      </c>
      <c r="AG390" s="32">
        <v>0.70779999999999998</v>
      </c>
      <c r="AH390" s="32">
        <v>0.15790000000000001</v>
      </c>
      <c r="AI390" s="32">
        <v>7.8715000000000002</v>
      </c>
      <c r="AJ390" s="32">
        <v>1.1258999999999999</v>
      </c>
      <c r="AK390" s="32">
        <v>0</v>
      </c>
      <c r="AL390" s="32">
        <v>16.062899999999999</v>
      </c>
      <c r="AM390" s="11">
        <f t="shared" si="99"/>
        <v>7.9470000000000001</v>
      </c>
      <c r="AN390" s="34">
        <f t="shared" si="100"/>
        <v>1.7517401392111369</v>
      </c>
    </row>
    <row r="391" spans="1:40" s="32" customFormat="1" x14ac:dyDescent="0.25">
      <c r="A391" s="11" t="s">
        <v>180</v>
      </c>
      <c r="B391" s="32">
        <v>0.11600000000000001</v>
      </c>
      <c r="C391" s="32" t="s">
        <v>320</v>
      </c>
      <c r="D391" s="32">
        <v>17.675999999999998</v>
      </c>
      <c r="E391" s="32">
        <v>0.42599999999999999</v>
      </c>
      <c r="F391" s="32">
        <v>0.13100000000000001</v>
      </c>
      <c r="G391" s="32">
        <v>0</v>
      </c>
      <c r="H391" s="32">
        <v>0.81599999999999995</v>
      </c>
      <c r="I391" s="32">
        <v>1.2E-2</v>
      </c>
      <c r="J391" s="32">
        <v>9.0289999999999999</v>
      </c>
      <c r="K391" s="32">
        <v>0.59099999999999997</v>
      </c>
      <c r="L391" s="32">
        <v>52.395000000000003</v>
      </c>
      <c r="M391" s="32">
        <v>19.27</v>
      </c>
      <c r="N391" s="32" t="s">
        <v>320</v>
      </c>
      <c r="O391" s="32">
        <v>100.462</v>
      </c>
      <c r="Q391" s="34">
        <f t="shared" ref="Q391:Q422" si="101">D391/(55.845+16)</f>
        <v>0.24602964715707423</v>
      </c>
      <c r="R391" s="34">
        <f t="shared" ref="R391:R422" si="102">M391/(24.305+16)</f>
        <v>0.47810445354174419</v>
      </c>
      <c r="S391" s="34">
        <f t="shared" ref="S391:S422" si="103">J391/(40.078+16)</f>
        <v>0.16100788187881165</v>
      </c>
      <c r="T391" s="34">
        <f t="shared" ref="T391:T422" si="104">R391/(Q391+R391)*100</f>
        <v>66.024297582499457</v>
      </c>
      <c r="U391" s="34">
        <f t="shared" ref="U391:U422" si="105">Q391/(Q391+R391+S391)*100</f>
        <v>27.795500834861436</v>
      </c>
      <c r="V391" s="34">
        <f t="shared" ref="V391:V422" si="106">S391/(Q391+R391+S391)*100</f>
        <v>18.190062729816422</v>
      </c>
      <c r="W391" s="34">
        <f t="shared" ref="W391:W422" si="107">R391/(Q391+R391+S391)*100</f>
        <v>54.014436435322146</v>
      </c>
      <c r="X391" s="34"/>
      <c r="Y391" s="32">
        <v>1.3100000000000001E-2</v>
      </c>
      <c r="Z391" s="32" t="s">
        <v>320</v>
      </c>
      <c r="AA391" s="32">
        <v>2.2073</v>
      </c>
      <c r="AB391" s="32">
        <v>5.0200000000000002E-2</v>
      </c>
      <c r="AC391" s="32">
        <v>3.7900000000000003E-2</v>
      </c>
      <c r="AD391" s="32">
        <v>0</v>
      </c>
      <c r="AE391" s="32">
        <v>0.14369999999999999</v>
      </c>
      <c r="AF391" s="32">
        <v>2.3999999999999998E-3</v>
      </c>
      <c r="AG391" s="32">
        <v>1.4446000000000001</v>
      </c>
      <c r="AH391" s="32">
        <v>7.4700000000000003E-2</v>
      </c>
      <c r="AI391" s="32">
        <v>7.8235000000000001</v>
      </c>
      <c r="AJ391" s="32">
        <v>4.2892000000000001</v>
      </c>
      <c r="AK391" s="32" t="s">
        <v>320</v>
      </c>
      <c r="AL391" s="32">
        <v>16.086600000000001</v>
      </c>
      <c r="AM391" s="11">
        <f t="shared" ref="AM391:AM422" si="108">AI391+AE391</f>
        <v>7.9672000000000001</v>
      </c>
      <c r="AN391" s="34">
        <f t="shared" ref="AN391:AN422" si="109">AE391/Y391</f>
        <v>10.96946564885496</v>
      </c>
    </row>
    <row r="392" spans="1:40" s="32" customFormat="1" x14ac:dyDescent="0.25">
      <c r="A392" s="11" t="s">
        <v>50</v>
      </c>
      <c r="B392" s="32">
        <v>0.13</v>
      </c>
      <c r="C392" s="32" t="s">
        <v>320</v>
      </c>
      <c r="D392" s="32">
        <v>18.960999999999999</v>
      </c>
      <c r="E392" s="32">
        <v>0.316</v>
      </c>
      <c r="F392" s="32">
        <v>9.0999999999999998E-2</v>
      </c>
      <c r="G392" s="32">
        <v>4.9000000000000002E-2</v>
      </c>
      <c r="H392" s="32">
        <v>0.66600000000000004</v>
      </c>
      <c r="I392" s="32">
        <v>1.2E-2</v>
      </c>
      <c r="J392" s="32">
        <v>7.2439999999999998</v>
      </c>
      <c r="K392" s="32">
        <v>0.67400000000000004</v>
      </c>
      <c r="L392" s="32">
        <v>52.813000000000002</v>
      </c>
      <c r="M392" s="32">
        <v>20.321999999999999</v>
      </c>
      <c r="N392" s="32" t="s">
        <v>320</v>
      </c>
      <c r="O392" s="32">
        <v>101.27800000000001</v>
      </c>
      <c r="Q392" s="34">
        <f t="shared" si="101"/>
        <v>0.26391537337323401</v>
      </c>
      <c r="R392" s="34">
        <f t="shared" si="102"/>
        <v>0.50420543356903613</v>
      </c>
      <c r="S392" s="34">
        <f t="shared" si="103"/>
        <v>0.12917721744712721</v>
      </c>
      <c r="T392" s="34">
        <f t="shared" si="104"/>
        <v>65.641423720335553</v>
      </c>
      <c r="U392" s="34">
        <f t="shared" si="105"/>
        <v>29.412231633166236</v>
      </c>
      <c r="V392" s="34">
        <f t="shared" si="106"/>
        <v>14.396244495805178</v>
      </c>
      <c r="W392" s="34">
        <f t="shared" si="107"/>
        <v>56.191523871028593</v>
      </c>
      <c r="X392" s="34"/>
      <c r="Y392" s="32">
        <v>1.44E-2</v>
      </c>
      <c r="Z392" s="32" t="s">
        <v>320</v>
      </c>
      <c r="AA392" s="32">
        <v>2.3485</v>
      </c>
      <c r="AB392" s="32">
        <v>3.6999999999999998E-2</v>
      </c>
      <c r="AC392" s="32">
        <v>2.6100000000000002E-2</v>
      </c>
      <c r="AD392" s="32">
        <v>6.1000000000000004E-3</v>
      </c>
      <c r="AE392" s="32">
        <v>0.1162</v>
      </c>
      <c r="AF392" s="32">
        <v>2.2000000000000001E-3</v>
      </c>
      <c r="AG392" s="32">
        <v>1.1495</v>
      </c>
      <c r="AH392" s="32">
        <v>8.4599999999999995E-2</v>
      </c>
      <c r="AI392" s="32">
        <v>7.8215000000000003</v>
      </c>
      <c r="AJ392" s="32">
        <v>4.4865000000000004</v>
      </c>
      <c r="AK392" s="32" t="s">
        <v>320</v>
      </c>
      <c r="AL392" s="32">
        <v>16.092600000000001</v>
      </c>
      <c r="AM392" s="11">
        <f t="shared" si="108"/>
        <v>7.9377000000000004</v>
      </c>
      <c r="AN392" s="34">
        <f t="shared" si="109"/>
        <v>8.0694444444444446</v>
      </c>
    </row>
    <row r="393" spans="1:40" s="32" customFormat="1" x14ac:dyDescent="0.25">
      <c r="A393" s="11" t="s">
        <v>29</v>
      </c>
      <c r="B393" s="32">
        <v>0.11899999999999999</v>
      </c>
      <c r="C393" s="32" t="s">
        <v>320</v>
      </c>
      <c r="D393" s="32">
        <v>21.163</v>
      </c>
      <c r="E393" s="32">
        <v>0.28599999999999998</v>
      </c>
      <c r="F393" s="32">
        <v>7.2999999999999995E-2</v>
      </c>
      <c r="G393" s="32">
        <v>0</v>
      </c>
      <c r="H393" s="32">
        <v>0.63400000000000001</v>
      </c>
      <c r="I393" s="32">
        <v>2E-3</v>
      </c>
      <c r="J393" s="32">
        <v>4.3630000000000004</v>
      </c>
      <c r="K393" s="32">
        <v>0.68500000000000005</v>
      </c>
      <c r="L393" s="32">
        <v>53.311</v>
      </c>
      <c r="M393" s="32">
        <v>20.782</v>
      </c>
      <c r="N393" s="32" t="s">
        <v>320</v>
      </c>
      <c r="O393" s="32">
        <v>101.41800000000001</v>
      </c>
      <c r="Q393" s="34">
        <f t="shared" si="101"/>
        <v>0.29456468786971957</v>
      </c>
      <c r="R393" s="34">
        <f t="shared" si="102"/>
        <v>0.51561840962659722</v>
      </c>
      <c r="S393" s="34">
        <f t="shared" si="103"/>
        <v>7.7802346731338498E-2</v>
      </c>
      <c r="T393" s="34">
        <f t="shared" si="104"/>
        <v>63.642207696012974</v>
      </c>
      <c r="U393" s="34">
        <f t="shared" si="105"/>
        <v>33.172242831741869</v>
      </c>
      <c r="V393" s="34">
        <f t="shared" si="106"/>
        <v>8.7616691508956865</v>
      </c>
      <c r="W393" s="34">
        <f t="shared" si="107"/>
        <v>58.066088017362446</v>
      </c>
      <c r="X393" s="34"/>
      <c r="Y393" s="32">
        <v>1.3299999999999999E-2</v>
      </c>
      <c r="Z393" s="32" t="s">
        <v>320</v>
      </c>
      <c r="AA393" s="32">
        <v>2.6177999999999999</v>
      </c>
      <c r="AB393" s="32">
        <v>3.3399999999999999E-2</v>
      </c>
      <c r="AC393" s="32">
        <v>2.1000000000000001E-2</v>
      </c>
      <c r="AD393" s="32">
        <v>0</v>
      </c>
      <c r="AE393" s="32">
        <v>0.1106</v>
      </c>
      <c r="AF393" s="32">
        <v>4.0000000000000002E-4</v>
      </c>
      <c r="AG393" s="32">
        <v>0.69140000000000001</v>
      </c>
      <c r="AH393" s="32">
        <v>8.5800000000000001E-2</v>
      </c>
      <c r="AI393" s="32">
        <v>7.8849</v>
      </c>
      <c r="AJ393" s="32">
        <v>4.5819000000000001</v>
      </c>
      <c r="AK393" s="32" t="s">
        <v>320</v>
      </c>
      <c r="AL393" s="32">
        <v>16.040500000000002</v>
      </c>
      <c r="AM393" s="11">
        <f t="shared" si="108"/>
        <v>7.9954999999999998</v>
      </c>
      <c r="AN393" s="34">
        <f t="shared" si="109"/>
        <v>8.3157894736842106</v>
      </c>
    </row>
    <row r="394" spans="1:40" s="32" customFormat="1" x14ac:dyDescent="0.25">
      <c r="A394" s="11" t="s">
        <v>268</v>
      </c>
      <c r="B394" s="32">
        <v>0.18099999999999999</v>
      </c>
      <c r="C394" s="32" t="s">
        <v>320</v>
      </c>
      <c r="D394" s="32">
        <v>20.114000000000001</v>
      </c>
      <c r="E394" s="32">
        <v>0.48399999999999999</v>
      </c>
      <c r="F394" s="32">
        <v>8.7999999999999995E-2</v>
      </c>
      <c r="G394" s="32">
        <v>0</v>
      </c>
      <c r="H394" s="32">
        <v>0.97</v>
      </c>
      <c r="I394" s="32">
        <v>0</v>
      </c>
      <c r="J394" s="32">
        <v>6.6340000000000003</v>
      </c>
      <c r="K394" s="32">
        <v>0.64400000000000002</v>
      </c>
      <c r="L394" s="32">
        <v>52.497</v>
      </c>
      <c r="M394" s="32">
        <v>19.745000000000001</v>
      </c>
      <c r="N394" s="32" t="s">
        <v>320</v>
      </c>
      <c r="O394" s="32">
        <v>101.357</v>
      </c>
      <c r="Q394" s="34">
        <f t="shared" si="101"/>
        <v>0.27996381098197509</v>
      </c>
      <c r="R394" s="34">
        <f t="shared" si="102"/>
        <v>0.48988959186205189</v>
      </c>
      <c r="S394" s="34">
        <f t="shared" si="103"/>
        <v>0.11829951139484289</v>
      </c>
      <c r="T394" s="34">
        <f t="shared" si="104"/>
        <v>63.634139961228954</v>
      </c>
      <c r="U394" s="34">
        <f t="shared" si="105"/>
        <v>31.522028075750757</v>
      </c>
      <c r="V394" s="34">
        <f t="shared" si="106"/>
        <v>13.319723383019392</v>
      </c>
      <c r="W394" s="34">
        <f t="shared" si="107"/>
        <v>55.15824854122986</v>
      </c>
      <c r="X394" s="34"/>
      <c r="Y394" s="32">
        <v>2.0199999999999999E-2</v>
      </c>
      <c r="Z394" s="32" t="s">
        <v>320</v>
      </c>
      <c r="AA394" s="32">
        <v>2.4990999999999999</v>
      </c>
      <c r="AB394" s="32">
        <v>5.6800000000000003E-2</v>
      </c>
      <c r="AC394" s="32">
        <v>2.5399999999999999E-2</v>
      </c>
      <c r="AD394" s="32">
        <v>0</v>
      </c>
      <c r="AE394" s="32">
        <v>0.16980000000000001</v>
      </c>
      <c r="AF394" s="32">
        <v>1E-4</v>
      </c>
      <c r="AG394" s="32">
        <v>1.0561</v>
      </c>
      <c r="AH394" s="32">
        <v>8.1100000000000005E-2</v>
      </c>
      <c r="AI394" s="32">
        <v>7.7990000000000004</v>
      </c>
      <c r="AJ394" s="32">
        <v>4.3727</v>
      </c>
      <c r="AK394" s="32" t="s">
        <v>320</v>
      </c>
      <c r="AL394" s="32">
        <v>16.080300000000001</v>
      </c>
      <c r="AM394" s="11">
        <f t="shared" si="108"/>
        <v>7.9688000000000008</v>
      </c>
      <c r="AN394" s="34">
        <f t="shared" si="109"/>
        <v>8.4059405940594072</v>
      </c>
    </row>
    <row r="395" spans="1:40" s="32" customFormat="1" x14ac:dyDescent="0.25">
      <c r="A395" s="11" t="s">
        <v>682</v>
      </c>
      <c r="B395" s="32">
        <v>0.156</v>
      </c>
      <c r="C395" s="32" t="s">
        <v>320</v>
      </c>
      <c r="D395" s="32">
        <v>20.123000000000001</v>
      </c>
      <c r="E395" s="32">
        <v>0.46899999999999997</v>
      </c>
      <c r="F395" s="32">
        <v>8.7999999999999995E-2</v>
      </c>
      <c r="G395" s="32">
        <v>0</v>
      </c>
      <c r="H395" s="32">
        <v>0.96099999999999997</v>
      </c>
      <c r="I395" s="32">
        <v>0</v>
      </c>
      <c r="J395" s="32">
        <v>7.8760000000000003</v>
      </c>
      <c r="K395" s="32">
        <v>0.64100000000000001</v>
      </c>
      <c r="L395" s="32">
        <v>52.493000000000002</v>
      </c>
      <c r="M395" s="32">
        <v>18.423999999999999</v>
      </c>
      <c r="N395" s="32" t="s">
        <v>320</v>
      </c>
      <c r="O395" s="32">
        <v>101.23099999999999</v>
      </c>
      <c r="Q395" s="34">
        <f t="shared" si="101"/>
        <v>0.28008908065975363</v>
      </c>
      <c r="R395" s="34">
        <f t="shared" si="102"/>
        <v>0.45711450192283837</v>
      </c>
      <c r="S395" s="34">
        <f t="shared" si="103"/>
        <v>0.14044723420949393</v>
      </c>
      <c r="T395" s="34">
        <f t="shared" si="104"/>
        <v>62.006549170781589</v>
      </c>
      <c r="U395" s="34">
        <f t="shared" si="105"/>
        <v>31.913498546439143</v>
      </c>
      <c r="V395" s="34">
        <f t="shared" si="106"/>
        <v>16.002632427648688</v>
      </c>
      <c r="W395" s="34">
        <f t="shared" si="107"/>
        <v>52.083869025912165</v>
      </c>
      <c r="X395" s="34"/>
      <c r="Y395" s="32">
        <v>1.7500000000000002E-2</v>
      </c>
      <c r="Z395" s="32" t="s">
        <v>320</v>
      </c>
      <c r="AA395" s="32">
        <v>2.5112000000000001</v>
      </c>
      <c r="AB395" s="32">
        <v>5.5300000000000002E-2</v>
      </c>
      <c r="AC395" s="32">
        <v>2.5600000000000001E-2</v>
      </c>
      <c r="AD395" s="32">
        <v>0</v>
      </c>
      <c r="AE395" s="32">
        <v>0.1691</v>
      </c>
      <c r="AF395" s="32">
        <v>0</v>
      </c>
      <c r="AG395" s="32">
        <v>1.2593000000000001</v>
      </c>
      <c r="AH395" s="32">
        <v>8.1100000000000005E-2</v>
      </c>
      <c r="AI395" s="32">
        <v>7.8329000000000004</v>
      </c>
      <c r="AJ395" s="32">
        <v>4.0982000000000003</v>
      </c>
      <c r="AK395" s="32" t="s">
        <v>320</v>
      </c>
      <c r="AL395" s="32">
        <v>16.0502</v>
      </c>
      <c r="AM395" s="11">
        <f t="shared" si="108"/>
        <v>8.0020000000000007</v>
      </c>
      <c r="AN395" s="34">
        <f t="shared" si="109"/>
        <v>9.6628571428571419</v>
      </c>
    </row>
    <row r="396" spans="1:40" s="32" customFormat="1" x14ac:dyDescent="0.25">
      <c r="A396" s="11" t="s">
        <v>253</v>
      </c>
      <c r="B396" s="32">
        <v>0.115</v>
      </c>
      <c r="C396" s="32" t="s">
        <v>320</v>
      </c>
      <c r="D396" s="32">
        <v>21.581</v>
      </c>
      <c r="E396" s="32">
        <v>0.29099999999999998</v>
      </c>
      <c r="F396" s="32">
        <v>6.9000000000000006E-2</v>
      </c>
      <c r="G396" s="32">
        <v>0</v>
      </c>
      <c r="H396" s="32">
        <v>0.77800000000000002</v>
      </c>
      <c r="I396" s="32">
        <v>3.0000000000000001E-3</v>
      </c>
      <c r="J396" s="32">
        <v>5.8129999999999997</v>
      </c>
      <c r="K396" s="32">
        <v>0.68300000000000005</v>
      </c>
      <c r="L396" s="32">
        <v>52.405000000000001</v>
      </c>
      <c r="M396" s="32">
        <v>19.318999999999999</v>
      </c>
      <c r="N396" s="32" t="s">
        <v>320</v>
      </c>
      <c r="O396" s="32">
        <v>101.057</v>
      </c>
      <c r="Q396" s="34">
        <f t="shared" si="101"/>
        <v>0.30038276845987888</v>
      </c>
      <c r="R396" s="34">
        <f t="shared" si="102"/>
        <v>0.47932018360004958</v>
      </c>
      <c r="S396" s="34">
        <f t="shared" si="103"/>
        <v>0.10365918898676842</v>
      </c>
      <c r="T396" s="34">
        <f t="shared" si="104"/>
        <v>61.474717048808699</v>
      </c>
      <c r="U396" s="34">
        <f t="shared" si="105"/>
        <v>34.004487457879392</v>
      </c>
      <c r="V396" s="34">
        <f t="shared" si="106"/>
        <v>11.734619831447896</v>
      </c>
      <c r="W396" s="34">
        <f t="shared" si="107"/>
        <v>54.260892710672714</v>
      </c>
      <c r="X396" s="34"/>
      <c r="Y396" s="32">
        <v>1.2999999999999999E-2</v>
      </c>
      <c r="Z396" s="32" t="s">
        <v>320</v>
      </c>
      <c r="AA396" s="32">
        <v>2.7002000000000002</v>
      </c>
      <c r="AB396" s="32">
        <v>3.44E-2</v>
      </c>
      <c r="AC396" s="32">
        <v>1.9900000000000001E-2</v>
      </c>
      <c r="AD396" s="32">
        <v>0</v>
      </c>
      <c r="AE396" s="32">
        <v>0.13719999999999999</v>
      </c>
      <c r="AF396" s="32">
        <v>5.9999999999999995E-4</v>
      </c>
      <c r="AG396" s="32">
        <v>0.93189999999999995</v>
      </c>
      <c r="AH396" s="32">
        <v>8.6599999999999996E-2</v>
      </c>
      <c r="AI396" s="32">
        <v>7.8398000000000003</v>
      </c>
      <c r="AJ396" s="32">
        <v>4.3082000000000003</v>
      </c>
      <c r="AK396" s="32" t="s">
        <v>320</v>
      </c>
      <c r="AL396" s="32">
        <v>16.0718</v>
      </c>
      <c r="AM396" s="11">
        <f t="shared" si="108"/>
        <v>7.9770000000000003</v>
      </c>
      <c r="AN396" s="34">
        <f t="shared" si="109"/>
        <v>10.553846153846154</v>
      </c>
    </row>
    <row r="397" spans="1:40" s="32" customFormat="1" x14ac:dyDescent="0.25">
      <c r="A397" s="11" t="s">
        <v>683</v>
      </c>
      <c r="B397" s="32">
        <v>0.104</v>
      </c>
      <c r="C397" s="32" t="s">
        <v>320</v>
      </c>
      <c r="D397" s="32">
        <v>21.337</v>
      </c>
      <c r="E397" s="32">
        <v>0.28799999999999998</v>
      </c>
      <c r="F397" s="32">
        <v>6.6000000000000003E-2</v>
      </c>
      <c r="G397" s="32">
        <v>0</v>
      </c>
      <c r="H397" s="32">
        <v>0.75700000000000001</v>
      </c>
      <c r="I397" s="32">
        <v>7.0000000000000001E-3</v>
      </c>
      <c r="J397" s="32">
        <v>5.976</v>
      </c>
      <c r="K397" s="32">
        <v>0.70399999999999996</v>
      </c>
      <c r="L397" s="32">
        <v>52.62</v>
      </c>
      <c r="M397" s="32">
        <v>19.074000000000002</v>
      </c>
      <c r="N397" s="32" t="s">
        <v>320</v>
      </c>
      <c r="O397" s="32">
        <v>100.93300000000001</v>
      </c>
      <c r="Q397" s="34">
        <f t="shared" si="101"/>
        <v>0.2969865683067715</v>
      </c>
      <c r="R397" s="34">
        <f t="shared" si="102"/>
        <v>0.47324153330852253</v>
      </c>
      <c r="S397" s="34">
        <f t="shared" si="103"/>
        <v>0.10656585470237882</v>
      </c>
      <c r="T397" s="34">
        <f t="shared" si="104"/>
        <v>61.441738144331239</v>
      </c>
      <c r="U397" s="34">
        <f t="shared" si="105"/>
        <v>33.871876758143358</v>
      </c>
      <c r="V397" s="34">
        <f t="shared" si="106"/>
        <v>12.154036183133629</v>
      </c>
      <c r="W397" s="34">
        <f t="shared" si="107"/>
        <v>53.974087058723008</v>
      </c>
      <c r="X397" s="34"/>
      <c r="Y397" s="32">
        <v>1.17E-2</v>
      </c>
      <c r="Z397" s="32" t="s">
        <v>320</v>
      </c>
      <c r="AA397" s="32">
        <v>2.6696</v>
      </c>
      <c r="AB397" s="32">
        <v>3.4000000000000002E-2</v>
      </c>
      <c r="AC397" s="32">
        <v>1.9199999999999998E-2</v>
      </c>
      <c r="AD397" s="32">
        <v>0</v>
      </c>
      <c r="AE397" s="32">
        <v>0.13350000000000001</v>
      </c>
      <c r="AF397" s="32">
        <v>1.2999999999999999E-3</v>
      </c>
      <c r="AG397" s="32">
        <v>0.95789999999999997</v>
      </c>
      <c r="AH397" s="32">
        <v>8.9300000000000004E-2</v>
      </c>
      <c r="AI397" s="32">
        <v>7.8722000000000003</v>
      </c>
      <c r="AJ397" s="32">
        <v>4.2538</v>
      </c>
      <c r="AK397" s="32" t="s">
        <v>320</v>
      </c>
      <c r="AL397" s="32">
        <v>16.0425</v>
      </c>
      <c r="AM397" s="11">
        <f t="shared" si="108"/>
        <v>8.0057000000000009</v>
      </c>
      <c r="AN397" s="34">
        <f t="shared" si="109"/>
        <v>11.410256410256411</v>
      </c>
    </row>
    <row r="398" spans="1:40" s="32" customFormat="1" x14ac:dyDescent="0.25">
      <c r="A398" s="11" t="s">
        <v>684</v>
      </c>
      <c r="B398" s="32">
        <v>0.14499999999999999</v>
      </c>
      <c r="C398" s="32" t="s">
        <v>320</v>
      </c>
      <c r="D398" s="32">
        <v>21.686</v>
      </c>
      <c r="E398" s="32">
        <v>0.317</v>
      </c>
      <c r="F398" s="32">
        <v>5.3999999999999999E-2</v>
      </c>
      <c r="G398" s="32">
        <v>0</v>
      </c>
      <c r="H398" s="32">
        <v>0.84399999999999997</v>
      </c>
      <c r="I398" s="32">
        <v>0</v>
      </c>
      <c r="J398" s="32">
        <v>5.7140000000000004</v>
      </c>
      <c r="K398" s="32">
        <v>0.71199999999999997</v>
      </c>
      <c r="L398" s="32">
        <v>52.552999999999997</v>
      </c>
      <c r="M398" s="32">
        <v>19.367999999999999</v>
      </c>
      <c r="N398" s="32" t="s">
        <v>320</v>
      </c>
      <c r="O398" s="32">
        <v>101.393</v>
      </c>
      <c r="Q398" s="34">
        <f t="shared" si="101"/>
        <v>0.30184424803396198</v>
      </c>
      <c r="R398" s="34">
        <f t="shared" si="102"/>
        <v>0.48053591365835502</v>
      </c>
      <c r="S398" s="34">
        <f t="shared" si="103"/>
        <v>0.1018937907913977</v>
      </c>
      <c r="T398" s="34">
        <f t="shared" si="104"/>
        <v>61.419746714811666</v>
      </c>
      <c r="U398" s="34">
        <f t="shared" si="105"/>
        <v>34.134698549714535</v>
      </c>
      <c r="V398" s="34">
        <f t="shared" si="106"/>
        <v>11.522875971321143</v>
      </c>
      <c r="W398" s="34">
        <f t="shared" si="107"/>
        <v>54.342425478964316</v>
      </c>
      <c r="X398" s="34"/>
      <c r="Y398" s="32">
        <v>1.6299999999999999E-2</v>
      </c>
      <c r="Z398" s="32" t="s">
        <v>320</v>
      </c>
      <c r="AA398" s="32">
        <v>2.7039</v>
      </c>
      <c r="AB398" s="32">
        <v>3.7400000000000003E-2</v>
      </c>
      <c r="AC398" s="32">
        <v>1.5699999999999999E-2</v>
      </c>
      <c r="AD398" s="32">
        <v>0</v>
      </c>
      <c r="AE398" s="32">
        <v>0.14829999999999999</v>
      </c>
      <c r="AF398" s="32">
        <v>0</v>
      </c>
      <c r="AG398" s="32">
        <v>0.91279999999999994</v>
      </c>
      <c r="AH398" s="32">
        <v>8.9899999999999994E-2</v>
      </c>
      <c r="AI398" s="32">
        <v>7.835</v>
      </c>
      <c r="AJ398" s="32">
        <v>4.3045</v>
      </c>
      <c r="AK398" s="32" t="s">
        <v>320</v>
      </c>
      <c r="AL398" s="32">
        <v>16.063800000000001</v>
      </c>
      <c r="AM398" s="11">
        <f t="shared" si="108"/>
        <v>7.9832999999999998</v>
      </c>
      <c r="AN398" s="34">
        <f t="shared" si="109"/>
        <v>9.0981595092024534</v>
      </c>
    </row>
    <row r="399" spans="1:40" s="32" customFormat="1" x14ac:dyDescent="0.25">
      <c r="A399" s="11" t="s">
        <v>685</v>
      </c>
      <c r="B399" s="32">
        <v>0.13300000000000001</v>
      </c>
      <c r="C399" s="32" t="s">
        <v>320</v>
      </c>
      <c r="D399" s="32">
        <v>21.776</v>
      </c>
      <c r="E399" s="32">
        <v>0.27500000000000002</v>
      </c>
      <c r="F399" s="32">
        <v>7.0000000000000007E-2</v>
      </c>
      <c r="G399" s="32">
        <v>0</v>
      </c>
      <c r="H399" s="32">
        <v>0.78</v>
      </c>
      <c r="I399" s="32">
        <v>0</v>
      </c>
      <c r="J399" s="32">
        <v>5.444</v>
      </c>
      <c r="K399" s="32">
        <v>0.68600000000000005</v>
      </c>
      <c r="L399" s="32">
        <v>52.405999999999999</v>
      </c>
      <c r="M399" s="32">
        <v>19.437000000000001</v>
      </c>
      <c r="N399" s="32" t="s">
        <v>320</v>
      </c>
      <c r="O399" s="32">
        <v>101.00700000000001</v>
      </c>
      <c r="Q399" s="34">
        <f t="shared" si="101"/>
        <v>0.30309694481174754</v>
      </c>
      <c r="R399" s="34">
        <f t="shared" si="102"/>
        <v>0.48224786006698922</v>
      </c>
      <c r="S399" s="34">
        <f t="shared" si="103"/>
        <v>9.7079068440386593E-2</v>
      </c>
      <c r="T399" s="34">
        <f t="shared" si="104"/>
        <v>61.405876383361566</v>
      </c>
      <c r="U399" s="34">
        <f t="shared" si="105"/>
        <v>34.348225832976112</v>
      </c>
      <c r="V399" s="34">
        <f t="shared" si="106"/>
        <v>11.001410022514033</v>
      </c>
      <c r="W399" s="34">
        <f t="shared" si="107"/>
        <v>54.650364144509844</v>
      </c>
      <c r="X399" s="34"/>
      <c r="Y399" s="32">
        <v>1.49E-2</v>
      </c>
      <c r="Z399" s="32" t="s">
        <v>320</v>
      </c>
      <c r="AA399" s="32">
        <v>2.7252999999999998</v>
      </c>
      <c r="AB399" s="32">
        <v>3.2500000000000001E-2</v>
      </c>
      <c r="AC399" s="32">
        <v>2.0299999999999999E-2</v>
      </c>
      <c r="AD399" s="32">
        <v>0</v>
      </c>
      <c r="AE399" s="32">
        <v>0.13750000000000001</v>
      </c>
      <c r="AF399" s="32">
        <v>0</v>
      </c>
      <c r="AG399" s="32">
        <v>0.87290000000000001</v>
      </c>
      <c r="AH399" s="32">
        <v>8.6900000000000005E-2</v>
      </c>
      <c r="AI399" s="32">
        <v>7.8421000000000003</v>
      </c>
      <c r="AJ399" s="32">
        <v>4.3357000000000001</v>
      </c>
      <c r="AK399" s="32" t="s">
        <v>320</v>
      </c>
      <c r="AL399" s="32">
        <v>16.068100000000001</v>
      </c>
      <c r="AM399" s="11">
        <f t="shared" si="108"/>
        <v>7.9796000000000005</v>
      </c>
      <c r="AN399" s="34">
        <f t="shared" si="109"/>
        <v>9.2281879194630871</v>
      </c>
    </row>
    <row r="400" spans="1:40" s="32" customFormat="1" x14ac:dyDescent="0.25">
      <c r="A400" s="11" t="s">
        <v>45</v>
      </c>
      <c r="B400" s="32">
        <v>0.17299999999999999</v>
      </c>
      <c r="C400" s="32" t="s">
        <v>320</v>
      </c>
      <c r="D400" s="32">
        <v>21.488</v>
      </c>
      <c r="E400" s="32">
        <v>0.26900000000000002</v>
      </c>
      <c r="F400" s="32">
        <v>6.6000000000000003E-2</v>
      </c>
      <c r="G400" s="32">
        <v>0</v>
      </c>
      <c r="H400" s="32">
        <v>0.8</v>
      </c>
      <c r="I400" s="32">
        <v>2E-3</v>
      </c>
      <c r="J400" s="32">
        <v>6.0880000000000001</v>
      </c>
      <c r="K400" s="32">
        <v>0.69399999999999995</v>
      </c>
      <c r="L400" s="32">
        <v>52.664000000000001</v>
      </c>
      <c r="M400" s="32">
        <v>19.03</v>
      </c>
      <c r="N400" s="32" t="s">
        <v>320</v>
      </c>
      <c r="O400" s="32">
        <v>101.274</v>
      </c>
      <c r="Q400" s="34">
        <f t="shared" si="101"/>
        <v>0.2990883151228339</v>
      </c>
      <c r="R400" s="34">
        <f t="shared" si="102"/>
        <v>0.47214985733779929</v>
      </c>
      <c r="S400" s="34">
        <f t="shared" si="103"/>
        <v>0.10856307286279825</v>
      </c>
      <c r="T400" s="34">
        <f t="shared" si="104"/>
        <v>61.219720988576917</v>
      </c>
      <c r="U400" s="34">
        <f t="shared" si="105"/>
        <v>33.994986562321067</v>
      </c>
      <c r="V400" s="34">
        <f t="shared" si="106"/>
        <v>12.339499794966581</v>
      </c>
      <c r="W400" s="34">
        <f t="shared" si="107"/>
        <v>53.665513642712362</v>
      </c>
      <c r="X400" s="34"/>
      <c r="Y400" s="32">
        <v>1.9400000000000001E-2</v>
      </c>
      <c r="Z400" s="32" t="s">
        <v>320</v>
      </c>
      <c r="AA400" s="32">
        <v>2.6816</v>
      </c>
      <c r="AB400" s="32">
        <v>3.1800000000000002E-2</v>
      </c>
      <c r="AC400" s="32">
        <v>1.9199999999999998E-2</v>
      </c>
      <c r="AD400" s="32">
        <v>0</v>
      </c>
      <c r="AE400" s="32">
        <v>0.14069999999999999</v>
      </c>
      <c r="AF400" s="32">
        <v>2.9999999999999997E-4</v>
      </c>
      <c r="AG400" s="32">
        <v>0.97340000000000004</v>
      </c>
      <c r="AH400" s="32">
        <v>8.7800000000000003E-2</v>
      </c>
      <c r="AI400" s="32">
        <v>7.8585000000000003</v>
      </c>
      <c r="AJ400" s="32">
        <v>4.2329999999999997</v>
      </c>
      <c r="AK400" s="32" t="s">
        <v>320</v>
      </c>
      <c r="AL400" s="32">
        <v>16.0457</v>
      </c>
      <c r="AM400" s="11">
        <f t="shared" si="108"/>
        <v>7.9992000000000001</v>
      </c>
      <c r="AN400" s="34">
        <f t="shared" si="109"/>
        <v>7.252577319587628</v>
      </c>
    </row>
    <row r="401" spans="1:40" s="32" customFormat="1" x14ac:dyDescent="0.25">
      <c r="A401" s="11" t="s">
        <v>226</v>
      </c>
      <c r="B401" s="32">
        <v>0.14000000000000001</v>
      </c>
      <c r="C401" s="32" t="s">
        <v>320</v>
      </c>
      <c r="D401" s="32">
        <v>22.251000000000001</v>
      </c>
      <c r="E401" s="32">
        <v>0.27700000000000002</v>
      </c>
      <c r="F401" s="32">
        <v>8.7999999999999995E-2</v>
      </c>
      <c r="G401" s="32">
        <v>0</v>
      </c>
      <c r="H401" s="32">
        <v>0.77300000000000002</v>
      </c>
      <c r="I401" s="32">
        <v>0</v>
      </c>
      <c r="J401" s="32">
        <v>4.9029999999999996</v>
      </c>
      <c r="K401" s="32">
        <v>0.753</v>
      </c>
      <c r="L401" s="32">
        <v>52.57</v>
      </c>
      <c r="M401" s="32">
        <v>19.667999999999999</v>
      </c>
      <c r="N401" s="32" t="s">
        <v>320</v>
      </c>
      <c r="O401" s="32">
        <v>101.423</v>
      </c>
      <c r="Q401" s="34">
        <f t="shared" si="101"/>
        <v>0.30970840002783773</v>
      </c>
      <c r="R401" s="34">
        <f t="shared" si="102"/>
        <v>0.48797915891328619</v>
      </c>
      <c r="S401" s="34">
        <f t="shared" si="103"/>
        <v>8.7431791433360662E-2</v>
      </c>
      <c r="T401" s="34">
        <f t="shared" si="104"/>
        <v>61.174222092801024</v>
      </c>
      <c r="U401" s="34">
        <f t="shared" si="105"/>
        <v>34.990580637154004</v>
      </c>
      <c r="V401" s="34">
        <f t="shared" si="106"/>
        <v>9.8779663326046592</v>
      </c>
      <c r="W401" s="34">
        <f t="shared" si="107"/>
        <v>55.131453030241339</v>
      </c>
      <c r="X401" s="34"/>
      <c r="Y401" s="32">
        <v>1.5699999999999999E-2</v>
      </c>
      <c r="Z401" s="32" t="s">
        <v>320</v>
      </c>
      <c r="AA401" s="32">
        <v>2.7749000000000001</v>
      </c>
      <c r="AB401" s="32">
        <v>3.27E-2</v>
      </c>
      <c r="AC401" s="32">
        <v>2.5399999999999999E-2</v>
      </c>
      <c r="AD401" s="32">
        <v>0</v>
      </c>
      <c r="AE401" s="32">
        <v>0.1358</v>
      </c>
      <c r="AF401" s="32">
        <v>0</v>
      </c>
      <c r="AG401" s="32">
        <v>0.78349999999999997</v>
      </c>
      <c r="AH401" s="32">
        <v>9.5100000000000004E-2</v>
      </c>
      <c r="AI401" s="32">
        <v>7.8388999999999998</v>
      </c>
      <c r="AJ401" s="32">
        <v>4.3719000000000001</v>
      </c>
      <c r="AK401" s="32" t="s">
        <v>320</v>
      </c>
      <c r="AL401" s="32">
        <v>16.073899999999998</v>
      </c>
      <c r="AM401" s="11">
        <f t="shared" si="108"/>
        <v>7.9746999999999995</v>
      </c>
      <c r="AN401" s="34">
        <f t="shared" si="109"/>
        <v>8.6496815286624216</v>
      </c>
    </row>
    <row r="402" spans="1:40" s="32" customFormat="1" x14ac:dyDescent="0.25">
      <c r="A402" s="11" t="s">
        <v>208</v>
      </c>
      <c r="B402" s="32">
        <v>0.16300000000000001</v>
      </c>
      <c r="C402" s="32" t="s">
        <v>320</v>
      </c>
      <c r="D402" s="32">
        <v>22.079000000000001</v>
      </c>
      <c r="E402" s="32">
        <v>0.255</v>
      </c>
      <c r="F402" s="32">
        <v>5.7000000000000002E-2</v>
      </c>
      <c r="G402" s="32">
        <v>0</v>
      </c>
      <c r="H402" s="32">
        <v>0.76600000000000001</v>
      </c>
      <c r="I402" s="32">
        <v>4.0000000000000001E-3</v>
      </c>
      <c r="J402" s="32">
        <v>5.0670000000000002</v>
      </c>
      <c r="K402" s="32">
        <v>0.67500000000000004</v>
      </c>
      <c r="L402" s="32">
        <v>52.570999999999998</v>
      </c>
      <c r="M402" s="32">
        <v>19.483000000000001</v>
      </c>
      <c r="N402" s="32" t="s">
        <v>320</v>
      </c>
      <c r="O402" s="32">
        <v>101.12</v>
      </c>
      <c r="Q402" s="34">
        <f t="shared" si="101"/>
        <v>0.30731435729695872</v>
      </c>
      <c r="R402" s="34">
        <f t="shared" si="102"/>
        <v>0.48338915767274532</v>
      </c>
      <c r="S402" s="34">
        <f t="shared" si="103"/>
        <v>9.0356289453974822E-2</v>
      </c>
      <c r="T402" s="34">
        <f t="shared" si="104"/>
        <v>61.134059545854733</v>
      </c>
      <c r="U402" s="34">
        <f t="shared" si="105"/>
        <v>34.880079167608834</v>
      </c>
      <c r="V402" s="34">
        <f t="shared" si="106"/>
        <v>10.255409337743981</v>
      </c>
      <c r="W402" s="34">
        <f t="shared" si="107"/>
        <v>54.864511494647196</v>
      </c>
      <c r="X402" s="34"/>
      <c r="Y402" s="32">
        <v>1.83E-2</v>
      </c>
      <c r="Z402" s="32" t="s">
        <v>320</v>
      </c>
      <c r="AA402" s="32">
        <v>2.7593000000000001</v>
      </c>
      <c r="AB402" s="32">
        <v>3.0099999999999998E-2</v>
      </c>
      <c r="AC402" s="32">
        <v>1.66E-2</v>
      </c>
      <c r="AD402" s="32">
        <v>0</v>
      </c>
      <c r="AE402" s="32">
        <v>0.1348</v>
      </c>
      <c r="AF402" s="32">
        <v>6.9999999999999999E-4</v>
      </c>
      <c r="AG402" s="32">
        <v>0.81130000000000002</v>
      </c>
      <c r="AH402" s="32">
        <v>8.5400000000000004E-2</v>
      </c>
      <c r="AI402" s="32">
        <v>7.8556999999999997</v>
      </c>
      <c r="AJ402" s="32">
        <v>4.3399000000000001</v>
      </c>
      <c r="AK402" s="32" t="s">
        <v>320</v>
      </c>
      <c r="AL402" s="32">
        <v>16.052099999999999</v>
      </c>
      <c r="AM402" s="11">
        <f t="shared" si="108"/>
        <v>7.9904999999999999</v>
      </c>
      <c r="AN402" s="34">
        <f t="shared" si="109"/>
        <v>7.3661202185792352</v>
      </c>
    </row>
    <row r="403" spans="1:40" s="32" customFormat="1" x14ac:dyDescent="0.25">
      <c r="A403" s="11" t="s">
        <v>160</v>
      </c>
      <c r="B403" s="32">
        <v>0.14699999999999999</v>
      </c>
      <c r="C403" s="32" t="s">
        <v>320</v>
      </c>
      <c r="D403" s="32">
        <v>22.266999999999999</v>
      </c>
      <c r="E403" s="32">
        <v>0.27100000000000002</v>
      </c>
      <c r="F403" s="32">
        <v>6.9000000000000006E-2</v>
      </c>
      <c r="G403" s="32">
        <v>0</v>
      </c>
      <c r="H403" s="32">
        <v>0.83</v>
      </c>
      <c r="I403" s="32">
        <v>5.0000000000000001E-3</v>
      </c>
      <c r="J403" s="32">
        <v>5.5019999999999998</v>
      </c>
      <c r="K403" s="32">
        <v>0.66400000000000003</v>
      </c>
      <c r="L403" s="32">
        <v>52.241999999999997</v>
      </c>
      <c r="M403" s="32">
        <v>19.382999999999999</v>
      </c>
      <c r="N403" s="32" t="s">
        <v>320</v>
      </c>
      <c r="O403" s="32">
        <v>101.38</v>
      </c>
      <c r="Q403" s="34">
        <f t="shared" si="101"/>
        <v>0.30993110167722182</v>
      </c>
      <c r="R403" s="34">
        <f t="shared" si="102"/>
        <v>0.48090807592110157</v>
      </c>
      <c r="S403" s="34">
        <f t="shared" si="103"/>
        <v>9.8113342130603798E-2</v>
      </c>
      <c r="T403" s="34">
        <f t="shared" si="104"/>
        <v>60.809844724885451</v>
      </c>
      <c r="U403" s="34">
        <f t="shared" si="105"/>
        <v>34.864753155965033</v>
      </c>
      <c r="V403" s="34">
        <f t="shared" si="106"/>
        <v>11.036960912211825</v>
      </c>
      <c r="W403" s="34">
        <f t="shared" si="107"/>
        <v>54.098285931823142</v>
      </c>
      <c r="X403" s="34"/>
      <c r="Y403" s="32">
        <v>1.6500000000000001E-2</v>
      </c>
      <c r="Z403" s="32" t="s">
        <v>320</v>
      </c>
      <c r="AA403" s="32">
        <v>2.7839999999999998</v>
      </c>
      <c r="AB403" s="32">
        <v>3.2099999999999997E-2</v>
      </c>
      <c r="AC403" s="32">
        <v>2.01E-2</v>
      </c>
      <c r="AD403" s="32">
        <v>0</v>
      </c>
      <c r="AE403" s="32">
        <v>0.1462</v>
      </c>
      <c r="AF403" s="32">
        <v>1E-3</v>
      </c>
      <c r="AG403" s="32">
        <v>0.88129999999999997</v>
      </c>
      <c r="AH403" s="32">
        <v>8.4099999999999994E-2</v>
      </c>
      <c r="AI403" s="32">
        <v>7.81</v>
      </c>
      <c r="AJ403" s="32">
        <v>4.3194999999999997</v>
      </c>
      <c r="AK403" s="32" t="s">
        <v>320</v>
      </c>
      <c r="AL403" s="32">
        <v>16.094799999999999</v>
      </c>
      <c r="AM403" s="11">
        <f t="shared" si="108"/>
        <v>7.9561999999999999</v>
      </c>
      <c r="AN403" s="34">
        <f t="shared" si="109"/>
        <v>8.8606060606060595</v>
      </c>
    </row>
    <row r="404" spans="1:40" s="32" customFormat="1" x14ac:dyDescent="0.25">
      <c r="A404" s="11" t="s">
        <v>185</v>
      </c>
      <c r="B404" s="32">
        <v>0.19800000000000001</v>
      </c>
      <c r="C404" s="32" t="s">
        <v>320</v>
      </c>
      <c r="D404" s="32">
        <v>22.218</v>
      </c>
      <c r="E404" s="32">
        <v>0.26500000000000001</v>
      </c>
      <c r="F404" s="32">
        <v>3.2000000000000001E-2</v>
      </c>
      <c r="G404" s="32">
        <v>0</v>
      </c>
      <c r="H404" s="32">
        <v>0.80100000000000005</v>
      </c>
      <c r="I404" s="32">
        <v>1.9E-2</v>
      </c>
      <c r="J404" s="32">
        <v>5.2949999999999999</v>
      </c>
      <c r="K404" s="32">
        <v>0.73499999999999999</v>
      </c>
      <c r="L404" s="32">
        <v>52.264000000000003</v>
      </c>
      <c r="M404" s="32">
        <v>19.158999999999999</v>
      </c>
      <c r="N404" s="32" t="s">
        <v>320</v>
      </c>
      <c r="O404" s="32">
        <v>100.986</v>
      </c>
      <c r="Q404" s="34">
        <f t="shared" si="101"/>
        <v>0.30924907787598305</v>
      </c>
      <c r="R404" s="34">
        <f t="shared" si="102"/>
        <v>0.47535045279741966</v>
      </c>
      <c r="S404" s="34">
        <f t="shared" si="103"/>
        <v>9.4422054994828628E-2</v>
      </c>
      <c r="T404" s="34">
        <f t="shared" si="104"/>
        <v>60.585105421798801</v>
      </c>
      <c r="U404" s="34">
        <f t="shared" si="105"/>
        <v>35.18105617860251</v>
      </c>
      <c r="V404" s="34">
        <f t="shared" si="106"/>
        <v>10.741721993442184</v>
      </c>
      <c r="W404" s="34">
        <f t="shared" si="107"/>
        <v>54.077221827955313</v>
      </c>
      <c r="X404" s="34"/>
      <c r="Y404" s="32">
        <v>2.24E-2</v>
      </c>
      <c r="Z404" s="32" t="s">
        <v>320</v>
      </c>
      <c r="AA404" s="32">
        <v>2.7866</v>
      </c>
      <c r="AB404" s="32">
        <v>3.15E-2</v>
      </c>
      <c r="AC404" s="32">
        <v>9.1999999999999998E-3</v>
      </c>
      <c r="AD404" s="32">
        <v>0</v>
      </c>
      <c r="AE404" s="32">
        <v>0.1416</v>
      </c>
      <c r="AF404" s="32">
        <v>3.7000000000000002E-3</v>
      </c>
      <c r="AG404" s="32">
        <v>0.85089999999999999</v>
      </c>
      <c r="AH404" s="32">
        <v>9.3399999999999997E-2</v>
      </c>
      <c r="AI404" s="32">
        <v>7.8376999999999999</v>
      </c>
      <c r="AJ404" s="32">
        <v>4.2828999999999997</v>
      </c>
      <c r="AK404" s="32" t="s">
        <v>320</v>
      </c>
      <c r="AL404" s="32">
        <v>16.059899999999999</v>
      </c>
      <c r="AM404" s="11">
        <f t="shared" si="108"/>
        <v>7.9793000000000003</v>
      </c>
      <c r="AN404" s="34">
        <f t="shared" si="109"/>
        <v>6.3214285714285721</v>
      </c>
    </row>
    <row r="405" spans="1:40" s="32" customFormat="1" x14ac:dyDescent="0.25">
      <c r="A405" s="11" t="s">
        <v>67</v>
      </c>
      <c r="B405" s="32">
        <v>0.16300000000000001</v>
      </c>
      <c r="C405" s="32" t="s">
        <v>320</v>
      </c>
      <c r="D405" s="32">
        <v>22.128</v>
      </c>
      <c r="E405" s="32">
        <v>0.28299999999999997</v>
      </c>
      <c r="F405" s="32">
        <v>6.8000000000000005E-2</v>
      </c>
      <c r="G405" s="32">
        <v>0</v>
      </c>
      <c r="H405" s="32">
        <v>0.78600000000000003</v>
      </c>
      <c r="I405" s="32">
        <v>0</v>
      </c>
      <c r="J405" s="32">
        <v>5.4909999999999997</v>
      </c>
      <c r="K405" s="32">
        <v>0.71299999999999997</v>
      </c>
      <c r="L405" s="32">
        <v>52.29</v>
      </c>
      <c r="M405" s="32">
        <v>18.972000000000001</v>
      </c>
      <c r="N405" s="32" t="s">
        <v>320</v>
      </c>
      <c r="O405" s="32">
        <v>100.89400000000001</v>
      </c>
      <c r="Q405" s="34">
        <f t="shared" si="101"/>
        <v>0.30799638109819749</v>
      </c>
      <c r="R405" s="34">
        <f t="shared" si="102"/>
        <v>0.47071082992184599</v>
      </c>
      <c r="S405" s="34">
        <f t="shared" si="103"/>
        <v>9.7917186775562604E-2</v>
      </c>
      <c r="T405" s="34">
        <f t="shared" si="104"/>
        <v>60.447729680742633</v>
      </c>
      <c r="U405" s="34">
        <f t="shared" si="105"/>
        <v>35.134361064179501</v>
      </c>
      <c r="V405" s="34">
        <f t="shared" si="106"/>
        <v>11.169799405741955</v>
      </c>
      <c r="W405" s="34">
        <f t="shared" si="107"/>
        <v>53.695839530078537</v>
      </c>
      <c r="X405" s="34"/>
      <c r="Y405" s="32">
        <v>1.84E-2</v>
      </c>
      <c r="Z405" s="32" t="s">
        <v>320</v>
      </c>
      <c r="AA405" s="32">
        <v>2.7776999999999998</v>
      </c>
      <c r="AB405" s="32">
        <v>3.3599999999999998E-2</v>
      </c>
      <c r="AC405" s="32">
        <v>1.9800000000000002E-2</v>
      </c>
      <c r="AD405" s="32">
        <v>0</v>
      </c>
      <c r="AE405" s="32">
        <v>0.1391</v>
      </c>
      <c r="AF405" s="32">
        <v>0</v>
      </c>
      <c r="AG405" s="32">
        <v>0.88319999999999999</v>
      </c>
      <c r="AH405" s="32">
        <v>9.0700000000000003E-2</v>
      </c>
      <c r="AI405" s="32">
        <v>7.8487999999999998</v>
      </c>
      <c r="AJ405" s="32">
        <v>4.2450000000000001</v>
      </c>
      <c r="AK405" s="32" t="s">
        <v>320</v>
      </c>
      <c r="AL405" s="32">
        <v>16.0563</v>
      </c>
      <c r="AM405" s="11">
        <f t="shared" si="108"/>
        <v>7.9878999999999998</v>
      </c>
      <c r="AN405" s="34">
        <f t="shared" si="109"/>
        <v>7.5597826086956523</v>
      </c>
    </row>
    <row r="406" spans="1:40" s="32" customFormat="1" x14ac:dyDescent="0.25">
      <c r="A406" s="11" t="s">
        <v>68</v>
      </c>
      <c r="B406" s="32">
        <v>0.158</v>
      </c>
      <c r="C406" s="32" t="s">
        <v>320</v>
      </c>
      <c r="D406" s="32">
        <v>21.872</v>
      </c>
      <c r="E406" s="32">
        <v>0.26500000000000001</v>
      </c>
      <c r="F406" s="32">
        <v>7.9000000000000001E-2</v>
      </c>
      <c r="G406" s="32">
        <v>0</v>
      </c>
      <c r="H406" s="32">
        <v>0.91400000000000003</v>
      </c>
      <c r="I406" s="32">
        <v>0.03</v>
      </c>
      <c r="J406" s="32">
        <v>5.7450000000000001</v>
      </c>
      <c r="K406" s="32">
        <v>0.65800000000000003</v>
      </c>
      <c r="L406" s="32">
        <v>52.353999999999999</v>
      </c>
      <c r="M406" s="32">
        <v>18.716999999999999</v>
      </c>
      <c r="N406" s="32" t="s">
        <v>320</v>
      </c>
      <c r="O406" s="32">
        <v>100.792</v>
      </c>
      <c r="Q406" s="34">
        <f t="shared" si="101"/>
        <v>0.30443315470805205</v>
      </c>
      <c r="R406" s="34">
        <f t="shared" si="102"/>
        <v>0.46438407145515442</v>
      </c>
      <c r="S406" s="34">
        <f t="shared" si="103"/>
        <v>0.10244659224651378</v>
      </c>
      <c r="T406" s="34">
        <f t="shared" si="104"/>
        <v>60.402401982155098</v>
      </c>
      <c r="U406" s="34">
        <f t="shared" si="105"/>
        <v>34.941558260013664</v>
      </c>
      <c r="V406" s="34">
        <f t="shared" si="106"/>
        <v>11.75838937435794</v>
      </c>
      <c r="W406" s="34">
        <f t="shared" si="107"/>
        <v>53.300052365628403</v>
      </c>
      <c r="X406" s="34"/>
      <c r="Y406" s="32">
        <v>1.7899999999999999E-2</v>
      </c>
      <c r="Z406" s="32" t="s">
        <v>320</v>
      </c>
      <c r="AA406" s="32">
        <v>2.7458999999999998</v>
      </c>
      <c r="AB406" s="32">
        <v>3.15E-2</v>
      </c>
      <c r="AC406" s="32">
        <v>2.29E-2</v>
      </c>
      <c r="AD406" s="32">
        <v>0</v>
      </c>
      <c r="AE406" s="32">
        <v>0.16170000000000001</v>
      </c>
      <c r="AF406" s="32">
        <v>5.7999999999999996E-3</v>
      </c>
      <c r="AG406" s="32">
        <v>0.92410000000000003</v>
      </c>
      <c r="AH406" s="32">
        <v>8.3699999999999997E-2</v>
      </c>
      <c r="AI406" s="32">
        <v>7.859</v>
      </c>
      <c r="AJ406" s="32">
        <v>4.1883999999999997</v>
      </c>
      <c r="AK406" s="32" t="s">
        <v>320</v>
      </c>
      <c r="AL406" s="32">
        <v>16.040900000000001</v>
      </c>
      <c r="AM406" s="11">
        <f t="shared" si="108"/>
        <v>8.0206999999999997</v>
      </c>
      <c r="AN406" s="34">
        <f t="shared" si="109"/>
        <v>9.033519553072626</v>
      </c>
    </row>
    <row r="407" spans="1:40" s="32" customFormat="1" x14ac:dyDescent="0.25">
      <c r="A407" s="11" t="s">
        <v>183</v>
      </c>
      <c r="B407" s="32">
        <v>0.11899999999999999</v>
      </c>
      <c r="C407" s="32" t="s">
        <v>320</v>
      </c>
      <c r="D407" s="32">
        <v>22.23</v>
      </c>
      <c r="E407" s="32">
        <v>0.29099999999999998</v>
      </c>
      <c r="F407" s="32">
        <v>8.2000000000000003E-2</v>
      </c>
      <c r="G407" s="32">
        <v>0</v>
      </c>
      <c r="H407" s="32">
        <v>0.86799999999999999</v>
      </c>
      <c r="I407" s="32">
        <v>3.0000000000000001E-3</v>
      </c>
      <c r="J407" s="32">
        <v>5.4950000000000001</v>
      </c>
      <c r="K407" s="32">
        <v>0.71099999999999997</v>
      </c>
      <c r="L407" s="32">
        <v>52.341999999999999</v>
      </c>
      <c r="M407" s="32">
        <v>18.998000000000001</v>
      </c>
      <c r="N407" s="32" t="s">
        <v>320</v>
      </c>
      <c r="O407" s="32">
        <v>101.139</v>
      </c>
      <c r="Q407" s="34">
        <f t="shared" si="101"/>
        <v>0.30941610411302112</v>
      </c>
      <c r="R407" s="34">
        <f t="shared" si="102"/>
        <v>0.47135591117727332</v>
      </c>
      <c r="S407" s="34">
        <f t="shared" si="103"/>
        <v>9.7988515995577591E-2</v>
      </c>
      <c r="T407" s="34">
        <f t="shared" si="104"/>
        <v>60.370492531295604</v>
      </c>
      <c r="U407" s="34">
        <f t="shared" si="105"/>
        <v>35.210514480009586</v>
      </c>
      <c r="V407" s="34">
        <f t="shared" si="106"/>
        <v>11.150764344433293</v>
      </c>
      <c r="W407" s="34">
        <f t="shared" si="107"/>
        <v>53.638721175557123</v>
      </c>
      <c r="X407" s="34"/>
      <c r="Y407" s="32">
        <v>1.34E-2</v>
      </c>
      <c r="Z407" s="32" t="s">
        <v>320</v>
      </c>
      <c r="AA407" s="32">
        <v>2.7848000000000002</v>
      </c>
      <c r="AB407" s="32">
        <v>3.4500000000000003E-2</v>
      </c>
      <c r="AC407" s="32">
        <v>2.3699999999999999E-2</v>
      </c>
      <c r="AD407" s="32">
        <v>0</v>
      </c>
      <c r="AE407" s="32">
        <v>0.1532</v>
      </c>
      <c r="AF407" s="32">
        <v>6.9999999999999999E-4</v>
      </c>
      <c r="AG407" s="32">
        <v>0.88200000000000001</v>
      </c>
      <c r="AH407" s="32">
        <v>9.0200000000000002E-2</v>
      </c>
      <c r="AI407" s="32">
        <v>7.8402000000000003</v>
      </c>
      <c r="AJ407" s="32">
        <v>4.2420999999999998</v>
      </c>
      <c r="AK407" s="32" t="s">
        <v>320</v>
      </c>
      <c r="AL407" s="32">
        <v>16.064800000000002</v>
      </c>
      <c r="AM407" s="11">
        <f t="shared" si="108"/>
        <v>7.9934000000000003</v>
      </c>
      <c r="AN407" s="34">
        <f t="shared" si="109"/>
        <v>11.432835820895523</v>
      </c>
    </row>
    <row r="408" spans="1:40" s="32" customFormat="1" x14ac:dyDescent="0.25">
      <c r="A408" s="11" t="s">
        <v>175</v>
      </c>
      <c r="B408" s="32">
        <v>0.13500000000000001</v>
      </c>
      <c r="C408" s="32" t="s">
        <v>320</v>
      </c>
      <c r="D408" s="32">
        <v>22.245999999999999</v>
      </c>
      <c r="E408" s="32">
        <v>0.29499999999999998</v>
      </c>
      <c r="F408" s="32">
        <v>4.4999999999999998E-2</v>
      </c>
      <c r="G408" s="32">
        <v>0</v>
      </c>
      <c r="H408" s="32">
        <v>0.80800000000000005</v>
      </c>
      <c r="I408" s="32">
        <v>2E-3</v>
      </c>
      <c r="J408" s="32">
        <v>5.5570000000000004</v>
      </c>
      <c r="K408" s="32">
        <v>0.69899999999999995</v>
      </c>
      <c r="L408" s="32">
        <v>52.01</v>
      </c>
      <c r="M408" s="32">
        <v>18.920000000000002</v>
      </c>
      <c r="N408" s="32" t="s">
        <v>320</v>
      </c>
      <c r="O408" s="32">
        <v>100.717</v>
      </c>
      <c r="Q408" s="34">
        <f t="shared" si="101"/>
        <v>0.30963880576240516</v>
      </c>
      <c r="R408" s="34">
        <f t="shared" si="102"/>
        <v>0.46942066741099125</v>
      </c>
      <c r="S408" s="34">
        <f t="shared" si="103"/>
        <v>9.9094118905809769E-2</v>
      </c>
      <c r="T408" s="34">
        <f t="shared" si="104"/>
        <v>60.254792294466021</v>
      </c>
      <c r="U408" s="34">
        <f t="shared" si="105"/>
        <v>35.260210577659052</v>
      </c>
      <c r="V408" s="34">
        <f t="shared" si="106"/>
        <v>11.284372096136897</v>
      </c>
      <c r="W408" s="34">
        <f t="shared" si="107"/>
        <v>53.455417326204056</v>
      </c>
      <c r="X408" s="34"/>
      <c r="Y408" s="32">
        <v>1.5299999999999999E-2</v>
      </c>
      <c r="Z408" s="32" t="s">
        <v>320</v>
      </c>
      <c r="AA408" s="32">
        <v>2.8012000000000001</v>
      </c>
      <c r="AB408" s="32">
        <v>3.5200000000000002E-2</v>
      </c>
      <c r="AC408" s="32">
        <v>1.3100000000000001E-2</v>
      </c>
      <c r="AD408" s="32">
        <v>0</v>
      </c>
      <c r="AE408" s="32">
        <v>0.14330000000000001</v>
      </c>
      <c r="AF408" s="32">
        <v>4.0000000000000002E-4</v>
      </c>
      <c r="AG408" s="32">
        <v>0.89659999999999995</v>
      </c>
      <c r="AH408" s="32">
        <v>8.9200000000000002E-2</v>
      </c>
      <c r="AI408" s="32">
        <v>7.8307000000000002</v>
      </c>
      <c r="AJ408" s="32">
        <v>4.2465000000000002</v>
      </c>
      <c r="AK408" s="32" t="s">
        <v>320</v>
      </c>
      <c r="AL408" s="32">
        <v>16.0715</v>
      </c>
      <c r="AM408" s="11">
        <f t="shared" si="108"/>
        <v>7.9740000000000002</v>
      </c>
      <c r="AN408" s="34">
        <f t="shared" si="109"/>
        <v>9.3660130718954253</v>
      </c>
    </row>
    <row r="409" spans="1:40" s="32" customFormat="1" x14ac:dyDescent="0.25">
      <c r="A409" s="11" t="s">
        <v>686</v>
      </c>
      <c r="B409" s="32">
        <v>0.113</v>
      </c>
      <c r="C409" s="32" t="s">
        <v>320</v>
      </c>
      <c r="D409" s="32">
        <v>22.553000000000001</v>
      </c>
      <c r="E409" s="32">
        <v>0.27100000000000002</v>
      </c>
      <c r="F409" s="32">
        <v>7.0000000000000007E-2</v>
      </c>
      <c r="G409" s="32">
        <v>8.9999999999999993E-3</v>
      </c>
      <c r="H409" s="32">
        <v>0.82099999999999995</v>
      </c>
      <c r="I409" s="32">
        <v>6.0000000000000001E-3</v>
      </c>
      <c r="J409" s="32">
        <v>5.4569999999999999</v>
      </c>
      <c r="K409" s="32">
        <v>0.70699999999999996</v>
      </c>
      <c r="L409" s="32">
        <v>52.119</v>
      </c>
      <c r="M409" s="32">
        <v>19.18</v>
      </c>
      <c r="N409" s="32" t="s">
        <v>320</v>
      </c>
      <c r="O409" s="32">
        <v>101.306</v>
      </c>
      <c r="Q409" s="34">
        <f t="shared" si="101"/>
        <v>0.31391189365996242</v>
      </c>
      <c r="R409" s="34">
        <f t="shared" si="102"/>
        <v>0.47587147996526485</v>
      </c>
      <c r="S409" s="34">
        <f t="shared" si="103"/>
        <v>9.7310888405435281E-2</v>
      </c>
      <c r="T409" s="34">
        <f t="shared" si="104"/>
        <v>60.253418324184452</v>
      </c>
      <c r="U409" s="34">
        <f t="shared" si="105"/>
        <v>35.386531859802737</v>
      </c>
      <c r="V409" s="34">
        <f t="shared" si="106"/>
        <v>10.969622121405596</v>
      </c>
      <c r="W409" s="34">
        <f t="shared" si="107"/>
        <v>53.643846018791663</v>
      </c>
      <c r="X409" s="34"/>
      <c r="Y409" s="32">
        <v>1.2699999999999999E-2</v>
      </c>
      <c r="Z409" s="32" t="s">
        <v>320</v>
      </c>
      <c r="AA409" s="32">
        <v>2.8262</v>
      </c>
      <c r="AB409" s="32">
        <v>3.2099999999999997E-2</v>
      </c>
      <c r="AC409" s="32">
        <v>2.0199999999999999E-2</v>
      </c>
      <c r="AD409" s="32">
        <v>1.1000000000000001E-3</v>
      </c>
      <c r="AE409" s="32">
        <v>0.14499999999999999</v>
      </c>
      <c r="AF409" s="32">
        <v>1.1999999999999999E-3</v>
      </c>
      <c r="AG409" s="32">
        <v>0.87619999999999998</v>
      </c>
      <c r="AH409" s="32">
        <v>8.9800000000000005E-2</v>
      </c>
      <c r="AI409" s="32">
        <v>7.8095999999999997</v>
      </c>
      <c r="AJ409" s="32">
        <v>4.2842000000000002</v>
      </c>
      <c r="AK409" s="32" t="s">
        <v>320</v>
      </c>
      <c r="AL409" s="32">
        <v>16.098299999999998</v>
      </c>
      <c r="AM409" s="11">
        <f t="shared" si="108"/>
        <v>7.9545999999999992</v>
      </c>
      <c r="AN409" s="34">
        <f t="shared" si="109"/>
        <v>11.417322834645669</v>
      </c>
    </row>
    <row r="410" spans="1:40" s="32" customFormat="1" x14ac:dyDescent="0.25">
      <c r="A410" s="11" t="s">
        <v>687</v>
      </c>
      <c r="B410" s="32">
        <v>0.125</v>
      </c>
      <c r="C410" s="32" t="s">
        <v>320</v>
      </c>
      <c r="D410" s="32">
        <v>22.436</v>
      </c>
      <c r="E410" s="32">
        <v>0.30099999999999999</v>
      </c>
      <c r="F410" s="32">
        <v>0.05</v>
      </c>
      <c r="G410" s="32">
        <v>1.4999999999999999E-2</v>
      </c>
      <c r="H410" s="32">
        <v>0.86199999999999999</v>
      </c>
      <c r="I410" s="32">
        <v>8.9999999999999993E-3</v>
      </c>
      <c r="J410" s="32">
        <v>5.3959999999999999</v>
      </c>
      <c r="K410" s="32">
        <v>0.70899999999999996</v>
      </c>
      <c r="L410" s="32">
        <v>52.174999999999997</v>
      </c>
      <c r="M410" s="32">
        <v>19.05</v>
      </c>
      <c r="N410" s="32" t="s">
        <v>320</v>
      </c>
      <c r="O410" s="32">
        <v>101.128</v>
      </c>
      <c r="Q410" s="34">
        <f t="shared" si="101"/>
        <v>0.31228338784884124</v>
      </c>
      <c r="R410" s="34">
        <f t="shared" si="102"/>
        <v>0.47264607368812805</v>
      </c>
      <c r="S410" s="34">
        <f t="shared" si="103"/>
        <v>9.6223117800206842E-2</v>
      </c>
      <c r="T410" s="34">
        <f t="shared" si="104"/>
        <v>60.215101719158362</v>
      </c>
      <c r="U410" s="34">
        <f t="shared" si="105"/>
        <v>35.440330672781798</v>
      </c>
      <c r="V410" s="34">
        <f t="shared" si="106"/>
        <v>10.920142556081281</v>
      </c>
      <c r="W410" s="34">
        <f t="shared" si="107"/>
        <v>53.639526771136914</v>
      </c>
      <c r="X410" s="34"/>
      <c r="Y410" s="32">
        <v>1.41E-2</v>
      </c>
      <c r="Z410" s="32" t="s">
        <v>320</v>
      </c>
      <c r="AA410" s="32">
        <v>2.8136999999999999</v>
      </c>
      <c r="AB410" s="32">
        <v>3.5700000000000003E-2</v>
      </c>
      <c r="AC410" s="32">
        <v>1.44E-2</v>
      </c>
      <c r="AD410" s="32">
        <v>1.9E-3</v>
      </c>
      <c r="AE410" s="32">
        <v>0.15240000000000001</v>
      </c>
      <c r="AF410" s="32">
        <v>1.6999999999999999E-3</v>
      </c>
      <c r="AG410" s="32">
        <v>0.86699999999999999</v>
      </c>
      <c r="AH410" s="32">
        <v>9.01E-2</v>
      </c>
      <c r="AI410" s="32">
        <v>7.8238000000000003</v>
      </c>
      <c r="AJ410" s="32">
        <v>4.2583000000000002</v>
      </c>
      <c r="AK410" s="32" t="s">
        <v>320</v>
      </c>
      <c r="AL410" s="32">
        <v>16.0731</v>
      </c>
      <c r="AM410" s="11">
        <f t="shared" si="108"/>
        <v>7.9762000000000004</v>
      </c>
      <c r="AN410" s="34">
        <f t="shared" si="109"/>
        <v>10.808510638297873</v>
      </c>
    </row>
    <row r="411" spans="1:40" s="32" customFormat="1" x14ac:dyDescent="0.25">
      <c r="A411" s="11" t="s">
        <v>688</v>
      </c>
      <c r="B411" s="32">
        <v>0.16900000000000001</v>
      </c>
      <c r="C411" s="32" t="s">
        <v>320</v>
      </c>
      <c r="D411" s="32">
        <v>22.701000000000001</v>
      </c>
      <c r="E411" s="32">
        <v>0.3</v>
      </c>
      <c r="F411" s="32">
        <v>7.0000000000000007E-2</v>
      </c>
      <c r="G411" s="32">
        <v>0</v>
      </c>
      <c r="H411" s="32">
        <v>0.82299999999999995</v>
      </c>
      <c r="I411" s="32">
        <v>3.0000000000000001E-3</v>
      </c>
      <c r="J411" s="32">
        <v>5.4130000000000003</v>
      </c>
      <c r="K411" s="32">
        <v>0.67800000000000005</v>
      </c>
      <c r="L411" s="32">
        <v>52.335999999999999</v>
      </c>
      <c r="M411" s="32">
        <v>18.920000000000002</v>
      </c>
      <c r="N411" s="32" t="s">
        <v>320</v>
      </c>
      <c r="O411" s="32">
        <v>101.413</v>
      </c>
      <c r="Q411" s="34">
        <f t="shared" si="101"/>
        <v>0.31597188391676528</v>
      </c>
      <c r="R411" s="34">
        <f t="shared" si="102"/>
        <v>0.46942066741099125</v>
      </c>
      <c r="S411" s="34">
        <f t="shared" si="103"/>
        <v>9.6526266985270517E-2</v>
      </c>
      <c r="T411" s="34">
        <f t="shared" si="104"/>
        <v>59.76892276574376</v>
      </c>
      <c r="U411" s="34">
        <f t="shared" si="105"/>
        <v>35.827774320676156</v>
      </c>
      <c r="V411" s="34">
        <f t="shared" si="106"/>
        <v>10.945028610446276</v>
      </c>
      <c r="W411" s="34">
        <f t="shared" si="107"/>
        <v>53.227197068877572</v>
      </c>
      <c r="X411" s="34"/>
      <c r="Y411" s="32">
        <v>1.9E-2</v>
      </c>
      <c r="Z411" s="32" t="s">
        <v>320</v>
      </c>
      <c r="AA411" s="32">
        <v>2.8412000000000002</v>
      </c>
      <c r="AB411" s="32">
        <v>3.5400000000000001E-2</v>
      </c>
      <c r="AC411" s="32">
        <v>2.0199999999999999E-2</v>
      </c>
      <c r="AD411" s="32">
        <v>0</v>
      </c>
      <c r="AE411" s="32">
        <v>0.1452</v>
      </c>
      <c r="AF411" s="32">
        <v>5.0000000000000001E-4</v>
      </c>
      <c r="AG411" s="32">
        <v>0.8679</v>
      </c>
      <c r="AH411" s="32">
        <v>8.5999999999999993E-2</v>
      </c>
      <c r="AI411" s="32">
        <v>7.8323999999999998</v>
      </c>
      <c r="AJ411" s="32">
        <v>4.2207999999999997</v>
      </c>
      <c r="AK411" s="32" t="s">
        <v>320</v>
      </c>
      <c r="AL411" s="32">
        <v>16.0686</v>
      </c>
      <c r="AM411" s="11">
        <f t="shared" si="108"/>
        <v>7.9775999999999998</v>
      </c>
      <c r="AN411" s="34">
        <f t="shared" si="109"/>
        <v>7.6421052631578945</v>
      </c>
    </row>
    <row r="412" spans="1:40" s="32" customFormat="1" x14ac:dyDescent="0.25">
      <c r="A412" s="11" t="s">
        <v>32</v>
      </c>
      <c r="B412" s="32">
        <v>0.155</v>
      </c>
      <c r="C412" s="32" t="s">
        <v>320</v>
      </c>
      <c r="D412" s="32">
        <v>22.687999999999999</v>
      </c>
      <c r="E412" s="32">
        <v>0.27400000000000002</v>
      </c>
      <c r="F412" s="32">
        <v>6.2E-2</v>
      </c>
      <c r="G412" s="32">
        <v>0</v>
      </c>
      <c r="H412" s="32">
        <v>0.85899999999999999</v>
      </c>
      <c r="I412" s="32">
        <v>0</v>
      </c>
      <c r="J412" s="32">
        <v>5.6719999999999997</v>
      </c>
      <c r="K412" s="32">
        <v>0.746</v>
      </c>
      <c r="L412" s="32">
        <v>52.265999999999998</v>
      </c>
      <c r="M412" s="32">
        <v>18.661000000000001</v>
      </c>
      <c r="N412" s="32" t="s">
        <v>320</v>
      </c>
      <c r="O412" s="32">
        <v>101.383</v>
      </c>
      <c r="Q412" s="34">
        <f t="shared" si="101"/>
        <v>0.31579093882664067</v>
      </c>
      <c r="R412" s="34">
        <f t="shared" si="102"/>
        <v>0.46299466567423403</v>
      </c>
      <c r="S412" s="34">
        <f t="shared" si="103"/>
        <v>0.1011448339812404</v>
      </c>
      <c r="T412" s="34">
        <f t="shared" si="104"/>
        <v>59.450850529134811</v>
      </c>
      <c r="U412" s="34">
        <f t="shared" si="105"/>
        <v>35.888170816250174</v>
      </c>
      <c r="V412" s="34">
        <f t="shared" si="106"/>
        <v>11.494639753082732</v>
      </c>
      <c r="W412" s="34">
        <f t="shared" si="107"/>
        <v>52.617189430667089</v>
      </c>
      <c r="X412" s="34"/>
      <c r="Y412" s="32">
        <v>1.7500000000000002E-2</v>
      </c>
      <c r="Z412" s="32" t="s">
        <v>320</v>
      </c>
      <c r="AA412" s="32">
        <v>2.8431000000000002</v>
      </c>
      <c r="AB412" s="32">
        <v>3.2500000000000001E-2</v>
      </c>
      <c r="AC412" s="32">
        <v>1.7899999999999999E-2</v>
      </c>
      <c r="AD412" s="32">
        <v>0</v>
      </c>
      <c r="AE412" s="32">
        <v>0.15179999999999999</v>
      </c>
      <c r="AF412" s="32">
        <v>0</v>
      </c>
      <c r="AG412" s="32">
        <v>0.91069999999999995</v>
      </c>
      <c r="AH412" s="32">
        <v>9.4700000000000006E-2</v>
      </c>
      <c r="AI412" s="32">
        <v>7.8314000000000004</v>
      </c>
      <c r="AJ412" s="32">
        <v>4.1683000000000003</v>
      </c>
      <c r="AK412" s="32" t="s">
        <v>320</v>
      </c>
      <c r="AL412" s="32">
        <v>16.067900000000002</v>
      </c>
      <c r="AM412" s="11">
        <f t="shared" si="108"/>
        <v>7.9832000000000001</v>
      </c>
      <c r="AN412" s="34">
        <f t="shared" si="109"/>
        <v>8.6742857142857126</v>
      </c>
    </row>
    <row r="413" spans="1:40" s="32" customFormat="1" x14ac:dyDescent="0.25">
      <c r="A413" s="11" t="s">
        <v>194</v>
      </c>
      <c r="B413" s="32">
        <v>0.16600000000000001</v>
      </c>
      <c r="C413" s="32" t="s">
        <v>320</v>
      </c>
      <c r="D413" s="32">
        <v>22.614000000000001</v>
      </c>
      <c r="E413" s="32">
        <v>0.28000000000000003</v>
      </c>
      <c r="F413" s="32">
        <v>0.08</v>
      </c>
      <c r="G413" s="32">
        <v>2.3E-2</v>
      </c>
      <c r="H413" s="32">
        <v>0.90500000000000003</v>
      </c>
      <c r="I413" s="32">
        <v>0</v>
      </c>
      <c r="J413" s="32">
        <v>6.0979999999999999</v>
      </c>
      <c r="K413" s="32">
        <v>0.72399999999999998</v>
      </c>
      <c r="L413" s="32">
        <v>52.097999999999999</v>
      </c>
      <c r="M413" s="32">
        <v>18.422000000000001</v>
      </c>
      <c r="N413" s="32" t="s">
        <v>320</v>
      </c>
      <c r="O413" s="32">
        <v>101.41</v>
      </c>
      <c r="Q413" s="34">
        <f t="shared" si="101"/>
        <v>0.31476094369823926</v>
      </c>
      <c r="R413" s="34">
        <f t="shared" si="102"/>
        <v>0.45706488028780551</v>
      </c>
      <c r="S413" s="34">
        <f t="shared" si="103"/>
        <v>0.10874139591283569</v>
      </c>
      <c r="T413" s="34">
        <f t="shared" si="104"/>
        <v>59.218656085815248</v>
      </c>
      <c r="U413" s="34">
        <f t="shared" si="105"/>
        <v>35.745248810690988</v>
      </c>
      <c r="V413" s="34">
        <f t="shared" si="106"/>
        <v>12.349017026243942</v>
      </c>
      <c r="W413" s="34">
        <f t="shared" si="107"/>
        <v>51.905734163065077</v>
      </c>
      <c r="X413" s="34"/>
      <c r="Y413" s="32">
        <v>1.8800000000000001E-2</v>
      </c>
      <c r="Z413" s="32" t="s">
        <v>320</v>
      </c>
      <c r="AA413" s="32">
        <v>2.8363999999999998</v>
      </c>
      <c r="AB413" s="32">
        <v>3.32E-2</v>
      </c>
      <c r="AC413" s="32">
        <v>2.3199999999999998E-2</v>
      </c>
      <c r="AD413" s="32">
        <v>2.8999999999999998E-3</v>
      </c>
      <c r="AE413" s="32">
        <v>0.16</v>
      </c>
      <c r="AF413" s="32">
        <v>0</v>
      </c>
      <c r="AG413" s="32">
        <v>0.98</v>
      </c>
      <c r="AH413" s="32">
        <v>9.1999999999999998E-2</v>
      </c>
      <c r="AI413" s="32">
        <v>7.8133999999999997</v>
      </c>
      <c r="AJ413" s="32">
        <v>4.1185</v>
      </c>
      <c r="AK413" s="32" t="s">
        <v>320</v>
      </c>
      <c r="AL413" s="32">
        <v>16.078399999999998</v>
      </c>
      <c r="AM413" s="11">
        <f t="shared" si="108"/>
        <v>7.9733999999999998</v>
      </c>
      <c r="AN413" s="34">
        <f t="shared" si="109"/>
        <v>8.5106382978723403</v>
      </c>
    </row>
    <row r="414" spans="1:40" s="32" customFormat="1" x14ac:dyDescent="0.25">
      <c r="A414" s="11" t="s">
        <v>248</v>
      </c>
      <c r="B414" s="32">
        <v>0.15</v>
      </c>
      <c r="C414" s="32" t="s">
        <v>320</v>
      </c>
      <c r="D414" s="32">
        <v>22.469000000000001</v>
      </c>
      <c r="E414" s="32">
        <v>0.27100000000000002</v>
      </c>
      <c r="F414" s="32">
        <v>7.0000000000000007E-2</v>
      </c>
      <c r="G414" s="32">
        <v>0</v>
      </c>
      <c r="H414" s="32">
        <v>0.87</v>
      </c>
      <c r="I414" s="32">
        <v>0</v>
      </c>
      <c r="J414" s="32">
        <v>6.016</v>
      </c>
      <c r="K414" s="32">
        <v>0.71599999999999997</v>
      </c>
      <c r="L414" s="32">
        <v>52.363</v>
      </c>
      <c r="M414" s="32">
        <v>18.231000000000002</v>
      </c>
      <c r="N414" s="32" t="s">
        <v>320</v>
      </c>
      <c r="O414" s="32">
        <v>101.15600000000001</v>
      </c>
      <c r="Q414" s="34">
        <f t="shared" si="101"/>
        <v>0.31274271000069598</v>
      </c>
      <c r="R414" s="34">
        <f t="shared" si="102"/>
        <v>0.45232601414216606</v>
      </c>
      <c r="S414" s="34">
        <f t="shared" si="103"/>
        <v>0.10727914690252861</v>
      </c>
      <c r="T414" s="34">
        <f t="shared" si="104"/>
        <v>59.122272270236323</v>
      </c>
      <c r="U414" s="34">
        <f t="shared" si="105"/>
        <v>35.850687596212765</v>
      </c>
      <c r="V414" s="34">
        <f t="shared" si="106"/>
        <v>12.297748462888906</v>
      </c>
      <c r="W414" s="34">
        <f t="shared" si="107"/>
        <v>51.851563940898338</v>
      </c>
      <c r="X414" s="34"/>
      <c r="Y414" s="32">
        <v>1.7000000000000001E-2</v>
      </c>
      <c r="Z414" s="32" t="s">
        <v>320</v>
      </c>
      <c r="AA414" s="32">
        <v>2.8203999999999998</v>
      </c>
      <c r="AB414" s="32">
        <v>3.2199999999999999E-2</v>
      </c>
      <c r="AC414" s="32">
        <v>2.0500000000000001E-2</v>
      </c>
      <c r="AD414" s="32">
        <v>0</v>
      </c>
      <c r="AE414" s="32">
        <v>0.15390000000000001</v>
      </c>
      <c r="AF414" s="32">
        <v>0</v>
      </c>
      <c r="AG414" s="32">
        <v>0.96750000000000003</v>
      </c>
      <c r="AH414" s="32">
        <v>9.0999999999999998E-2</v>
      </c>
      <c r="AI414" s="32">
        <v>7.8593000000000002</v>
      </c>
      <c r="AJ414" s="32">
        <v>4.0791000000000004</v>
      </c>
      <c r="AK414" s="32" t="s">
        <v>320</v>
      </c>
      <c r="AL414" s="32">
        <v>16.040900000000001</v>
      </c>
      <c r="AM414" s="11">
        <f t="shared" si="108"/>
        <v>8.0131999999999994</v>
      </c>
      <c r="AN414" s="34">
        <f t="shared" si="109"/>
        <v>9.052941176470588</v>
      </c>
    </row>
    <row r="415" spans="1:40" s="32" customFormat="1" x14ac:dyDescent="0.25">
      <c r="A415" s="11" t="s">
        <v>43</v>
      </c>
      <c r="B415" s="32">
        <v>0.115</v>
      </c>
      <c r="C415" s="32" t="s">
        <v>320</v>
      </c>
      <c r="D415" s="32">
        <v>22.684000000000001</v>
      </c>
      <c r="E415" s="32">
        <v>0.25900000000000001</v>
      </c>
      <c r="F415" s="32">
        <v>7.6999999999999999E-2</v>
      </c>
      <c r="G415" s="32">
        <v>2E-3</v>
      </c>
      <c r="H415" s="32">
        <v>0.91100000000000003</v>
      </c>
      <c r="I415" s="32">
        <v>2E-3</v>
      </c>
      <c r="J415" s="32">
        <v>5.9130000000000003</v>
      </c>
      <c r="K415" s="32">
        <v>0.72399999999999998</v>
      </c>
      <c r="L415" s="32">
        <v>51.948999999999998</v>
      </c>
      <c r="M415" s="32">
        <v>18.295999999999999</v>
      </c>
      <c r="N415" s="32" t="s">
        <v>320</v>
      </c>
      <c r="O415" s="32">
        <v>100.932</v>
      </c>
      <c r="Q415" s="34">
        <f t="shared" si="101"/>
        <v>0.3157352634142947</v>
      </c>
      <c r="R415" s="34">
        <f t="shared" si="102"/>
        <v>0.45393871728073437</v>
      </c>
      <c r="S415" s="34">
        <f t="shared" si="103"/>
        <v>0.1054424194871429</v>
      </c>
      <c r="T415" s="34">
        <f t="shared" si="104"/>
        <v>58.97805157331937</v>
      </c>
      <c r="U415" s="34">
        <f t="shared" si="105"/>
        <v>36.079230528483805</v>
      </c>
      <c r="V415" s="34">
        <f t="shared" si="106"/>
        <v>12.048959368741469</v>
      </c>
      <c r="W415" s="34">
        <f t="shared" si="107"/>
        <v>51.871810102774731</v>
      </c>
      <c r="X415" s="34"/>
      <c r="Y415" s="32">
        <v>1.2999999999999999E-2</v>
      </c>
      <c r="Z415" s="32" t="s">
        <v>320</v>
      </c>
      <c r="AA415" s="32">
        <v>2.8588</v>
      </c>
      <c r="AB415" s="32">
        <v>3.09E-2</v>
      </c>
      <c r="AC415" s="32">
        <v>2.2499999999999999E-2</v>
      </c>
      <c r="AD415" s="32">
        <v>2.0000000000000001E-4</v>
      </c>
      <c r="AE415" s="32">
        <v>0.1618</v>
      </c>
      <c r="AF415" s="32">
        <v>2.9999999999999997E-4</v>
      </c>
      <c r="AG415" s="32">
        <v>0.95479999999999998</v>
      </c>
      <c r="AH415" s="32">
        <v>9.2499999999999999E-2</v>
      </c>
      <c r="AI415" s="32">
        <v>7.8285</v>
      </c>
      <c r="AJ415" s="32">
        <v>4.1098999999999997</v>
      </c>
      <c r="AK415" s="32" t="s">
        <v>320</v>
      </c>
      <c r="AL415" s="32">
        <v>16.0732</v>
      </c>
      <c r="AM415" s="11">
        <f t="shared" si="108"/>
        <v>7.9903000000000004</v>
      </c>
      <c r="AN415" s="34">
        <f t="shared" si="109"/>
        <v>12.446153846153846</v>
      </c>
    </row>
    <row r="416" spans="1:40" s="32" customFormat="1" x14ac:dyDescent="0.25">
      <c r="A416" s="11" t="s">
        <v>250</v>
      </c>
      <c r="B416" s="32">
        <v>0.23100000000000001</v>
      </c>
      <c r="C416" s="32" t="s">
        <v>320</v>
      </c>
      <c r="D416" s="32">
        <v>23.265000000000001</v>
      </c>
      <c r="E416" s="32">
        <v>0.32100000000000001</v>
      </c>
      <c r="F416" s="32">
        <v>5.1999999999999998E-2</v>
      </c>
      <c r="G416" s="32">
        <v>0</v>
      </c>
      <c r="H416" s="32">
        <v>0.79800000000000004</v>
      </c>
      <c r="I416" s="32">
        <v>6.0000000000000001E-3</v>
      </c>
      <c r="J416" s="32">
        <v>5.0629999999999997</v>
      </c>
      <c r="K416" s="32">
        <v>0.74299999999999999</v>
      </c>
      <c r="L416" s="32">
        <v>52.182000000000002</v>
      </c>
      <c r="M416" s="32">
        <v>18.678000000000001</v>
      </c>
      <c r="N416" s="32" t="s">
        <v>320</v>
      </c>
      <c r="O416" s="32">
        <v>101.339</v>
      </c>
      <c r="Q416" s="34">
        <f t="shared" si="101"/>
        <v>0.32382211705755448</v>
      </c>
      <c r="R416" s="34">
        <f t="shared" si="102"/>
        <v>0.46341644957201344</v>
      </c>
      <c r="S416" s="34">
        <f t="shared" si="103"/>
        <v>9.0284960233959835E-2</v>
      </c>
      <c r="T416" s="34">
        <f t="shared" si="104"/>
        <v>58.866075573006363</v>
      </c>
      <c r="U416" s="34">
        <f t="shared" si="105"/>
        <v>36.901815979221631</v>
      </c>
      <c r="V416" s="34">
        <f t="shared" si="106"/>
        <v>10.288608506789464</v>
      </c>
      <c r="W416" s="34">
        <f t="shared" si="107"/>
        <v>52.809575513988918</v>
      </c>
      <c r="X416" s="34"/>
      <c r="Y416" s="32">
        <v>2.6100000000000002E-2</v>
      </c>
      <c r="Z416" s="32" t="s">
        <v>320</v>
      </c>
      <c r="AA416" s="32">
        <v>2.9201999999999999</v>
      </c>
      <c r="AB416" s="32">
        <v>3.8100000000000002E-2</v>
      </c>
      <c r="AC416" s="32">
        <v>1.52E-2</v>
      </c>
      <c r="AD416" s="32">
        <v>0</v>
      </c>
      <c r="AE416" s="32">
        <v>0.1411</v>
      </c>
      <c r="AF416" s="32">
        <v>1.1999999999999999E-3</v>
      </c>
      <c r="AG416" s="32">
        <v>0.81410000000000005</v>
      </c>
      <c r="AH416" s="32">
        <v>9.4399999999999998E-2</v>
      </c>
      <c r="AI416" s="32">
        <v>7.8315999999999999</v>
      </c>
      <c r="AJ416" s="32">
        <v>4.1787999999999998</v>
      </c>
      <c r="AK416" s="32" t="s">
        <v>320</v>
      </c>
      <c r="AL416" s="32">
        <v>16.0608</v>
      </c>
      <c r="AM416" s="11">
        <f t="shared" si="108"/>
        <v>7.9726999999999997</v>
      </c>
      <c r="AN416" s="34">
        <f t="shared" si="109"/>
        <v>5.4061302681992336</v>
      </c>
    </row>
    <row r="417" spans="1:40" s="32" customFormat="1" x14ac:dyDescent="0.25">
      <c r="A417" s="11" t="s">
        <v>689</v>
      </c>
      <c r="B417" s="32">
        <v>0.185</v>
      </c>
      <c r="C417" s="32" t="s">
        <v>320</v>
      </c>
      <c r="D417" s="32">
        <v>23.405999999999999</v>
      </c>
      <c r="E417" s="32">
        <v>0.26500000000000001</v>
      </c>
      <c r="F417" s="32">
        <v>9.1999999999999998E-2</v>
      </c>
      <c r="G417" s="32">
        <v>0</v>
      </c>
      <c r="H417" s="32">
        <v>0.83099999999999996</v>
      </c>
      <c r="I417" s="32">
        <v>0</v>
      </c>
      <c r="J417" s="32">
        <v>5.3630000000000004</v>
      </c>
      <c r="K417" s="32">
        <v>0.65</v>
      </c>
      <c r="L417" s="32">
        <v>52.094000000000001</v>
      </c>
      <c r="M417" s="32">
        <v>18.562000000000001</v>
      </c>
      <c r="N417" s="32" t="s">
        <v>320</v>
      </c>
      <c r="O417" s="32">
        <v>101.44799999999999</v>
      </c>
      <c r="Q417" s="34">
        <f t="shared" si="101"/>
        <v>0.32578467534275174</v>
      </c>
      <c r="R417" s="34">
        <f t="shared" si="102"/>
        <v>0.46053839474010672</v>
      </c>
      <c r="S417" s="34">
        <f t="shared" si="103"/>
        <v>9.5634651735083273E-2</v>
      </c>
      <c r="T417" s="34">
        <f t="shared" si="104"/>
        <v>58.568597598386333</v>
      </c>
      <c r="U417" s="34">
        <f t="shared" si="105"/>
        <v>36.93880866207801</v>
      </c>
      <c r="V417" s="34">
        <f t="shared" si="106"/>
        <v>10.843450810539496</v>
      </c>
      <c r="W417" s="34">
        <f t="shared" si="107"/>
        <v>52.217740527382496</v>
      </c>
      <c r="X417" s="34"/>
      <c r="Y417" s="32">
        <v>2.0899999999999998E-2</v>
      </c>
      <c r="Z417" s="32" t="s">
        <v>320</v>
      </c>
      <c r="AA417" s="32">
        <v>2.9384999999999999</v>
      </c>
      <c r="AB417" s="32">
        <v>3.1399999999999997E-2</v>
      </c>
      <c r="AC417" s="32">
        <v>2.6700000000000002E-2</v>
      </c>
      <c r="AD417" s="32">
        <v>0</v>
      </c>
      <c r="AE417" s="32">
        <v>0.14710000000000001</v>
      </c>
      <c r="AF417" s="32">
        <v>0</v>
      </c>
      <c r="AG417" s="32">
        <v>0.86270000000000002</v>
      </c>
      <c r="AH417" s="32">
        <v>8.2699999999999996E-2</v>
      </c>
      <c r="AI417" s="32">
        <v>7.8198999999999996</v>
      </c>
      <c r="AJ417" s="32">
        <v>4.1535000000000002</v>
      </c>
      <c r="AK417" s="32" t="s">
        <v>320</v>
      </c>
      <c r="AL417" s="32">
        <v>16.083400000000001</v>
      </c>
      <c r="AM417" s="11">
        <f t="shared" si="108"/>
        <v>7.9669999999999996</v>
      </c>
      <c r="AN417" s="34">
        <f t="shared" si="109"/>
        <v>7.0382775119617236</v>
      </c>
    </row>
    <row r="418" spans="1:40" s="32" customFormat="1" x14ac:dyDescent="0.25">
      <c r="A418" s="11" t="s">
        <v>249</v>
      </c>
      <c r="B418" s="32">
        <v>0.151</v>
      </c>
      <c r="C418" s="32" t="s">
        <v>320</v>
      </c>
      <c r="D418" s="32">
        <v>22.106999999999999</v>
      </c>
      <c r="E418" s="32">
        <v>0.34100000000000003</v>
      </c>
      <c r="F418" s="32">
        <v>0.125</v>
      </c>
      <c r="G418" s="32">
        <v>4.1000000000000002E-2</v>
      </c>
      <c r="H418" s="32">
        <v>0.86</v>
      </c>
      <c r="I418" s="32">
        <v>0</v>
      </c>
      <c r="J418" s="32">
        <v>7.4829999999999997</v>
      </c>
      <c r="K418" s="32">
        <v>0.68899999999999995</v>
      </c>
      <c r="L418" s="32">
        <v>52.091999999999999</v>
      </c>
      <c r="M418" s="32">
        <v>17.317</v>
      </c>
      <c r="N418" s="32" t="s">
        <v>320</v>
      </c>
      <c r="O418" s="32">
        <v>101.206</v>
      </c>
      <c r="Q418" s="34">
        <f t="shared" si="101"/>
        <v>0.30770408518338088</v>
      </c>
      <c r="R418" s="34">
        <f t="shared" si="102"/>
        <v>0.42964892693214241</v>
      </c>
      <c r="S418" s="34">
        <f t="shared" si="103"/>
        <v>0.13343913834302221</v>
      </c>
      <c r="T418" s="34">
        <f t="shared" si="104"/>
        <v>58.269094975206805</v>
      </c>
      <c r="U418" s="34">
        <f t="shared" si="105"/>
        <v>35.336111495877489</v>
      </c>
      <c r="V418" s="34">
        <f t="shared" si="106"/>
        <v>15.323879329040258</v>
      </c>
      <c r="W418" s="34">
        <f t="shared" si="107"/>
        <v>49.340009175082251</v>
      </c>
      <c r="X418" s="34"/>
      <c r="Y418" s="32">
        <v>1.7000000000000001E-2</v>
      </c>
      <c r="Z418" s="32" t="s">
        <v>320</v>
      </c>
      <c r="AA418" s="32">
        <v>2.7829000000000002</v>
      </c>
      <c r="AB418" s="32">
        <v>4.0599999999999997E-2</v>
      </c>
      <c r="AC418" s="32">
        <v>3.6299999999999999E-2</v>
      </c>
      <c r="AD418" s="32">
        <v>5.1999999999999998E-3</v>
      </c>
      <c r="AE418" s="32">
        <v>0.1525</v>
      </c>
      <c r="AF418" s="32">
        <v>0</v>
      </c>
      <c r="AG418" s="32">
        <v>1.2069000000000001</v>
      </c>
      <c r="AH418" s="32">
        <v>8.7900000000000006E-2</v>
      </c>
      <c r="AI418" s="32">
        <v>7.8410000000000002</v>
      </c>
      <c r="AJ418" s="32">
        <v>3.8856000000000002</v>
      </c>
      <c r="AK418" s="32" t="s">
        <v>320</v>
      </c>
      <c r="AL418" s="32">
        <v>16.055900000000001</v>
      </c>
      <c r="AM418" s="11">
        <f t="shared" si="108"/>
        <v>7.9935</v>
      </c>
      <c r="AN418" s="34">
        <f t="shared" si="109"/>
        <v>8.970588235294116</v>
      </c>
    </row>
    <row r="419" spans="1:40" s="32" customFormat="1" x14ac:dyDescent="0.25">
      <c r="A419" s="11" t="s">
        <v>261</v>
      </c>
      <c r="B419" s="32">
        <v>0.161</v>
      </c>
      <c r="C419" s="32" t="s">
        <v>320</v>
      </c>
      <c r="D419" s="32">
        <v>23.145</v>
      </c>
      <c r="E419" s="32">
        <v>0.254</v>
      </c>
      <c r="F419" s="32">
        <v>5.2999999999999999E-2</v>
      </c>
      <c r="G419" s="32">
        <v>0</v>
      </c>
      <c r="H419" s="32">
        <v>0.86199999999999999</v>
      </c>
      <c r="I419" s="32">
        <v>0</v>
      </c>
      <c r="J419" s="32">
        <v>6.367</v>
      </c>
      <c r="K419" s="32">
        <v>0.70199999999999996</v>
      </c>
      <c r="L419" s="32">
        <v>51.933</v>
      </c>
      <c r="M419" s="32">
        <v>17.667000000000002</v>
      </c>
      <c r="N419" s="32" t="s">
        <v>320</v>
      </c>
      <c r="O419" s="32">
        <v>101.14400000000001</v>
      </c>
      <c r="Q419" s="34">
        <f t="shared" si="101"/>
        <v>0.32215185468717378</v>
      </c>
      <c r="R419" s="34">
        <f t="shared" si="102"/>
        <v>0.43833271306289545</v>
      </c>
      <c r="S419" s="34">
        <f t="shared" si="103"/>
        <v>0.11353828595884304</v>
      </c>
      <c r="T419" s="34">
        <f t="shared" si="104"/>
        <v>57.638607231666015</v>
      </c>
      <c r="U419" s="34">
        <f t="shared" si="105"/>
        <v>36.858516149792166</v>
      </c>
      <c r="V419" s="34">
        <f t="shared" si="106"/>
        <v>12.990310891419348</v>
      </c>
      <c r="W419" s="34">
        <f t="shared" si="107"/>
        <v>50.151172958788479</v>
      </c>
      <c r="X419" s="34"/>
      <c r="Y419" s="32">
        <v>1.8200000000000001E-2</v>
      </c>
      <c r="Z419" s="32" t="s">
        <v>320</v>
      </c>
      <c r="AA419" s="32">
        <v>2.9201000000000001</v>
      </c>
      <c r="AB419" s="32">
        <v>3.0300000000000001E-2</v>
      </c>
      <c r="AC419" s="32">
        <v>1.5599999999999999E-2</v>
      </c>
      <c r="AD419" s="32">
        <v>0</v>
      </c>
      <c r="AE419" s="32">
        <v>0.1532</v>
      </c>
      <c r="AF419" s="32">
        <v>0</v>
      </c>
      <c r="AG419" s="32">
        <v>1.0291999999999999</v>
      </c>
      <c r="AH419" s="32">
        <v>8.9700000000000002E-2</v>
      </c>
      <c r="AI419" s="32">
        <v>7.8342999999999998</v>
      </c>
      <c r="AJ419" s="32">
        <v>3.9727999999999999</v>
      </c>
      <c r="AK419" s="32" t="s">
        <v>320</v>
      </c>
      <c r="AL419" s="32">
        <v>16.063400000000001</v>
      </c>
      <c r="AM419" s="11">
        <f t="shared" si="108"/>
        <v>7.9874999999999998</v>
      </c>
      <c r="AN419" s="34">
        <f t="shared" si="109"/>
        <v>8.4175824175824179</v>
      </c>
    </row>
    <row r="420" spans="1:40" s="32" customFormat="1" x14ac:dyDescent="0.25">
      <c r="A420" s="11" t="s">
        <v>69</v>
      </c>
      <c r="B420" s="32">
        <v>0.159</v>
      </c>
      <c r="C420" s="32" t="s">
        <v>320</v>
      </c>
      <c r="D420" s="32">
        <v>23.713000000000001</v>
      </c>
      <c r="E420" s="32">
        <v>0.216</v>
      </c>
      <c r="F420" s="32">
        <v>5.7000000000000002E-2</v>
      </c>
      <c r="G420" s="32">
        <v>0</v>
      </c>
      <c r="H420" s="32">
        <v>0.84199999999999997</v>
      </c>
      <c r="I420" s="32">
        <v>0</v>
      </c>
      <c r="J420" s="32">
        <v>5.3959999999999999</v>
      </c>
      <c r="K420" s="32">
        <v>0.69299999999999995</v>
      </c>
      <c r="L420" s="32">
        <v>51.956000000000003</v>
      </c>
      <c r="M420" s="32">
        <v>18.082999999999998</v>
      </c>
      <c r="N420" s="32" t="s">
        <v>320</v>
      </c>
      <c r="O420" s="32">
        <v>101.11499999999999</v>
      </c>
      <c r="Q420" s="34">
        <f t="shared" si="101"/>
        <v>0.330057763240309</v>
      </c>
      <c r="R420" s="34">
        <f t="shared" si="102"/>
        <v>0.44865401314973324</v>
      </c>
      <c r="S420" s="34">
        <f t="shared" si="103"/>
        <v>9.6223117800206842E-2</v>
      </c>
      <c r="T420" s="34">
        <f t="shared" si="104"/>
        <v>57.614900243271883</v>
      </c>
      <c r="U420" s="34">
        <f t="shared" si="105"/>
        <v>37.723694120781062</v>
      </c>
      <c r="V420" s="34">
        <f t="shared" si="106"/>
        <v>10.997746053923382</v>
      </c>
      <c r="W420" s="34">
        <f t="shared" si="107"/>
        <v>51.278559825295552</v>
      </c>
      <c r="X420" s="34"/>
      <c r="Y420" s="32">
        <v>1.7999999999999999E-2</v>
      </c>
      <c r="Z420" s="32" t="s">
        <v>320</v>
      </c>
      <c r="AA420" s="32">
        <v>2.9914000000000001</v>
      </c>
      <c r="AB420" s="32">
        <v>2.58E-2</v>
      </c>
      <c r="AC420" s="32">
        <v>1.66E-2</v>
      </c>
      <c r="AD420" s="32">
        <v>0</v>
      </c>
      <c r="AE420" s="32">
        <v>0.14979999999999999</v>
      </c>
      <c r="AF420" s="32">
        <v>0</v>
      </c>
      <c r="AG420" s="32">
        <v>0.87209999999999999</v>
      </c>
      <c r="AH420" s="32">
        <v>8.8499999999999995E-2</v>
      </c>
      <c r="AI420" s="32">
        <v>7.8371000000000004</v>
      </c>
      <c r="AJ420" s="32">
        <v>4.0660999999999996</v>
      </c>
      <c r="AK420" s="32" t="s">
        <v>320</v>
      </c>
      <c r="AL420" s="32">
        <v>16.0654</v>
      </c>
      <c r="AM420" s="11">
        <f t="shared" si="108"/>
        <v>7.9869000000000003</v>
      </c>
      <c r="AN420" s="34">
        <f t="shared" si="109"/>
        <v>8.3222222222222229</v>
      </c>
    </row>
    <row r="421" spans="1:40" s="32" customFormat="1" x14ac:dyDescent="0.25">
      <c r="A421" s="11" t="s">
        <v>690</v>
      </c>
      <c r="B421" s="32">
        <v>0.17399999999999999</v>
      </c>
      <c r="C421" s="32" t="s">
        <v>320</v>
      </c>
      <c r="D421" s="32">
        <v>23.632000000000001</v>
      </c>
      <c r="E421" s="32">
        <v>0.27400000000000002</v>
      </c>
      <c r="F421" s="32">
        <v>0.08</v>
      </c>
      <c r="G421" s="32">
        <v>0</v>
      </c>
      <c r="H421" s="32">
        <v>0.84799999999999998</v>
      </c>
      <c r="I421" s="32">
        <v>0</v>
      </c>
      <c r="J421" s="32">
        <v>5.7839999999999998</v>
      </c>
      <c r="K421" s="32">
        <v>0.68300000000000005</v>
      </c>
      <c r="L421" s="32">
        <v>51.805999999999997</v>
      </c>
      <c r="M421" s="32">
        <v>17.853000000000002</v>
      </c>
      <c r="N421" s="32" t="s">
        <v>320</v>
      </c>
      <c r="O421" s="32">
        <v>101.134</v>
      </c>
      <c r="Q421" s="34">
        <f t="shared" si="101"/>
        <v>0.32893033614030204</v>
      </c>
      <c r="R421" s="34">
        <f t="shared" si="102"/>
        <v>0.44294752512095276</v>
      </c>
      <c r="S421" s="34">
        <f t="shared" si="103"/>
        <v>0.10314205214165982</v>
      </c>
      <c r="T421" s="34">
        <f t="shared" si="104"/>
        <v>57.385701462815994</v>
      </c>
      <c r="U421" s="34">
        <f t="shared" si="105"/>
        <v>37.591182909324452</v>
      </c>
      <c r="V421" s="34">
        <f t="shared" si="106"/>
        <v>11.787394842312198</v>
      </c>
      <c r="W421" s="34">
        <f t="shared" si="107"/>
        <v>50.621422248363345</v>
      </c>
      <c r="X421" s="34"/>
      <c r="Y421" s="32">
        <v>1.9699999999999999E-2</v>
      </c>
      <c r="Z421" s="32" t="s">
        <v>320</v>
      </c>
      <c r="AA421" s="32">
        <v>2.9845999999999999</v>
      </c>
      <c r="AB421" s="32">
        <v>3.27E-2</v>
      </c>
      <c r="AC421" s="32">
        <v>2.35E-2</v>
      </c>
      <c r="AD421" s="32">
        <v>0</v>
      </c>
      <c r="AE421" s="32">
        <v>0.151</v>
      </c>
      <c r="AF421" s="32">
        <v>0</v>
      </c>
      <c r="AG421" s="32">
        <v>0.93589999999999995</v>
      </c>
      <c r="AH421" s="32">
        <v>8.7300000000000003E-2</v>
      </c>
      <c r="AI421" s="32">
        <v>7.8232999999999997</v>
      </c>
      <c r="AJ421" s="32">
        <v>4.0190000000000001</v>
      </c>
      <c r="AK421" s="32" t="s">
        <v>320</v>
      </c>
      <c r="AL421" s="32">
        <v>16.077000000000002</v>
      </c>
      <c r="AM421" s="11">
        <f t="shared" si="108"/>
        <v>7.9742999999999995</v>
      </c>
      <c r="AN421" s="34">
        <f t="shared" si="109"/>
        <v>7.6649746192893407</v>
      </c>
    </row>
    <row r="422" spans="1:40" s="32" customFormat="1" x14ac:dyDescent="0.25">
      <c r="A422" s="11" t="s">
        <v>225</v>
      </c>
      <c r="B422" s="32">
        <v>0.13200000000000001</v>
      </c>
      <c r="C422" s="32" t="s">
        <v>320</v>
      </c>
      <c r="D422" s="32">
        <v>24.07</v>
      </c>
      <c r="E422" s="32">
        <v>0.248</v>
      </c>
      <c r="F422" s="32">
        <v>6.8000000000000005E-2</v>
      </c>
      <c r="G422" s="32">
        <v>0</v>
      </c>
      <c r="H422" s="32">
        <v>0.85199999999999998</v>
      </c>
      <c r="I422" s="32">
        <v>0</v>
      </c>
      <c r="J422" s="32">
        <v>5.202</v>
      </c>
      <c r="K422" s="32">
        <v>0.74199999999999999</v>
      </c>
      <c r="L422" s="32">
        <v>51.902999999999999</v>
      </c>
      <c r="M422" s="32">
        <v>18.065999999999999</v>
      </c>
      <c r="N422" s="32" t="s">
        <v>320</v>
      </c>
      <c r="O422" s="32">
        <v>101.283</v>
      </c>
      <c r="Q422" s="34">
        <f t="shared" si="101"/>
        <v>0.33502679379219152</v>
      </c>
      <c r="R422" s="34">
        <f t="shared" si="102"/>
        <v>0.44823222925195383</v>
      </c>
      <c r="S422" s="34">
        <f t="shared" si="103"/>
        <v>9.276365062948036E-2</v>
      </c>
      <c r="T422" s="34">
        <f t="shared" si="104"/>
        <v>57.226564401376955</v>
      </c>
      <c r="U422" s="34">
        <f t="shared" si="105"/>
        <v>38.244077905797482</v>
      </c>
      <c r="V422" s="34">
        <f t="shared" si="106"/>
        <v>10.589183752570397</v>
      </c>
      <c r="W422" s="34">
        <f t="shared" si="107"/>
        <v>51.166738341632112</v>
      </c>
      <c r="X422" s="34"/>
      <c r="Y422" s="32">
        <v>1.4999999999999999E-2</v>
      </c>
      <c r="Z422" s="32" t="s">
        <v>320</v>
      </c>
      <c r="AA422" s="32">
        <v>3.0358999999999998</v>
      </c>
      <c r="AB422" s="32">
        <v>2.9600000000000001E-2</v>
      </c>
      <c r="AC422" s="32">
        <v>1.9900000000000001E-2</v>
      </c>
      <c r="AD422" s="32">
        <v>0</v>
      </c>
      <c r="AE422" s="32">
        <v>0.15140000000000001</v>
      </c>
      <c r="AF422" s="32">
        <v>0</v>
      </c>
      <c r="AG422" s="32">
        <v>0.8407</v>
      </c>
      <c r="AH422" s="32">
        <v>9.4799999999999995E-2</v>
      </c>
      <c r="AI422" s="32">
        <v>7.8277999999999999</v>
      </c>
      <c r="AJ422" s="32">
        <v>4.0614999999999997</v>
      </c>
      <c r="AK422" s="32" t="s">
        <v>320</v>
      </c>
      <c r="AL422" s="32">
        <v>16.076599999999999</v>
      </c>
      <c r="AM422" s="11">
        <f t="shared" si="108"/>
        <v>7.9791999999999996</v>
      </c>
      <c r="AN422" s="34">
        <f t="shared" si="109"/>
        <v>10.093333333333334</v>
      </c>
    </row>
    <row r="423" spans="1:40" s="32" customFormat="1" x14ac:dyDescent="0.25">
      <c r="A423" s="11" t="s">
        <v>210</v>
      </c>
      <c r="B423" s="32">
        <v>0.20300000000000001</v>
      </c>
      <c r="C423" s="32" t="s">
        <v>320</v>
      </c>
      <c r="D423" s="32">
        <v>23.9</v>
      </c>
      <c r="E423" s="32">
        <v>0.25900000000000001</v>
      </c>
      <c r="F423" s="32">
        <v>6.2E-2</v>
      </c>
      <c r="G423" s="32">
        <v>0</v>
      </c>
      <c r="H423" s="32">
        <v>0.83099999999999996</v>
      </c>
      <c r="I423" s="32">
        <v>5.0000000000000001E-3</v>
      </c>
      <c r="J423" s="32">
        <v>5.5019999999999998</v>
      </c>
      <c r="K423" s="32">
        <v>0.72399999999999998</v>
      </c>
      <c r="L423" s="32">
        <v>51.662999999999997</v>
      </c>
      <c r="M423" s="32">
        <v>17.744</v>
      </c>
      <c r="N423" s="32" t="s">
        <v>320</v>
      </c>
      <c r="O423" s="32">
        <v>100.893</v>
      </c>
      <c r="Q423" s="34">
        <f t="shared" ref="Q423:Q454" si="110">D423/(55.845+16)</f>
        <v>0.33266058876748555</v>
      </c>
      <c r="R423" s="34">
        <f t="shared" ref="R423:R454" si="111">M423/(24.305+16)</f>
        <v>0.44024314601166109</v>
      </c>
      <c r="S423" s="34">
        <f t="shared" ref="S423:S454" si="112">J423/(40.078+16)</f>
        <v>9.8113342130603798E-2</v>
      </c>
      <c r="T423" s="34">
        <f t="shared" ref="T423:T454" si="113">R423/(Q423+R423)*100</f>
        <v>56.9596349715477</v>
      </c>
      <c r="U423" s="34">
        <f t="shared" ref="U423:U454" si="114">Q423/(Q423+R423+S423)*100</f>
        <v>38.192200541890621</v>
      </c>
      <c r="V423" s="34">
        <f t="shared" ref="V423:V454" si="115">S423/(Q423+R423+S423)*100</f>
        <v>11.26422715828908</v>
      </c>
      <c r="W423" s="34">
        <f t="shared" ref="W423:W454" si="116">R423/(Q423+R423+S423)*100</f>
        <v>50.543572299820298</v>
      </c>
      <c r="X423" s="34"/>
      <c r="Y423" s="32">
        <v>2.3099999999999999E-2</v>
      </c>
      <c r="Z423" s="32" t="s">
        <v>320</v>
      </c>
      <c r="AA423" s="32">
        <v>3.0282</v>
      </c>
      <c r="AB423" s="32">
        <v>3.1E-2</v>
      </c>
      <c r="AC423" s="32">
        <v>1.8100000000000002E-2</v>
      </c>
      <c r="AD423" s="32">
        <v>0</v>
      </c>
      <c r="AE423" s="32">
        <v>0.1484</v>
      </c>
      <c r="AF423" s="32">
        <v>8.9999999999999998E-4</v>
      </c>
      <c r="AG423" s="32">
        <v>0.8931</v>
      </c>
      <c r="AH423" s="32">
        <v>9.2899999999999996E-2</v>
      </c>
      <c r="AI423" s="32">
        <v>7.8269000000000002</v>
      </c>
      <c r="AJ423" s="32">
        <v>4.0072999999999999</v>
      </c>
      <c r="AK423" s="32" t="s">
        <v>320</v>
      </c>
      <c r="AL423" s="32">
        <v>16.069900000000001</v>
      </c>
      <c r="AM423" s="11">
        <f t="shared" ref="AM423:AM454" si="117">AI423+AE423</f>
        <v>7.9752999999999998</v>
      </c>
      <c r="AN423" s="34">
        <f t="shared" ref="AN423:AN454" si="118">AE423/Y423</f>
        <v>6.4242424242424248</v>
      </c>
    </row>
    <row r="424" spans="1:40" s="32" customFormat="1" x14ac:dyDescent="0.25">
      <c r="A424" s="11" t="s">
        <v>27</v>
      </c>
      <c r="B424" s="32">
        <v>0.153</v>
      </c>
      <c r="C424" s="32" t="s">
        <v>320</v>
      </c>
      <c r="D424" s="32">
        <v>23.9</v>
      </c>
      <c r="E424" s="32">
        <v>0.23499999999999999</v>
      </c>
      <c r="F424" s="32">
        <v>7.4999999999999997E-2</v>
      </c>
      <c r="G424" s="32">
        <v>0</v>
      </c>
      <c r="H424" s="32">
        <v>0.85499999999999998</v>
      </c>
      <c r="I424" s="32">
        <v>0</v>
      </c>
      <c r="J424" s="32">
        <v>5.7080000000000002</v>
      </c>
      <c r="K424" s="32">
        <v>0.71599999999999997</v>
      </c>
      <c r="L424" s="32">
        <v>51.715000000000003</v>
      </c>
      <c r="M424" s="32">
        <v>17.719000000000001</v>
      </c>
      <c r="N424" s="32" t="s">
        <v>320</v>
      </c>
      <c r="O424" s="32">
        <v>101.07599999999999</v>
      </c>
      <c r="Q424" s="34">
        <f t="shared" si="110"/>
        <v>0.33266058876748555</v>
      </c>
      <c r="R424" s="34">
        <f t="shared" si="111"/>
        <v>0.43962287557375018</v>
      </c>
      <c r="S424" s="34">
        <f t="shared" si="112"/>
        <v>0.10178679696137523</v>
      </c>
      <c r="T424" s="34">
        <f t="shared" si="113"/>
        <v>56.925066490806216</v>
      </c>
      <c r="U424" s="34">
        <f t="shared" si="114"/>
        <v>38.05879269610746</v>
      </c>
      <c r="V424" s="34">
        <f t="shared" si="115"/>
        <v>11.645150449311044</v>
      </c>
      <c r="W424" s="34">
        <f t="shared" si="116"/>
        <v>50.296056854581487</v>
      </c>
      <c r="X424" s="34"/>
      <c r="Y424" s="32">
        <v>1.7399999999999999E-2</v>
      </c>
      <c r="Z424" s="32" t="s">
        <v>320</v>
      </c>
      <c r="AA424" s="32">
        <v>3.0238999999999998</v>
      </c>
      <c r="AB424" s="32">
        <v>2.81E-2</v>
      </c>
      <c r="AC424" s="32">
        <v>2.1899999999999999E-2</v>
      </c>
      <c r="AD424" s="32">
        <v>0</v>
      </c>
      <c r="AE424" s="32">
        <v>0.15240000000000001</v>
      </c>
      <c r="AF424" s="32">
        <v>0</v>
      </c>
      <c r="AG424" s="32">
        <v>0.92520000000000002</v>
      </c>
      <c r="AH424" s="32">
        <v>9.1700000000000004E-2</v>
      </c>
      <c r="AI424" s="32">
        <v>7.8234000000000004</v>
      </c>
      <c r="AJ424" s="32">
        <v>3.9958</v>
      </c>
      <c r="AK424" s="32" t="s">
        <v>320</v>
      </c>
      <c r="AL424" s="32">
        <v>16.079799999999999</v>
      </c>
      <c r="AM424" s="11">
        <f t="shared" si="117"/>
        <v>7.9758000000000004</v>
      </c>
      <c r="AN424" s="34">
        <f t="shared" si="118"/>
        <v>8.7586206896551726</v>
      </c>
    </row>
    <row r="425" spans="1:40" s="32" customFormat="1" x14ac:dyDescent="0.25">
      <c r="A425" s="11" t="s">
        <v>198</v>
      </c>
      <c r="B425" s="32">
        <v>0.156</v>
      </c>
      <c r="C425" s="32" t="s">
        <v>320</v>
      </c>
      <c r="D425" s="32">
        <v>24.161000000000001</v>
      </c>
      <c r="E425" s="32">
        <v>0.26400000000000001</v>
      </c>
      <c r="F425" s="32">
        <v>9.6000000000000002E-2</v>
      </c>
      <c r="G425" s="32">
        <v>0</v>
      </c>
      <c r="H425" s="32">
        <v>0.79</v>
      </c>
      <c r="I425" s="32">
        <v>0</v>
      </c>
      <c r="J425" s="32">
        <v>5.5890000000000004</v>
      </c>
      <c r="K425" s="32">
        <v>0.67700000000000005</v>
      </c>
      <c r="L425" s="32">
        <v>51.720999999999997</v>
      </c>
      <c r="M425" s="32">
        <v>17.535</v>
      </c>
      <c r="N425" s="32" t="s">
        <v>320</v>
      </c>
      <c r="O425" s="32">
        <v>100.989</v>
      </c>
      <c r="Q425" s="34">
        <f t="shared" si="110"/>
        <v>0.33629340942306357</v>
      </c>
      <c r="R425" s="34">
        <f t="shared" si="111"/>
        <v>0.43505768515072574</v>
      </c>
      <c r="S425" s="34">
        <f t="shared" si="112"/>
        <v>9.9664752665929598E-2</v>
      </c>
      <c r="T425" s="34">
        <f t="shared" si="113"/>
        <v>56.402031216552196</v>
      </c>
      <c r="U425" s="34">
        <f t="shared" si="114"/>
        <v>38.609333055051721</v>
      </c>
      <c r="V425" s="34">
        <f t="shared" si="115"/>
        <v>11.442358136395663</v>
      </c>
      <c r="W425" s="34">
        <f t="shared" si="116"/>
        <v>49.948308808552618</v>
      </c>
      <c r="X425" s="34"/>
      <c r="Y425" s="32">
        <v>1.77E-2</v>
      </c>
      <c r="Z425" s="32" t="s">
        <v>320</v>
      </c>
      <c r="AA425" s="32">
        <v>3.0617999999999999</v>
      </c>
      <c r="AB425" s="32">
        <v>3.1600000000000003E-2</v>
      </c>
      <c r="AC425" s="32">
        <v>2.8299999999999999E-2</v>
      </c>
      <c r="AD425" s="32">
        <v>0</v>
      </c>
      <c r="AE425" s="32">
        <v>0.1411</v>
      </c>
      <c r="AF425" s="32">
        <v>0</v>
      </c>
      <c r="AG425" s="32">
        <v>0.90739999999999998</v>
      </c>
      <c r="AH425" s="32">
        <v>8.6999999999999994E-2</v>
      </c>
      <c r="AI425" s="32">
        <v>7.8371000000000004</v>
      </c>
      <c r="AJ425" s="32">
        <v>3.9607999999999999</v>
      </c>
      <c r="AK425" s="32" t="s">
        <v>320</v>
      </c>
      <c r="AL425" s="32">
        <v>16.072800000000001</v>
      </c>
      <c r="AM425" s="11">
        <f t="shared" si="117"/>
        <v>7.9782000000000002</v>
      </c>
      <c r="AN425" s="34">
        <f t="shared" si="118"/>
        <v>7.9717514124293789</v>
      </c>
    </row>
    <row r="426" spans="1:40" s="32" customFormat="1" x14ac:dyDescent="0.25">
      <c r="A426" s="11" t="s">
        <v>260</v>
      </c>
      <c r="B426" s="32">
        <v>0.249</v>
      </c>
      <c r="C426" s="32" t="s">
        <v>320</v>
      </c>
      <c r="D426" s="32">
        <v>24.263000000000002</v>
      </c>
      <c r="E426" s="32">
        <v>0.247</v>
      </c>
      <c r="F426" s="32">
        <v>7.0999999999999994E-2</v>
      </c>
      <c r="G426" s="32">
        <v>0</v>
      </c>
      <c r="H426" s="32">
        <v>0.80600000000000005</v>
      </c>
      <c r="I426" s="32">
        <v>3.0000000000000001E-3</v>
      </c>
      <c r="J426" s="32">
        <v>6.4550000000000001</v>
      </c>
      <c r="K426" s="32">
        <v>0.754</v>
      </c>
      <c r="L426" s="32">
        <v>51.558</v>
      </c>
      <c r="M426" s="32">
        <v>16.896000000000001</v>
      </c>
      <c r="N426" s="32" t="s">
        <v>320</v>
      </c>
      <c r="O426" s="32">
        <v>101.30200000000001</v>
      </c>
      <c r="Q426" s="34">
        <f t="shared" si="110"/>
        <v>0.33771313243788714</v>
      </c>
      <c r="R426" s="34">
        <f t="shared" si="111"/>
        <v>0.41920357275772241</v>
      </c>
      <c r="S426" s="34">
        <f t="shared" si="112"/>
        <v>0.11510752879917258</v>
      </c>
      <c r="T426" s="34">
        <f t="shared" si="113"/>
        <v>55.383052042613834</v>
      </c>
      <c r="U426" s="34">
        <f t="shared" si="114"/>
        <v>38.727493947135869</v>
      </c>
      <c r="V426" s="34">
        <f t="shared" si="115"/>
        <v>13.200037832877628</v>
      </c>
      <c r="W426" s="34">
        <f t="shared" si="116"/>
        <v>48.072468219986511</v>
      </c>
      <c r="X426" s="34"/>
      <c r="Y426" s="32">
        <v>2.8400000000000002E-2</v>
      </c>
      <c r="Z426" s="32" t="s">
        <v>320</v>
      </c>
      <c r="AA426" s="32">
        <v>3.0762</v>
      </c>
      <c r="AB426" s="32">
        <v>2.9600000000000001E-2</v>
      </c>
      <c r="AC426" s="32">
        <v>2.1000000000000001E-2</v>
      </c>
      <c r="AD426" s="32">
        <v>0</v>
      </c>
      <c r="AE426" s="32">
        <v>0.14399999999999999</v>
      </c>
      <c r="AF426" s="32">
        <v>5.9999999999999995E-4</v>
      </c>
      <c r="AG426" s="32">
        <v>1.0485</v>
      </c>
      <c r="AH426" s="32">
        <v>9.6799999999999997E-2</v>
      </c>
      <c r="AI426" s="32">
        <v>7.8162000000000003</v>
      </c>
      <c r="AJ426" s="32">
        <v>3.8182</v>
      </c>
      <c r="AK426" s="32" t="s">
        <v>320</v>
      </c>
      <c r="AL426" s="32">
        <v>16.079499999999999</v>
      </c>
      <c r="AM426" s="11">
        <f t="shared" si="117"/>
        <v>7.9602000000000004</v>
      </c>
      <c r="AN426" s="34">
        <f t="shared" si="118"/>
        <v>5.0704225352112671</v>
      </c>
    </row>
    <row r="427" spans="1:40" s="32" customFormat="1" x14ac:dyDescent="0.25">
      <c r="A427" s="11" t="s">
        <v>25</v>
      </c>
      <c r="B427" s="32">
        <v>0.28699999999999998</v>
      </c>
      <c r="C427" s="32" t="s">
        <v>320</v>
      </c>
      <c r="D427" s="32">
        <v>24.268000000000001</v>
      </c>
      <c r="E427" s="32">
        <v>0.156</v>
      </c>
      <c r="F427" s="32">
        <v>6.2E-2</v>
      </c>
      <c r="G427" s="32">
        <v>4.1000000000000002E-2</v>
      </c>
      <c r="H427" s="32">
        <v>1.012</v>
      </c>
      <c r="I427" s="32">
        <v>0</v>
      </c>
      <c r="J427" s="32">
        <v>6.9539999999999997</v>
      </c>
      <c r="K427" s="32">
        <v>0.72499999999999998</v>
      </c>
      <c r="L427" s="32">
        <v>51.405999999999999</v>
      </c>
      <c r="M427" s="32">
        <v>15.976000000000001</v>
      </c>
      <c r="N427" s="32" t="s">
        <v>320</v>
      </c>
      <c r="O427" s="32">
        <v>100.887</v>
      </c>
      <c r="Q427" s="34">
        <f t="shared" si="110"/>
        <v>0.33778272670331966</v>
      </c>
      <c r="R427" s="34">
        <f t="shared" si="111"/>
        <v>0.39637762064260018</v>
      </c>
      <c r="S427" s="34">
        <f t="shared" si="112"/>
        <v>0.12400584899604122</v>
      </c>
      <c r="T427" s="34">
        <f t="shared" si="113"/>
        <v>53.990606013462063</v>
      </c>
      <c r="U427" s="34">
        <f t="shared" si="114"/>
        <v>39.360991861851474</v>
      </c>
      <c r="V427" s="34">
        <f t="shared" si="115"/>
        <v>14.450097140231275</v>
      </c>
      <c r="W427" s="34">
        <f t="shared" si="116"/>
        <v>46.18891099791724</v>
      </c>
      <c r="X427" s="34"/>
      <c r="Y427" s="32">
        <v>3.2899999999999999E-2</v>
      </c>
      <c r="Z427" s="32" t="s">
        <v>320</v>
      </c>
      <c r="AA427" s="32">
        <v>3.0918999999999999</v>
      </c>
      <c r="AB427" s="32">
        <v>1.8800000000000001E-2</v>
      </c>
      <c r="AC427" s="32">
        <v>1.83E-2</v>
      </c>
      <c r="AD427" s="32">
        <v>5.1999999999999998E-3</v>
      </c>
      <c r="AE427" s="32">
        <v>0.1817</v>
      </c>
      <c r="AF427" s="32">
        <v>0</v>
      </c>
      <c r="AG427" s="32">
        <v>1.1351</v>
      </c>
      <c r="AH427" s="32">
        <v>9.3600000000000003E-2</v>
      </c>
      <c r="AI427" s="32">
        <v>7.8311999999999999</v>
      </c>
      <c r="AJ427" s="32">
        <v>3.6280999999999999</v>
      </c>
      <c r="AK427" s="32" t="s">
        <v>320</v>
      </c>
      <c r="AL427" s="32">
        <v>16.036799999999999</v>
      </c>
      <c r="AM427" s="11">
        <f t="shared" si="117"/>
        <v>8.0129000000000001</v>
      </c>
      <c r="AN427" s="34">
        <f t="shared" si="118"/>
        <v>5.5227963525835868</v>
      </c>
    </row>
    <row r="428" spans="1:40" s="32" customFormat="1" x14ac:dyDescent="0.25">
      <c r="A428" s="11" t="s">
        <v>60</v>
      </c>
      <c r="B428" s="32">
        <v>0.27700000000000002</v>
      </c>
      <c r="C428" s="32" t="s">
        <v>320</v>
      </c>
      <c r="D428" s="32">
        <v>23.713999999999999</v>
      </c>
      <c r="E428" s="32">
        <v>0.17399999999999999</v>
      </c>
      <c r="F428" s="32">
        <v>0.114</v>
      </c>
      <c r="G428" s="32">
        <v>0</v>
      </c>
      <c r="H428" s="32">
        <v>0.79800000000000004</v>
      </c>
      <c r="I428" s="32">
        <v>0</v>
      </c>
      <c r="J428" s="32">
        <v>8.4920000000000009</v>
      </c>
      <c r="K428" s="32">
        <v>0.71</v>
      </c>
      <c r="L428" s="32">
        <v>51.231999999999999</v>
      </c>
      <c r="M428" s="32">
        <v>15.340999999999999</v>
      </c>
      <c r="N428" s="32" t="s">
        <v>320</v>
      </c>
      <c r="O428" s="32">
        <v>100.852</v>
      </c>
      <c r="Q428" s="34">
        <f t="shared" si="110"/>
        <v>0.33007168209339549</v>
      </c>
      <c r="R428" s="34">
        <f t="shared" si="111"/>
        <v>0.38062275151966257</v>
      </c>
      <c r="S428" s="34">
        <f t="shared" si="112"/>
        <v>0.15143193409180072</v>
      </c>
      <c r="T428" s="34">
        <f t="shared" si="113"/>
        <v>53.556455984133258</v>
      </c>
      <c r="U428" s="34">
        <f t="shared" si="114"/>
        <v>38.285765806248087</v>
      </c>
      <c r="V428" s="34">
        <f t="shared" si="115"/>
        <v>17.564934766458983</v>
      </c>
      <c r="W428" s="34">
        <f t="shared" si="116"/>
        <v>44.149299427292931</v>
      </c>
      <c r="X428" s="34"/>
      <c r="Y428" s="32">
        <v>3.1899999999999998E-2</v>
      </c>
      <c r="Z428" s="32" t="s">
        <v>320</v>
      </c>
      <c r="AA428" s="32">
        <v>3.0316000000000001</v>
      </c>
      <c r="AB428" s="32">
        <v>2.1000000000000001E-2</v>
      </c>
      <c r="AC428" s="32">
        <v>3.39E-2</v>
      </c>
      <c r="AD428" s="32">
        <v>0</v>
      </c>
      <c r="AE428" s="32">
        <v>0.1439</v>
      </c>
      <c r="AF428" s="32">
        <v>0</v>
      </c>
      <c r="AG428" s="32">
        <v>1.3908</v>
      </c>
      <c r="AH428" s="32">
        <v>9.1899999999999996E-2</v>
      </c>
      <c r="AI428" s="32">
        <v>7.8311000000000002</v>
      </c>
      <c r="AJ428" s="32">
        <v>3.4954999999999998</v>
      </c>
      <c r="AK428" s="32" t="s">
        <v>320</v>
      </c>
      <c r="AL428" s="32">
        <v>16.0716</v>
      </c>
      <c r="AM428" s="11">
        <f t="shared" si="117"/>
        <v>7.9750000000000005</v>
      </c>
      <c r="AN428" s="34">
        <f t="shared" si="118"/>
        <v>4.5109717868338564</v>
      </c>
    </row>
    <row r="429" spans="1:40" s="32" customFormat="1" x14ac:dyDescent="0.25">
      <c r="A429" s="11" t="s">
        <v>36</v>
      </c>
      <c r="B429" s="32">
        <v>0.16700000000000001</v>
      </c>
      <c r="C429" s="32" t="s">
        <v>320</v>
      </c>
      <c r="D429" s="32">
        <v>25.724</v>
      </c>
      <c r="E429" s="32">
        <v>0.17899999999999999</v>
      </c>
      <c r="F429" s="32">
        <v>6.4000000000000001E-2</v>
      </c>
      <c r="G429" s="32">
        <v>0</v>
      </c>
      <c r="H429" s="32">
        <v>0.747</v>
      </c>
      <c r="I429" s="32">
        <v>0</v>
      </c>
      <c r="J429" s="32">
        <v>5.4749999999999996</v>
      </c>
      <c r="K429" s="32">
        <v>0.81100000000000005</v>
      </c>
      <c r="L429" s="32">
        <v>51.482999999999997</v>
      </c>
      <c r="M429" s="32">
        <v>16.632000000000001</v>
      </c>
      <c r="N429" s="32" t="s">
        <v>320</v>
      </c>
      <c r="O429" s="32">
        <v>101.282</v>
      </c>
      <c r="Q429" s="34">
        <f t="shared" si="110"/>
        <v>0.35804857679727192</v>
      </c>
      <c r="R429" s="34">
        <f t="shared" si="111"/>
        <v>0.41265351693338298</v>
      </c>
      <c r="S429" s="34">
        <f t="shared" si="112"/>
        <v>9.7631869895502682E-2</v>
      </c>
      <c r="T429" s="34">
        <f t="shared" si="113"/>
        <v>53.542545205229089</v>
      </c>
      <c r="U429" s="34">
        <f t="shared" si="114"/>
        <v>41.23397123637352</v>
      </c>
      <c r="V429" s="34">
        <f t="shared" si="115"/>
        <v>11.24358530072837</v>
      </c>
      <c r="W429" s="34">
        <f t="shared" si="116"/>
        <v>47.52244346289811</v>
      </c>
      <c r="X429" s="34"/>
      <c r="Y429" s="32">
        <v>1.9199999999999998E-2</v>
      </c>
      <c r="Z429" s="32" t="s">
        <v>320</v>
      </c>
      <c r="AA429" s="32">
        <v>3.2747000000000002</v>
      </c>
      <c r="AB429" s="32">
        <v>2.1499999999999998E-2</v>
      </c>
      <c r="AC429" s="32">
        <v>1.9E-2</v>
      </c>
      <c r="AD429" s="32">
        <v>0</v>
      </c>
      <c r="AE429" s="32">
        <v>0.13400000000000001</v>
      </c>
      <c r="AF429" s="32">
        <v>0</v>
      </c>
      <c r="AG429" s="32">
        <v>0.89290000000000003</v>
      </c>
      <c r="AH429" s="32">
        <v>0.1046</v>
      </c>
      <c r="AI429" s="32">
        <v>7.8364000000000003</v>
      </c>
      <c r="AJ429" s="32">
        <v>3.7738999999999998</v>
      </c>
      <c r="AK429" s="32" t="s">
        <v>320</v>
      </c>
      <c r="AL429" s="32">
        <v>16.0762</v>
      </c>
      <c r="AM429" s="11">
        <f t="shared" si="117"/>
        <v>7.9704000000000006</v>
      </c>
      <c r="AN429" s="34">
        <f t="shared" si="118"/>
        <v>6.9791666666666679</v>
      </c>
    </row>
    <row r="430" spans="1:40" s="32" customFormat="1" x14ac:dyDescent="0.25">
      <c r="A430" s="11" t="s">
        <v>56</v>
      </c>
      <c r="B430" s="32">
        <v>0.23</v>
      </c>
      <c r="C430" s="32" t="s">
        <v>320</v>
      </c>
      <c r="D430" s="32">
        <v>25.004999999999999</v>
      </c>
      <c r="E430" s="32">
        <v>0.216</v>
      </c>
      <c r="F430" s="32">
        <v>0.107</v>
      </c>
      <c r="G430" s="32">
        <v>0</v>
      </c>
      <c r="H430" s="32">
        <v>0.85799999999999998</v>
      </c>
      <c r="I430" s="32">
        <v>1.4E-2</v>
      </c>
      <c r="J430" s="32">
        <v>6.0839999999999996</v>
      </c>
      <c r="K430" s="32">
        <v>0.72799999999999998</v>
      </c>
      <c r="L430" s="32">
        <v>51.341000000000001</v>
      </c>
      <c r="M430" s="32">
        <v>16.105</v>
      </c>
      <c r="N430" s="32" t="s">
        <v>320</v>
      </c>
      <c r="O430" s="32">
        <v>100.688</v>
      </c>
      <c r="Q430" s="34">
        <f t="shared" si="110"/>
        <v>0.3480409214280743</v>
      </c>
      <c r="R430" s="34">
        <f t="shared" si="111"/>
        <v>0.39957821610222061</v>
      </c>
      <c r="S430" s="34">
        <f t="shared" si="112"/>
        <v>0.10849174364278326</v>
      </c>
      <c r="T430" s="34">
        <f t="shared" si="113"/>
        <v>53.446761331203739</v>
      </c>
      <c r="U430" s="34">
        <f t="shared" si="114"/>
        <v>40.653720105878612</v>
      </c>
      <c r="V430" s="34">
        <f t="shared" si="115"/>
        <v>12.672627579983963</v>
      </c>
      <c r="W430" s="34">
        <f t="shared" si="116"/>
        <v>46.673652314137406</v>
      </c>
      <c r="X430" s="34"/>
      <c r="Y430" s="32">
        <v>2.6499999999999999E-2</v>
      </c>
      <c r="Z430" s="32" t="s">
        <v>320</v>
      </c>
      <c r="AA430" s="32">
        <v>3.1974</v>
      </c>
      <c r="AB430" s="32">
        <v>2.6100000000000002E-2</v>
      </c>
      <c r="AC430" s="32">
        <v>3.1699999999999999E-2</v>
      </c>
      <c r="AD430" s="32">
        <v>0</v>
      </c>
      <c r="AE430" s="32">
        <v>0.1547</v>
      </c>
      <c r="AF430" s="32">
        <v>2.7000000000000001E-3</v>
      </c>
      <c r="AG430" s="32">
        <v>0.99670000000000003</v>
      </c>
      <c r="AH430" s="32">
        <v>9.4299999999999995E-2</v>
      </c>
      <c r="AI430" s="32">
        <v>7.8498000000000001</v>
      </c>
      <c r="AJ430" s="32">
        <v>3.6707000000000001</v>
      </c>
      <c r="AK430" s="32" t="s">
        <v>320</v>
      </c>
      <c r="AL430" s="32">
        <v>16.050599999999999</v>
      </c>
      <c r="AM430" s="11">
        <f t="shared" si="117"/>
        <v>8.0045000000000002</v>
      </c>
      <c r="AN430" s="34">
        <f t="shared" si="118"/>
        <v>5.837735849056604</v>
      </c>
    </row>
    <row r="431" spans="1:40" s="32" customFormat="1" x14ac:dyDescent="0.25">
      <c r="A431" s="11" t="s">
        <v>124</v>
      </c>
      <c r="B431" s="32">
        <v>0.20799999999999999</v>
      </c>
      <c r="C431" s="32" t="s">
        <v>320</v>
      </c>
      <c r="D431" s="32">
        <v>25.571999999999999</v>
      </c>
      <c r="E431" s="32">
        <v>0.108</v>
      </c>
      <c r="F431" s="32">
        <v>5.1999999999999998E-2</v>
      </c>
      <c r="G431" s="32">
        <v>0</v>
      </c>
      <c r="H431" s="32">
        <v>0.72299999999999998</v>
      </c>
      <c r="I431" s="32">
        <v>1.2E-2</v>
      </c>
      <c r="J431" s="32">
        <v>5.7130000000000001</v>
      </c>
      <c r="K431" s="32">
        <v>0.76</v>
      </c>
      <c r="L431" s="32">
        <v>51.661000000000001</v>
      </c>
      <c r="M431" s="32">
        <v>16.452999999999999</v>
      </c>
      <c r="N431" s="32" t="s">
        <v>320</v>
      </c>
      <c r="O431" s="32">
        <v>101.262</v>
      </c>
      <c r="Q431" s="34">
        <f t="shared" si="110"/>
        <v>0.35593291112812303</v>
      </c>
      <c r="R431" s="34">
        <f t="shared" si="111"/>
        <v>0.40821238059794068</v>
      </c>
      <c r="S431" s="34">
        <f t="shared" si="112"/>
        <v>0.10187595848639394</v>
      </c>
      <c r="T431" s="34">
        <f t="shared" si="113"/>
        <v>53.420780709891439</v>
      </c>
      <c r="U431" s="34">
        <f t="shared" si="114"/>
        <v>41.099789530661447</v>
      </c>
      <c r="V431" s="34">
        <f t="shared" si="115"/>
        <v>11.763678831368294</v>
      </c>
      <c r="W431" s="34">
        <f t="shared" si="116"/>
        <v>47.136531637970258</v>
      </c>
      <c r="X431" s="34"/>
      <c r="Y431" s="32">
        <v>2.3800000000000002E-2</v>
      </c>
      <c r="Z431" s="32" t="s">
        <v>320</v>
      </c>
      <c r="AA431" s="32">
        <v>3.2532000000000001</v>
      </c>
      <c r="AB431" s="32">
        <v>1.2999999999999999E-2</v>
      </c>
      <c r="AC431" s="32">
        <v>1.54E-2</v>
      </c>
      <c r="AD431" s="32">
        <v>0</v>
      </c>
      <c r="AE431" s="32">
        <v>0.12970000000000001</v>
      </c>
      <c r="AF431" s="32">
        <v>2.3999999999999998E-3</v>
      </c>
      <c r="AG431" s="32">
        <v>0.93120000000000003</v>
      </c>
      <c r="AH431" s="32">
        <v>9.7900000000000001E-2</v>
      </c>
      <c r="AI431" s="32">
        <v>7.8582000000000001</v>
      </c>
      <c r="AJ431" s="32">
        <v>3.7307999999999999</v>
      </c>
      <c r="AK431" s="32" t="s">
        <v>320</v>
      </c>
      <c r="AL431" s="32">
        <v>16.055599999999998</v>
      </c>
      <c r="AM431" s="11">
        <f t="shared" si="117"/>
        <v>7.9878999999999998</v>
      </c>
      <c r="AN431" s="34">
        <f t="shared" si="118"/>
        <v>5.4495798319327733</v>
      </c>
    </row>
    <row r="432" spans="1:40" s="32" customFormat="1" x14ac:dyDescent="0.25">
      <c r="A432" s="11" t="s">
        <v>200</v>
      </c>
      <c r="B432" s="32">
        <v>0.25900000000000001</v>
      </c>
      <c r="C432" s="32" t="s">
        <v>320</v>
      </c>
      <c r="D432" s="32">
        <v>25.123000000000001</v>
      </c>
      <c r="E432" s="32">
        <v>0.13200000000000001</v>
      </c>
      <c r="F432" s="32">
        <v>5.2999999999999999E-2</v>
      </c>
      <c r="G432" s="32">
        <v>0</v>
      </c>
      <c r="H432" s="32">
        <v>0.90700000000000003</v>
      </c>
      <c r="I432" s="32">
        <v>1.2999999999999999E-2</v>
      </c>
      <c r="J432" s="32">
        <v>6.5119999999999996</v>
      </c>
      <c r="K432" s="32">
        <v>0.73399999999999999</v>
      </c>
      <c r="L432" s="32">
        <v>51.302</v>
      </c>
      <c r="M432" s="32">
        <v>16.074000000000002</v>
      </c>
      <c r="N432" s="32" t="s">
        <v>320</v>
      </c>
      <c r="O432" s="32">
        <v>101.10899999999999</v>
      </c>
      <c r="Q432" s="34">
        <f t="shared" si="110"/>
        <v>0.34968334609228202</v>
      </c>
      <c r="R432" s="34">
        <f t="shared" si="111"/>
        <v>0.39880908075921107</v>
      </c>
      <c r="S432" s="34">
        <f t="shared" si="112"/>
        <v>0.11612397018438601</v>
      </c>
      <c r="T432" s="34">
        <f t="shared" si="113"/>
        <v>53.281645405122845</v>
      </c>
      <c r="U432" s="34">
        <f t="shared" si="114"/>
        <v>40.443756016088038</v>
      </c>
      <c r="V432" s="34">
        <f t="shared" si="115"/>
        <v>13.4306925686915</v>
      </c>
      <c r="W432" s="34">
        <f t="shared" si="116"/>
        <v>46.125551415220457</v>
      </c>
      <c r="X432" s="34"/>
      <c r="Y432" s="32">
        <v>2.9700000000000001E-2</v>
      </c>
      <c r="Z432" s="32" t="s">
        <v>320</v>
      </c>
      <c r="AA432" s="32">
        <v>3.2040000000000002</v>
      </c>
      <c r="AB432" s="32">
        <v>1.5900000000000001E-2</v>
      </c>
      <c r="AC432" s="32">
        <v>1.5599999999999999E-2</v>
      </c>
      <c r="AD432" s="32">
        <v>0</v>
      </c>
      <c r="AE432" s="32">
        <v>0.16300000000000001</v>
      </c>
      <c r="AF432" s="32">
        <v>2.3999999999999998E-3</v>
      </c>
      <c r="AG432" s="32">
        <v>1.0641</v>
      </c>
      <c r="AH432" s="32">
        <v>9.4899999999999998E-2</v>
      </c>
      <c r="AI432" s="32">
        <v>7.8231999999999999</v>
      </c>
      <c r="AJ432" s="32">
        <v>3.6539999999999999</v>
      </c>
      <c r="AK432" s="32" t="s">
        <v>320</v>
      </c>
      <c r="AL432" s="32">
        <v>16.066800000000001</v>
      </c>
      <c r="AM432" s="11">
        <f t="shared" si="117"/>
        <v>7.9862000000000002</v>
      </c>
      <c r="AN432" s="34">
        <f t="shared" si="118"/>
        <v>5.4882154882154879</v>
      </c>
    </row>
    <row r="433" spans="1:40" s="32" customFormat="1" x14ac:dyDescent="0.25">
      <c r="A433" s="11" t="s">
        <v>46</v>
      </c>
      <c r="B433" s="32">
        <v>0.217</v>
      </c>
      <c r="C433" s="32" t="s">
        <v>320</v>
      </c>
      <c r="D433" s="32">
        <v>24.991</v>
      </c>
      <c r="E433" s="32">
        <v>0.19700000000000001</v>
      </c>
      <c r="F433" s="32">
        <v>9.2999999999999999E-2</v>
      </c>
      <c r="G433" s="32">
        <v>0</v>
      </c>
      <c r="H433" s="32">
        <v>0.72</v>
      </c>
      <c r="I433" s="32">
        <v>3.0000000000000001E-3</v>
      </c>
      <c r="J433" s="32">
        <v>7.03</v>
      </c>
      <c r="K433" s="32">
        <v>0.71399999999999997</v>
      </c>
      <c r="L433" s="32">
        <v>51.503</v>
      </c>
      <c r="M433" s="32">
        <v>15.69</v>
      </c>
      <c r="N433" s="32" t="s">
        <v>320</v>
      </c>
      <c r="O433" s="32">
        <v>101.158</v>
      </c>
      <c r="Q433" s="34">
        <f t="shared" si="110"/>
        <v>0.34784605748486325</v>
      </c>
      <c r="R433" s="34">
        <f t="shared" si="111"/>
        <v>0.38928172683289913</v>
      </c>
      <c r="S433" s="34">
        <f t="shared" si="112"/>
        <v>0.12536110417632582</v>
      </c>
      <c r="T433" s="34">
        <f t="shared" si="113"/>
        <v>52.810616437853177</v>
      </c>
      <c r="U433" s="34">
        <f t="shared" si="114"/>
        <v>40.330497253385481</v>
      </c>
      <c r="V433" s="34">
        <f t="shared" si="115"/>
        <v>14.534808024623622</v>
      </c>
      <c r="W433" s="34">
        <f t="shared" si="116"/>
        <v>45.13469472199089</v>
      </c>
      <c r="X433" s="34"/>
      <c r="Y433" s="32">
        <v>2.4799999999999999E-2</v>
      </c>
      <c r="Z433" s="32" t="s">
        <v>320</v>
      </c>
      <c r="AA433" s="32">
        <v>3.1877</v>
      </c>
      <c r="AB433" s="32">
        <v>2.3699999999999999E-2</v>
      </c>
      <c r="AC433" s="32">
        <v>2.76E-2</v>
      </c>
      <c r="AD433" s="32">
        <v>0</v>
      </c>
      <c r="AE433" s="32">
        <v>0.1295</v>
      </c>
      <c r="AF433" s="32">
        <v>5.0000000000000001E-4</v>
      </c>
      <c r="AG433" s="32">
        <v>1.1489</v>
      </c>
      <c r="AH433" s="32">
        <v>9.2200000000000004E-2</v>
      </c>
      <c r="AI433" s="32">
        <v>7.8552</v>
      </c>
      <c r="AJ433" s="32">
        <v>3.5672999999999999</v>
      </c>
      <c r="AK433" s="32" t="s">
        <v>320</v>
      </c>
      <c r="AL433" s="32">
        <v>16.057400000000001</v>
      </c>
      <c r="AM433" s="11">
        <f t="shared" si="117"/>
        <v>7.9847000000000001</v>
      </c>
      <c r="AN433" s="34">
        <f t="shared" si="118"/>
        <v>5.221774193548387</v>
      </c>
    </row>
    <row r="434" spans="1:40" s="32" customFormat="1" x14ac:dyDescent="0.25">
      <c r="A434" s="11" t="s">
        <v>691</v>
      </c>
      <c r="B434" s="32">
        <v>0.44400000000000001</v>
      </c>
      <c r="C434" s="32" t="s">
        <v>320</v>
      </c>
      <c r="D434" s="32">
        <v>24.922000000000001</v>
      </c>
      <c r="E434" s="32">
        <v>0.25800000000000001</v>
      </c>
      <c r="F434" s="32">
        <v>0.112</v>
      </c>
      <c r="G434" s="32">
        <v>0</v>
      </c>
      <c r="H434" s="32">
        <v>1.847</v>
      </c>
      <c r="I434" s="32">
        <v>5.0000000000000001E-3</v>
      </c>
      <c r="J434" s="32">
        <v>5.8680000000000003</v>
      </c>
      <c r="K434" s="32">
        <v>0.73399999999999999</v>
      </c>
      <c r="L434" s="32">
        <v>50.145000000000003</v>
      </c>
      <c r="M434" s="32">
        <v>15.583</v>
      </c>
      <c r="N434" s="32" t="s">
        <v>320</v>
      </c>
      <c r="O434" s="32">
        <v>99.918000000000006</v>
      </c>
      <c r="Q434" s="34">
        <f t="shared" si="110"/>
        <v>0.34688565662189436</v>
      </c>
      <c r="R434" s="34">
        <f t="shared" si="111"/>
        <v>0.38662696935864038</v>
      </c>
      <c r="S434" s="34">
        <f t="shared" si="112"/>
        <v>0.10463996576197439</v>
      </c>
      <c r="T434" s="34">
        <f t="shared" si="113"/>
        <v>52.708972642674091</v>
      </c>
      <c r="U434" s="34">
        <f t="shared" si="114"/>
        <v>41.386933601281747</v>
      </c>
      <c r="V434" s="34">
        <f t="shared" si="115"/>
        <v>12.484596097761765</v>
      </c>
      <c r="W434" s="34">
        <f t="shared" si="116"/>
        <v>46.128470300956486</v>
      </c>
      <c r="X434" s="34"/>
      <c r="Y434" s="32">
        <v>5.1499999999999997E-2</v>
      </c>
      <c r="Z434" s="32" t="s">
        <v>320</v>
      </c>
      <c r="AA434" s="32">
        <v>3.2143999999999999</v>
      </c>
      <c r="AB434" s="32">
        <v>3.15E-2</v>
      </c>
      <c r="AC434" s="32">
        <v>3.3399999999999999E-2</v>
      </c>
      <c r="AD434" s="32">
        <v>0</v>
      </c>
      <c r="AE434" s="32">
        <v>0.3357</v>
      </c>
      <c r="AF434" s="32">
        <v>1E-3</v>
      </c>
      <c r="AG434" s="32">
        <v>0.96960000000000002</v>
      </c>
      <c r="AH434" s="32">
        <v>9.5799999999999996E-2</v>
      </c>
      <c r="AI434" s="32">
        <v>7.7332999999999998</v>
      </c>
      <c r="AJ434" s="32">
        <v>3.5823999999999998</v>
      </c>
      <c r="AK434" s="32" t="s">
        <v>320</v>
      </c>
      <c r="AL434" s="32">
        <v>16.0486</v>
      </c>
      <c r="AM434" s="11">
        <f t="shared" si="117"/>
        <v>8.0689999999999991</v>
      </c>
      <c r="AN434" s="34">
        <f t="shared" si="118"/>
        <v>6.518446601941748</v>
      </c>
    </row>
    <row r="435" spans="1:40" s="32" customFormat="1" x14ac:dyDescent="0.25">
      <c r="A435" s="11" t="s">
        <v>224</v>
      </c>
      <c r="B435" s="32">
        <v>0.24399999999999999</v>
      </c>
      <c r="C435" s="32" t="s">
        <v>320</v>
      </c>
      <c r="D435" s="32">
        <v>26.363</v>
      </c>
      <c r="E435" s="32">
        <v>0.25800000000000001</v>
      </c>
      <c r="F435" s="32">
        <v>0.114</v>
      </c>
      <c r="G435" s="32">
        <v>0</v>
      </c>
      <c r="H435" s="32">
        <v>0.88500000000000001</v>
      </c>
      <c r="I435" s="32">
        <v>0</v>
      </c>
      <c r="J435" s="32">
        <v>5.1360000000000001</v>
      </c>
      <c r="K435" s="32">
        <v>0.72799999999999998</v>
      </c>
      <c r="L435" s="32">
        <v>51.470999999999997</v>
      </c>
      <c r="M435" s="32">
        <v>16.273</v>
      </c>
      <c r="N435" s="32" t="s">
        <v>320</v>
      </c>
      <c r="O435" s="32">
        <v>101.47199999999999</v>
      </c>
      <c r="Q435" s="34">
        <f t="shared" si="110"/>
        <v>0.36694272391954902</v>
      </c>
      <c r="R435" s="34">
        <f t="shared" si="111"/>
        <v>0.40374643344498201</v>
      </c>
      <c r="S435" s="34">
        <f t="shared" si="112"/>
        <v>9.1586718499233208E-2</v>
      </c>
      <c r="T435" s="34">
        <f t="shared" si="113"/>
        <v>52.387714240802865</v>
      </c>
      <c r="U435" s="34">
        <f t="shared" si="114"/>
        <v>42.555142059607427</v>
      </c>
      <c r="V435" s="34">
        <f t="shared" si="115"/>
        <v>10.621510013542755</v>
      </c>
      <c r="W435" s="34">
        <f t="shared" si="116"/>
        <v>46.82334792684982</v>
      </c>
      <c r="X435" s="34"/>
      <c r="Y435" s="32">
        <v>2.8000000000000001E-2</v>
      </c>
      <c r="Z435" s="32" t="s">
        <v>320</v>
      </c>
      <c r="AA435" s="32">
        <v>3.3551000000000002</v>
      </c>
      <c r="AB435" s="32">
        <v>3.1099999999999999E-2</v>
      </c>
      <c r="AC435" s="32">
        <v>3.3599999999999998E-2</v>
      </c>
      <c r="AD435" s="32">
        <v>0</v>
      </c>
      <c r="AE435" s="32">
        <v>0.1588</v>
      </c>
      <c r="AF435" s="32">
        <v>0</v>
      </c>
      <c r="AG435" s="32">
        <v>0.83750000000000002</v>
      </c>
      <c r="AH435" s="32">
        <v>9.3799999999999994E-2</v>
      </c>
      <c r="AI435" s="32">
        <v>7.8323999999999998</v>
      </c>
      <c r="AJ435" s="32">
        <v>3.6913</v>
      </c>
      <c r="AK435" s="32" t="s">
        <v>320</v>
      </c>
      <c r="AL435" s="32">
        <v>16.061599999999999</v>
      </c>
      <c r="AM435" s="11">
        <f t="shared" si="117"/>
        <v>7.9912000000000001</v>
      </c>
      <c r="AN435" s="34">
        <f t="shared" si="118"/>
        <v>5.6714285714285708</v>
      </c>
    </row>
    <row r="436" spans="1:40" s="32" customFormat="1" x14ac:dyDescent="0.25">
      <c r="A436" s="11" t="s">
        <v>159</v>
      </c>
      <c r="B436" s="32">
        <v>0.13400000000000001</v>
      </c>
      <c r="C436" s="32" t="s">
        <v>320</v>
      </c>
      <c r="D436" s="32">
        <v>27.218</v>
      </c>
      <c r="E436" s="32">
        <v>0.216</v>
      </c>
      <c r="F436" s="32">
        <v>5.8999999999999997E-2</v>
      </c>
      <c r="G436" s="32">
        <v>0</v>
      </c>
      <c r="H436" s="32">
        <v>0.621</v>
      </c>
      <c r="I436" s="32">
        <v>0</v>
      </c>
      <c r="J436" s="32">
        <v>4.2439999999999998</v>
      </c>
      <c r="K436" s="32">
        <v>0.72</v>
      </c>
      <c r="L436" s="32">
        <v>51.314999999999998</v>
      </c>
      <c r="M436" s="32">
        <v>16.600000000000001</v>
      </c>
      <c r="N436" s="32" t="s">
        <v>320</v>
      </c>
      <c r="O436" s="32">
        <v>101.127</v>
      </c>
      <c r="Q436" s="34">
        <f t="shared" si="110"/>
        <v>0.37884334330851138</v>
      </c>
      <c r="R436" s="34">
        <f t="shared" si="111"/>
        <v>0.41185957077285701</v>
      </c>
      <c r="S436" s="34">
        <f t="shared" si="112"/>
        <v>7.5680302435892854E-2</v>
      </c>
      <c r="T436" s="34">
        <f t="shared" si="113"/>
        <v>52.087777019432359</v>
      </c>
      <c r="U436" s="34">
        <f t="shared" si="114"/>
        <v>43.726994716195954</v>
      </c>
      <c r="V436" s="34">
        <f t="shared" si="115"/>
        <v>8.7351995044545099</v>
      </c>
      <c r="W436" s="34">
        <f t="shared" si="116"/>
        <v>47.537805779349533</v>
      </c>
      <c r="X436" s="34"/>
      <c r="Y436" s="32">
        <v>1.54E-2</v>
      </c>
      <c r="Z436" s="32" t="s">
        <v>320</v>
      </c>
      <c r="AA436" s="32">
        <v>3.4817</v>
      </c>
      <c r="AB436" s="32">
        <v>2.6200000000000001E-2</v>
      </c>
      <c r="AC436" s="32">
        <v>1.7500000000000002E-2</v>
      </c>
      <c r="AD436" s="32">
        <v>0</v>
      </c>
      <c r="AE436" s="32">
        <v>0.112</v>
      </c>
      <c r="AF436" s="32">
        <v>0</v>
      </c>
      <c r="AG436" s="32">
        <v>0.6956</v>
      </c>
      <c r="AH436" s="32">
        <v>9.3299999999999994E-2</v>
      </c>
      <c r="AI436" s="32">
        <v>7.8487999999999998</v>
      </c>
      <c r="AJ436" s="32">
        <v>3.7848999999999999</v>
      </c>
      <c r="AK436" s="32" t="s">
        <v>320</v>
      </c>
      <c r="AL436" s="32">
        <v>16.075399999999998</v>
      </c>
      <c r="AM436" s="11">
        <f t="shared" si="117"/>
        <v>7.9607999999999999</v>
      </c>
      <c r="AN436" s="34">
        <f t="shared" si="118"/>
        <v>7.2727272727272725</v>
      </c>
    </row>
    <row r="437" spans="1:40" s="32" customFormat="1" x14ac:dyDescent="0.25">
      <c r="A437" s="11" t="s">
        <v>246</v>
      </c>
      <c r="B437" s="32">
        <v>0.23899999999999999</v>
      </c>
      <c r="C437" s="32" t="s">
        <v>320</v>
      </c>
      <c r="D437" s="32">
        <v>26.408000000000001</v>
      </c>
      <c r="E437" s="32">
        <v>0.22</v>
      </c>
      <c r="F437" s="32">
        <v>7.9000000000000001E-2</v>
      </c>
      <c r="G437" s="32">
        <v>0</v>
      </c>
      <c r="H437" s="32">
        <v>0.83699999999999997</v>
      </c>
      <c r="I437" s="32">
        <v>0</v>
      </c>
      <c r="J437" s="32">
        <v>5.8879999999999999</v>
      </c>
      <c r="K437" s="32">
        <v>0.67</v>
      </c>
      <c r="L437" s="32">
        <v>51.133000000000003</v>
      </c>
      <c r="M437" s="32">
        <v>15.624000000000001</v>
      </c>
      <c r="N437" s="32" t="s">
        <v>320</v>
      </c>
      <c r="O437" s="32">
        <v>101.098</v>
      </c>
      <c r="Q437" s="34">
        <f t="shared" si="110"/>
        <v>0.36756907230844182</v>
      </c>
      <c r="R437" s="34">
        <f t="shared" si="111"/>
        <v>0.38764421287681433</v>
      </c>
      <c r="S437" s="34">
        <f t="shared" si="112"/>
        <v>0.10499661186204928</v>
      </c>
      <c r="T437" s="34">
        <f t="shared" si="113"/>
        <v>51.329104040022813</v>
      </c>
      <c r="U437" s="34">
        <f t="shared" si="114"/>
        <v>42.730160809603902</v>
      </c>
      <c r="V437" s="34">
        <f t="shared" si="115"/>
        <v>12.205929299634088</v>
      </c>
      <c r="W437" s="34">
        <f t="shared" si="116"/>
        <v>45.063909890761998</v>
      </c>
      <c r="X437" s="34"/>
      <c r="Y437" s="32">
        <v>2.76E-2</v>
      </c>
      <c r="Z437" s="32" t="s">
        <v>320</v>
      </c>
      <c r="AA437" s="32">
        <v>3.3826999999999998</v>
      </c>
      <c r="AB437" s="32">
        <v>2.6599999999999999E-2</v>
      </c>
      <c r="AC437" s="32">
        <v>2.3300000000000001E-2</v>
      </c>
      <c r="AD437" s="32">
        <v>0</v>
      </c>
      <c r="AE437" s="32">
        <v>0.15110000000000001</v>
      </c>
      <c r="AF437" s="32">
        <v>0</v>
      </c>
      <c r="AG437" s="32">
        <v>0.96630000000000005</v>
      </c>
      <c r="AH437" s="32">
        <v>8.6999999999999994E-2</v>
      </c>
      <c r="AI437" s="32">
        <v>7.8316999999999997</v>
      </c>
      <c r="AJ437" s="32">
        <v>3.5674000000000001</v>
      </c>
      <c r="AK437" s="32" t="s">
        <v>320</v>
      </c>
      <c r="AL437" s="32">
        <v>16.063700000000001</v>
      </c>
      <c r="AM437" s="11">
        <f t="shared" si="117"/>
        <v>7.9827999999999992</v>
      </c>
      <c r="AN437" s="34">
        <f t="shared" si="118"/>
        <v>5.4746376811594208</v>
      </c>
    </row>
    <row r="438" spans="1:40" s="32" customFormat="1" x14ac:dyDescent="0.25">
      <c r="A438" s="11" t="s">
        <v>205</v>
      </c>
      <c r="B438" s="32">
        <v>0.14399999999999999</v>
      </c>
      <c r="C438" s="32" t="s">
        <v>320</v>
      </c>
      <c r="D438" s="32">
        <v>26.471</v>
      </c>
      <c r="E438" s="32">
        <v>0.16300000000000001</v>
      </c>
      <c r="F438" s="32">
        <v>0.109</v>
      </c>
      <c r="G438" s="32">
        <v>0</v>
      </c>
      <c r="H438" s="32">
        <v>0.748</v>
      </c>
      <c r="I438" s="32">
        <v>0</v>
      </c>
      <c r="J438" s="32">
        <v>6.0709999999999997</v>
      </c>
      <c r="K438" s="32">
        <v>0.755</v>
      </c>
      <c r="L438" s="32">
        <v>51.107999999999997</v>
      </c>
      <c r="M438" s="32">
        <v>15.586</v>
      </c>
      <c r="N438" s="32" t="s">
        <v>320</v>
      </c>
      <c r="O438" s="32">
        <v>101.155</v>
      </c>
      <c r="Q438" s="34">
        <f t="shared" si="110"/>
        <v>0.36844596005289165</v>
      </c>
      <c r="R438" s="34">
        <f t="shared" si="111"/>
        <v>0.38670140181118967</v>
      </c>
      <c r="S438" s="34">
        <f t="shared" si="112"/>
        <v>0.10825992367773457</v>
      </c>
      <c r="T438" s="34">
        <f t="shared" si="113"/>
        <v>51.208733730674396</v>
      </c>
      <c r="U438" s="34">
        <f t="shared" si="114"/>
        <v>42.673482865236636</v>
      </c>
      <c r="V438" s="34">
        <f t="shared" si="115"/>
        <v>12.538685448988071</v>
      </c>
      <c r="W438" s="34">
        <f t="shared" si="116"/>
        <v>44.787831685775274</v>
      </c>
      <c r="X438" s="34"/>
      <c r="Y438" s="32">
        <v>1.66E-2</v>
      </c>
      <c r="Z438" s="32" t="s">
        <v>320</v>
      </c>
      <c r="AA438" s="32">
        <v>3.3935</v>
      </c>
      <c r="AB438" s="32">
        <v>1.9800000000000002E-2</v>
      </c>
      <c r="AC438" s="32">
        <v>3.2399999999999998E-2</v>
      </c>
      <c r="AD438" s="32">
        <v>0</v>
      </c>
      <c r="AE438" s="32">
        <v>0.1351</v>
      </c>
      <c r="AF438" s="32">
        <v>0</v>
      </c>
      <c r="AG438" s="32">
        <v>0.99719999999999998</v>
      </c>
      <c r="AH438" s="32">
        <v>9.8100000000000007E-2</v>
      </c>
      <c r="AI438" s="32">
        <v>7.8341000000000003</v>
      </c>
      <c r="AJ438" s="32">
        <v>3.5613999999999999</v>
      </c>
      <c r="AK438" s="32" t="s">
        <v>320</v>
      </c>
      <c r="AL438" s="32">
        <v>16.088200000000001</v>
      </c>
      <c r="AM438" s="11">
        <f t="shared" si="117"/>
        <v>7.9692000000000007</v>
      </c>
      <c r="AN438" s="34">
        <f t="shared" si="118"/>
        <v>8.1385542168674689</v>
      </c>
    </row>
    <row r="439" spans="1:40" s="32" customFormat="1" x14ac:dyDescent="0.25">
      <c r="A439" s="11" t="s">
        <v>34</v>
      </c>
      <c r="B439" s="32">
        <v>0.193</v>
      </c>
      <c r="C439" s="32" t="s">
        <v>320</v>
      </c>
      <c r="D439" s="32">
        <v>25.991</v>
      </c>
      <c r="E439" s="32">
        <v>0.11899999999999999</v>
      </c>
      <c r="F439" s="32">
        <v>7.0999999999999994E-2</v>
      </c>
      <c r="G439" s="32">
        <v>0</v>
      </c>
      <c r="H439" s="32">
        <v>0.68899999999999995</v>
      </c>
      <c r="I439" s="32">
        <v>0</v>
      </c>
      <c r="J439" s="32">
        <v>6.6589999999999998</v>
      </c>
      <c r="K439" s="32">
        <v>0.74</v>
      </c>
      <c r="L439" s="32">
        <v>51.143000000000001</v>
      </c>
      <c r="M439" s="32">
        <v>15.28</v>
      </c>
      <c r="N439" s="32" t="s">
        <v>320</v>
      </c>
      <c r="O439" s="32">
        <v>100.88500000000001</v>
      </c>
      <c r="Q439" s="34">
        <f t="shared" si="110"/>
        <v>0.36176491057136895</v>
      </c>
      <c r="R439" s="34">
        <f t="shared" si="111"/>
        <v>0.37910929165115992</v>
      </c>
      <c r="S439" s="34">
        <f t="shared" si="112"/>
        <v>0.11874531901993651</v>
      </c>
      <c r="T439" s="34">
        <f t="shared" si="113"/>
        <v>51.170534824114547</v>
      </c>
      <c r="U439" s="34">
        <f t="shared" si="114"/>
        <v>42.084306094920464</v>
      </c>
      <c r="V439" s="34">
        <f t="shared" si="115"/>
        <v>13.813706655742997</v>
      </c>
      <c r="W439" s="34">
        <f t="shared" si="116"/>
        <v>44.101987249336545</v>
      </c>
      <c r="X439" s="34"/>
      <c r="Y439" s="32">
        <v>2.23E-2</v>
      </c>
      <c r="Z439" s="32" t="s">
        <v>320</v>
      </c>
      <c r="AA439" s="32">
        <v>3.3380000000000001</v>
      </c>
      <c r="AB439" s="32">
        <v>1.44E-2</v>
      </c>
      <c r="AC439" s="32">
        <v>2.1100000000000001E-2</v>
      </c>
      <c r="AD439" s="32">
        <v>0</v>
      </c>
      <c r="AE439" s="32">
        <v>0.12470000000000001</v>
      </c>
      <c r="AF439" s="32">
        <v>0</v>
      </c>
      <c r="AG439" s="32">
        <v>1.0958000000000001</v>
      </c>
      <c r="AH439" s="32">
        <v>9.6299999999999997E-2</v>
      </c>
      <c r="AI439" s="32">
        <v>7.8540000000000001</v>
      </c>
      <c r="AJ439" s="32">
        <v>3.4980000000000002</v>
      </c>
      <c r="AK439" s="32" t="s">
        <v>320</v>
      </c>
      <c r="AL439" s="32">
        <v>16.064599999999999</v>
      </c>
      <c r="AM439" s="11">
        <f t="shared" si="117"/>
        <v>7.9786999999999999</v>
      </c>
      <c r="AN439" s="34">
        <f t="shared" si="118"/>
        <v>5.5919282511210762</v>
      </c>
    </row>
    <row r="440" spans="1:40" s="32" customFormat="1" x14ac:dyDescent="0.25">
      <c r="A440" s="11" t="s">
        <v>57</v>
      </c>
      <c r="B440" s="32">
        <v>0.22900000000000001</v>
      </c>
      <c r="C440" s="32" t="s">
        <v>320</v>
      </c>
      <c r="D440" s="32">
        <v>25.968</v>
      </c>
      <c r="E440" s="32">
        <v>0.14000000000000001</v>
      </c>
      <c r="F440" s="32">
        <v>6.5000000000000002E-2</v>
      </c>
      <c r="G440" s="32">
        <v>0</v>
      </c>
      <c r="H440" s="32">
        <v>0.79600000000000004</v>
      </c>
      <c r="I440" s="32">
        <v>7.0000000000000001E-3</v>
      </c>
      <c r="J440" s="32">
        <v>6.8650000000000002</v>
      </c>
      <c r="K440" s="32">
        <v>0.76800000000000002</v>
      </c>
      <c r="L440" s="32">
        <v>51.223999999999997</v>
      </c>
      <c r="M440" s="32">
        <v>15.242000000000001</v>
      </c>
      <c r="N440" s="32" t="s">
        <v>320</v>
      </c>
      <c r="O440" s="32">
        <v>101.304</v>
      </c>
      <c r="Q440" s="34">
        <f t="shared" si="110"/>
        <v>0.3614447769503793</v>
      </c>
      <c r="R440" s="34">
        <f t="shared" si="111"/>
        <v>0.37816648058553531</v>
      </c>
      <c r="S440" s="34">
        <f t="shared" si="112"/>
        <v>0.12241877385070794</v>
      </c>
      <c r="T440" s="34">
        <f t="shared" si="113"/>
        <v>51.130438690918922</v>
      </c>
      <c r="U440" s="34">
        <f t="shared" si="114"/>
        <v>41.929487812504114</v>
      </c>
      <c r="V440" s="34">
        <f t="shared" si="115"/>
        <v>14.20121914474263</v>
      </c>
      <c r="W440" s="34">
        <f t="shared" si="116"/>
        <v>43.869293042753256</v>
      </c>
      <c r="X440" s="34"/>
      <c r="Y440" s="32">
        <v>2.63E-2</v>
      </c>
      <c r="Z440" s="32" t="s">
        <v>320</v>
      </c>
      <c r="AA440" s="32">
        <v>3.3224</v>
      </c>
      <c r="AB440" s="32">
        <v>1.7000000000000001E-2</v>
      </c>
      <c r="AC440" s="32">
        <v>1.9400000000000001E-2</v>
      </c>
      <c r="AD440" s="32">
        <v>0</v>
      </c>
      <c r="AE440" s="32">
        <v>0.14360000000000001</v>
      </c>
      <c r="AF440" s="32">
        <v>1.4E-3</v>
      </c>
      <c r="AG440" s="32">
        <v>1.1254</v>
      </c>
      <c r="AH440" s="32">
        <v>9.9599999999999994E-2</v>
      </c>
      <c r="AI440" s="32">
        <v>7.8364000000000003</v>
      </c>
      <c r="AJ440" s="32">
        <v>3.476</v>
      </c>
      <c r="AK440" s="32" t="s">
        <v>320</v>
      </c>
      <c r="AL440" s="32">
        <v>16.067499999999999</v>
      </c>
      <c r="AM440" s="11">
        <f t="shared" si="117"/>
        <v>7.98</v>
      </c>
      <c r="AN440" s="34">
        <f t="shared" si="118"/>
        <v>5.4600760456273765</v>
      </c>
    </row>
    <row r="441" spans="1:40" s="32" customFormat="1" x14ac:dyDescent="0.25">
      <c r="A441" s="11" t="s">
        <v>164</v>
      </c>
      <c r="B441" s="32">
        <v>0.248</v>
      </c>
      <c r="C441" s="32" t="s">
        <v>320</v>
      </c>
      <c r="D441" s="32">
        <v>26.754999999999999</v>
      </c>
      <c r="E441" s="32">
        <v>0.20899999999999999</v>
      </c>
      <c r="F441" s="32">
        <v>5.0999999999999997E-2</v>
      </c>
      <c r="G441" s="32">
        <v>0</v>
      </c>
      <c r="H441" s="32">
        <v>0.72</v>
      </c>
      <c r="I441" s="32">
        <v>5.0000000000000001E-3</v>
      </c>
      <c r="J441" s="32">
        <v>5.899</v>
      </c>
      <c r="K441" s="32">
        <v>0.80300000000000005</v>
      </c>
      <c r="L441" s="32">
        <v>50.973999999999997</v>
      </c>
      <c r="M441" s="32">
        <v>15.564</v>
      </c>
      <c r="N441" s="32" t="s">
        <v>320</v>
      </c>
      <c r="O441" s="32">
        <v>101.22799999999999</v>
      </c>
      <c r="Q441" s="34">
        <f t="shared" si="110"/>
        <v>0.37239891432945926</v>
      </c>
      <c r="R441" s="34">
        <f t="shared" si="111"/>
        <v>0.38615556382582805</v>
      </c>
      <c r="S441" s="34">
        <f t="shared" si="112"/>
        <v>0.10519276721709048</v>
      </c>
      <c r="T441" s="34">
        <f t="shared" si="113"/>
        <v>50.906767403827288</v>
      </c>
      <c r="U441" s="34">
        <f t="shared" si="114"/>
        <v>43.114338867606001</v>
      </c>
      <c r="V441" s="34">
        <f t="shared" si="115"/>
        <v>12.178651541949623</v>
      </c>
      <c r="W441" s="34">
        <f t="shared" si="116"/>
        <v>44.707009590444372</v>
      </c>
      <c r="X441" s="34"/>
      <c r="Y441" s="32">
        <v>2.86E-2</v>
      </c>
      <c r="Z441" s="32" t="s">
        <v>320</v>
      </c>
      <c r="AA441" s="32">
        <v>3.4319999999999999</v>
      </c>
      <c r="AB441" s="32">
        <v>2.5399999999999999E-2</v>
      </c>
      <c r="AC441" s="32">
        <v>1.5100000000000001E-2</v>
      </c>
      <c r="AD441" s="32">
        <v>0</v>
      </c>
      <c r="AE441" s="32">
        <v>0.1303</v>
      </c>
      <c r="AF441" s="32">
        <v>8.9999999999999998E-4</v>
      </c>
      <c r="AG441" s="32">
        <v>0.96940000000000004</v>
      </c>
      <c r="AH441" s="32">
        <v>0.1043</v>
      </c>
      <c r="AI441" s="32">
        <v>7.8183999999999996</v>
      </c>
      <c r="AJ441" s="32">
        <v>3.5586000000000002</v>
      </c>
      <c r="AK441" s="32" t="s">
        <v>320</v>
      </c>
      <c r="AL441" s="32">
        <v>16.082999999999998</v>
      </c>
      <c r="AM441" s="11">
        <f t="shared" si="117"/>
        <v>7.9486999999999997</v>
      </c>
      <c r="AN441" s="34">
        <f t="shared" si="118"/>
        <v>4.5559440559440558</v>
      </c>
    </row>
    <row r="442" spans="1:40" s="32" customFormat="1" x14ac:dyDescent="0.25">
      <c r="A442" s="11" t="s">
        <v>212</v>
      </c>
      <c r="B442" s="32">
        <v>0.186</v>
      </c>
      <c r="C442" s="32" t="s">
        <v>320</v>
      </c>
      <c r="D442" s="32">
        <v>26.713000000000001</v>
      </c>
      <c r="E442" s="32">
        <v>0.13500000000000001</v>
      </c>
      <c r="F442" s="32">
        <v>6.0999999999999999E-2</v>
      </c>
      <c r="G442" s="32">
        <v>3.1E-2</v>
      </c>
      <c r="H442" s="32">
        <v>0.70399999999999996</v>
      </c>
      <c r="I442" s="32">
        <v>0</v>
      </c>
      <c r="J442" s="32">
        <v>6.35</v>
      </c>
      <c r="K442" s="32">
        <v>0.76500000000000001</v>
      </c>
      <c r="L442" s="32">
        <v>51.151000000000003</v>
      </c>
      <c r="M442" s="32">
        <v>15.375</v>
      </c>
      <c r="N442" s="32" t="s">
        <v>320</v>
      </c>
      <c r="O442" s="32">
        <v>101.471</v>
      </c>
      <c r="Q442" s="34">
        <f t="shared" si="110"/>
        <v>0.37181432249982604</v>
      </c>
      <c r="R442" s="34">
        <f t="shared" si="111"/>
        <v>0.38146631931522146</v>
      </c>
      <c r="S442" s="34">
        <f t="shared" si="112"/>
        <v>0.11323513677377936</v>
      </c>
      <c r="T442" s="34">
        <f t="shared" si="113"/>
        <v>50.640664068582645</v>
      </c>
      <c r="U442" s="34">
        <f t="shared" si="114"/>
        <v>42.90912314434113</v>
      </c>
      <c r="V442" s="34">
        <f t="shared" si="115"/>
        <v>13.0678678417362</v>
      </c>
      <c r="W442" s="34">
        <f t="shared" si="116"/>
        <v>44.023009013922668</v>
      </c>
      <c r="X442" s="34"/>
      <c r="Y442" s="32">
        <v>2.1399999999999999E-2</v>
      </c>
      <c r="Z442" s="32" t="s">
        <v>320</v>
      </c>
      <c r="AA442" s="32">
        <v>3.4190999999999998</v>
      </c>
      <c r="AB442" s="32">
        <v>1.6400000000000001E-2</v>
      </c>
      <c r="AC442" s="32">
        <v>1.8200000000000001E-2</v>
      </c>
      <c r="AD442" s="32">
        <v>4.0000000000000001E-3</v>
      </c>
      <c r="AE442" s="32">
        <v>0.12709999999999999</v>
      </c>
      <c r="AF442" s="32">
        <v>0</v>
      </c>
      <c r="AG442" s="32">
        <v>1.0411999999999999</v>
      </c>
      <c r="AH442" s="32">
        <v>9.9099999999999994E-2</v>
      </c>
      <c r="AI442" s="32">
        <v>7.8281000000000001</v>
      </c>
      <c r="AJ442" s="32">
        <v>3.5074999999999998</v>
      </c>
      <c r="AK442" s="32" t="s">
        <v>320</v>
      </c>
      <c r="AL442" s="32">
        <v>16.082100000000001</v>
      </c>
      <c r="AM442" s="11">
        <f t="shared" si="117"/>
        <v>7.9551999999999996</v>
      </c>
      <c r="AN442" s="34">
        <f t="shared" si="118"/>
        <v>5.9392523364485976</v>
      </c>
    </row>
    <row r="443" spans="1:40" s="32" customFormat="1" x14ac:dyDescent="0.25">
      <c r="A443" s="11" t="s">
        <v>184</v>
      </c>
      <c r="B443" s="32">
        <v>0.2</v>
      </c>
      <c r="C443" s="32" t="s">
        <v>320</v>
      </c>
      <c r="D443" s="32">
        <v>26.81</v>
      </c>
      <c r="E443" s="32">
        <v>0.129</v>
      </c>
      <c r="F443" s="32">
        <v>3.5999999999999997E-2</v>
      </c>
      <c r="G443" s="32">
        <v>2.3E-2</v>
      </c>
      <c r="H443" s="32">
        <v>0.69099999999999995</v>
      </c>
      <c r="I443" s="32">
        <v>2E-3</v>
      </c>
      <c r="J443" s="32">
        <v>5.9130000000000003</v>
      </c>
      <c r="K443" s="32">
        <v>0.78200000000000003</v>
      </c>
      <c r="L443" s="32">
        <v>51.293999999999997</v>
      </c>
      <c r="M443" s="32">
        <v>15.369</v>
      </c>
      <c r="N443" s="32" t="s">
        <v>320</v>
      </c>
      <c r="O443" s="32">
        <v>101.249</v>
      </c>
      <c r="Q443" s="34">
        <f t="shared" si="110"/>
        <v>0.37316445124921704</v>
      </c>
      <c r="R443" s="34">
        <f t="shared" si="111"/>
        <v>0.38131745441012282</v>
      </c>
      <c r="S443" s="34">
        <f t="shared" si="112"/>
        <v>0.1054424194871429</v>
      </c>
      <c r="T443" s="34">
        <f t="shared" si="113"/>
        <v>50.540304750833009</v>
      </c>
      <c r="U443" s="34">
        <f t="shared" si="114"/>
        <v>43.395033764820035</v>
      </c>
      <c r="V443" s="34">
        <f t="shared" si="115"/>
        <v>12.261825419252029</v>
      </c>
      <c r="W443" s="34">
        <f t="shared" si="116"/>
        <v>44.343140815927931</v>
      </c>
      <c r="X443" s="34"/>
      <c r="Y443" s="32">
        <v>2.3099999999999999E-2</v>
      </c>
      <c r="Z443" s="32" t="s">
        <v>320</v>
      </c>
      <c r="AA443" s="32">
        <v>3.4346000000000001</v>
      </c>
      <c r="AB443" s="32">
        <v>1.5599999999999999E-2</v>
      </c>
      <c r="AC443" s="32">
        <v>1.06E-2</v>
      </c>
      <c r="AD443" s="32">
        <v>2.8999999999999998E-3</v>
      </c>
      <c r="AE443" s="32">
        <v>0.12479999999999999</v>
      </c>
      <c r="AF443" s="32">
        <v>4.0000000000000002E-4</v>
      </c>
      <c r="AG443" s="32">
        <v>0.97050000000000003</v>
      </c>
      <c r="AH443" s="32">
        <v>0.1014</v>
      </c>
      <c r="AI443" s="32">
        <v>7.8571999999999997</v>
      </c>
      <c r="AJ443" s="32">
        <v>3.5095000000000001</v>
      </c>
      <c r="AK443" s="32" t="s">
        <v>320</v>
      </c>
      <c r="AL443" s="32">
        <v>16.050599999999999</v>
      </c>
      <c r="AM443" s="11">
        <f t="shared" si="117"/>
        <v>7.9819999999999993</v>
      </c>
      <c r="AN443" s="34">
        <f t="shared" si="118"/>
        <v>5.4025974025974026</v>
      </c>
    </row>
    <row r="444" spans="1:40" s="32" customFormat="1" x14ac:dyDescent="0.25">
      <c r="A444" s="11" t="s">
        <v>70</v>
      </c>
      <c r="B444" s="32">
        <v>0.17599999999999999</v>
      </c>
      <c r="C444" s="32" t="s">
        <v>320</v>
      </c>
      <c r="D444" s="32">
        <v>27.02</v>
      </c>
      <c r="E444" s="32">
        <v>0.20300000000000001</v>
      </c>
      <c r="F444" s="32">
        <v>7.6999999999999999E-2</v>
      </c>
      <c r="G444" s="32">
        <v>0</v>
      </c>
      <c r="H444" s="32">
        <v>0.78400000000000003</v>
      </c>
      <c r="I444" s="32">
        <v>0</v>
      </c>
      <c r="J444" s="32">
        <v>5.8710000000000004</v>
      </c>
      <c r="K444" s="32">
        <v>0.746</v>
      </c>
      <c r="L444" s="32">
        <v>50.911000000000001</v>
      </c>
      <c r="M444" s="32">
        <v>15.481</v>
      </c>
      <c r="N444" s="32" t="s">
        <v>320</v>
      </c>
      <c r="O444" s="32">
        <v>101.26900000000001</v>
      </c>
      <c r="Q444" s="34">
        <f t="shared" si="110"/>
        <v>0.37608741039738325</v>
      </c>
      <c r="R444" s="34">
        <f t="shared" si="111"/>
        <v>0.38409626597196378</v>
      </c>
      <c r="S444" s="34">
        <f t="shared" si="112"/>
        <v>0.10469346267698564</v>
      </c>
      <c r="T444" s="34">
        <f t="shared" si="113"/>
        <v>50.526771083327581</v>
      </c>
      <c r="U444" s="34">
        <f t="shared" si="114"/>
        <v>43.48448969434903</v>
      </c>
      <c r="V444" s="34">
        <f t="shared" si="115"/>
        <v>12.105009827456783</v>
      </c>
      <c r="W444" s="34">
        <f t="shared" si="116"/>
        <v>44.410500478194187</v>
      </c>
      <c r="X444" s="34"/>
      <c r="Y444" s="32">
        <v>2.0400000000000001E-2</v>
      </c>
      <c r="Z444" s="32" t="s">
        <v>320</v>
      </c>
      <c r="AA444" s="32">
        <v>3.4679000000000002</v>
      </c>
      <c r="AB444" s="32">
        <v>2.46E-2</v>
      </c>
      <c r="AC444" s="32">
        <v>2.2800000000000001E-2</v>
      </c>
      <c r="AD444" s="32">
        <v>0</v>
      </c>
      <c r="AE444" s="32">
        <v>0.14180000000000001</v>
      </c>
      <c r="AF444" s="32">
        <v>0</v>
      </c>
      <c r="AG444" s="32">
        <v>0.96550000000000002</v>
      </c>
      <c r="AH444" s="32">
        <v>9.7000000000000003E-2</v>
      </c>
      <c r="AI444" s="32">
        <v>7.8131000000000004</v>
      </c>
      <c r="AJ444" s="32">
        <v>3.5415999999999999</v>
      </c>
      <c r="AK444" s="32" t="s">
        <v>320</v>
      </c>
      <c r="AL444" s="32">
        <v>16.0947</v>
      </c>
      <c r="AM444" s="11">
        <f t="shared" si="117"/>
        <v>7.9549000000000003</v>
      </c>
      <c r="AN444" s="34">
        <f t="shared" si="118"/>
        <v>6.9509803921568629</v>
      </c>
    </row>
    <row r="445" spans="1:40" s="32" customFormat="1" x14ac:dyDescent="0.25">
      <c r="A445" s="11" t="s">
        <v>170</v>
      </c>
      <c r="B445" s="32">
        <v>0.249</v>
      </c>
      <c r="C445" s="32" t="s">
        <v>320</v>
      </c>
      <c r="D445" s="32">
        <v>26.85</v>
      </c>
      <c r="E445" s="32">
        <v>0.24399999999999999</v>
      </c>
      <c r="F445" s="32">
        <v>0.06</v>
      </c>
      <c r="G445" s="32">
        <v>0</v>
      </c>
      <c r="H445" s="32">
        <v>0.873</v>
      </c>
      <c r="I445" s="32">
        <v>2E-3</v>
      </c>
      <c r="J445" s="32">
        <v>5.6079999999999997</v>
      </c>
      <c r="K445" s="32">
        <v>0.78400000000000003</v>
      </c>
      <c r="L445" s="32">
        <v>50.497</v>
      </c>
      <c r="M445" s="32">
        <v>15.202999999999999</v>
      </c>
      <c r="N445" s="32" t="s">
        <v>320</v>
      </c>
      <c r="O445" s="32">
        <v>100.37</v>
      </c>
      <c r="Q445" s="34">
        <f t="shared" si="110"/>
        <v>0.37372120537267733</v>
      </c>
      <c r="R445" s="34">
        <f t="shared" si="111"/>
        <v>0.37719885870239422</v>
      </c>
      <c r="S445" s="34">
        <f t="shared" si="112"/>
        <v>0.10000356646100074</v>
      </c>
      <c r="T445" s="34">
        <f t="shared" si="113"/>
        <v>50.231559489224765</v>
      </c>
      <c r="U445" s="34">
        <f t="shared" si="114"/>
        <v>43.919476667634342</v>
      </c>
      <c r="V445" s="34">
        <f t="shared" si="115"/>
        <v>11.752355073039825</v>
      </c>
      <c r="W445" s="34">
        <f t="shared" si="116"/>
        <v>44.328168259325835</v>
      </c>
      <c r="X445" s="34"/>
      <c r="Y445" s="32">
        <v>2.9000000000000001E-2</v>
      </c>
      <c r="Z445" s="32" t="s">
        <v>320</v>
      </c>
      <c r="AA445" s="32">
        <v>3.4758</v>
      </c>
      <c r="AB445" s="32">
        <v>2.98E-2</v>
      </c>
      <c r="AC445" s="32">
        <v>1.7899999999999999E-2</v>
      </c>
      <c r="AD445" s="32">
        <v>0</v>
      </c>
      <c r="AE445" s="32">
        <v>0.15920000000000001</v>
      </c>
      <c r="AF445" s="32">
        <v>4.0000000000000002E-4</v>
      </c>
      <c r="AG445" s="32">
        <v>0.93010000000000004</v>
      </c>
      <c r="AH445" s="32">
        <v>0.1028</v>
      </c>
      <c r="AI445" s="32">
        <v>7.8163</v>
      </c>
      <c r="AJ445" s="32">
        <v>3.5078999999999998</v>
      </c>
      <c r="AK445" s="32" t="s">
        <v>320</v>
      </c>
      <c r="AL445" s="32">
        <v>16.069199999999999</v>
      </c>
      <c r="AM445" s="11">
        <f t="shared" si="117"/>
        <v>7.9755000000000003</v>
      </c>
      <c r="AN445" s="34">
        <f t="shared" si="118"/>
        <v>5.4896551724137934</v>
      </c>
    </row>
    <row r="446" spans="1:40" s="32" customFormat="1" x14ac:dyDescent="0.25">
      <c r="A446" s="11" t="s">
        <v>64</v>
      </c>
      <c r="B446" s="32">
        <v>0.17499999999999999</v>
      </c>
      <c r="C446" s="32" t="s">
        <v>320</v>
      </c>
      <c r="D446" s="32">
        <v>26.940999999999999</v>
      </c>
      <c r="E446" s="32">
        <v>0.13300000000000001</v>
      </c>
      <c r="F446" s="32">
        <v>8.5000000000000006E-2</v>
      </c>
      <c r="G446" s="32">
        <v>0</v>
      </c>
      <c r="H446" s="32">
        <v>0.60699999999999998</v>
      </c>
      <c r="I446" s="32">
        <v>0</v>
      </c>
      <c r="J446" s="32">
        <v>6.069</v>
      </c>
      <c r="K446" s="32">
        <v>0.74</v>
      </c>
      <c r="L446" s="32">
        <v>51.338000000000001</v>
      </c>
      <c r="M446" s="32">
        <v>15.114000000000001</v>
      </c>
      <c r="N446" s="32" t="s">
        <v>320</v>
      </c>
      <c r="O446" s="32">
        <v>101.202</v>
      </c>
      <c r="Q446" s="34">
        <f t="shared" si="110"/>
        <v>0.37498782100354933</v>
      </c>
      <c r="R446" s="34">
        <f t="shared" si="111"/>
        <v>0.37499069594343137</v>
      </c>
      <c r="S446" s="34">
        <f t="shared" si="112"/>
        <v>0.10822425906772709</v>
      </c>
      <c r="T446" s="34">
        <f t="shared" si="113"/>
        <v>50.000191668148965</v>
      </c>
      <c r="U446" s="34">
        <f t="shared" si="114"/>
        <v>43.694547662139335</v>
      </c>
      <c r="V446" s="34">
        <f t="shared" si="115"/>
        <v>12.610569680314383</v>
      </c>
      <c r="W446" s="34">
        <f t="shared" si="116"/>
        <v>43.694882657546295</v>
      </c>
      <c r="X446" s="34"/>
      <c r="Y446" s="32">
        <v>2.0199999999999999E-2</v>
      </c>
      <c r="Z446" s="32" t="s">
        <v>320</v>
      </c>
      <c r="AA446" s="32">
        <v>3.4565999999999999</v>
      </c>
      <c r="AB446" s="32">
        <v>1.61E-2</v>
      </c>
      <c r="AC446" s="32">
        <v>2.52E-2</v>
      </c>
      <c r="AD446" s="32">
        <v>0</v>
      </c>
      <c r="AE446" s="32">
        <v>0.10979999999999999</v>
      </c>
      <c r="AF446" s="32">
        <v>0</v>
      </c>
      <c r="AG446" s="32">
        <v>0.99760000000000004</v>
      </c>
      <c r="AH446" s="32">
        <v>9.6199999999999994E-2</v>
      </c>
      <c r="AI446" s="32">
        <v>7.8756000000000004</v>
      </c>
      <c r="AJ446" s="32">
        <v>3.4563999999999999</v>
      </c>
      <c r="AK446" s="32" t="s">
        <v>320</v>
      </c>
      <c r="AL446" s="32">
        <v>16.053699999999999</v>
      </c>
      <c r="AM446" s="11">
        <f t="shared" si="117"/>
        <v>7.9854000000000003</v>
      </c>
      <c r="AN446" s="34">
        <f t="shared" si="118"/>
        <v>5.435643564356436</v>
      </c>
    </row>
    <row r="447" spans="1:40" s="32" customFormat="1" x14ac:dyDescent="0.25">
      <c r="A447" s="11" t="s">
        <v>242</v>
      </c>
      <c r="B447" s="32">
        <v>0.27</v>
      </c>
      <c r="C447" s="32" t="s">
        <v>320</v>
      </c>
      <c r="D447" s="32">
        <v>27.277000000000001</v>
      </c>
      <c r="E447" s="32">
        <v>0.159</v>
      </c>
      <c r="F447" s="32">
        <v>0.09</v>
      </c>
      <c r="G447" s="32">
        <v>0</v>
      </c>
      <c r="H447" s="32">
        <v>0.92100000000000004</v>
      </c>
      <c r="I447" s="32">
        <v>0</v>
      </c>
      <c r="J447" s="32">
        <v>5.9</v>
      </c>
      <c r="K447" s="32">
        <v>0.85499999999999998</v>
      </c>
      <c r="L447" s="32">
        <v>50.905999999999999</v>
      </c>
      <c r="M447" s="32">
        <v>15.03</v>
      </c>
      <c r="N447" s="32" t="s">
        <v>320</v>
      </c>
      <c r="O447" s="32">
        <v>101.408</v>
      </c>
      <c r="Q447" s="34">
        <f t="shared" si="110"/>
        <v>0.37966455564061524</v>
      </c>
      <c r="R447" s="34">
        <f t="shared" si="111"/>
        <v>0.37290658727205062</v>
      </c>
      <c r="S447" s="34">
        <f t="shared" si="112"/>
        <v>0.10521059952209423</v>
      </c>
      <c r="T447" s="34">
        <f t="shared" si="113"/>
        <v>49.551008005541561</v>
      </c>
      <c r="U447" s="34">
        <f t="shared" si="114"/>
        <v>44.26120735129674</v>
      </c>
      <c r="V447" s="34">
        <f t="shared" si="115"/>
        <v>12.265427709321546</v>
      </c>
      <c r="W447" s="34">
        <f t="shared" si="116"/>
        <v>43.473364939381725</v>
      </c>
      <c r="X447" s="34"/>
      <c r="Y447" s="32">
        <v>3.1199999999999999E-2</v>
      </c>
      <c r="Z447" s="32" t="s">
        <v>320</v>
      </c>
      <c r="AA447" s="32">
        <v>3.5009000000000001</v>
      </c>
      <c r="AB447" s="32">
        <v>1.9300000000000001E-2</v>
      </c>
      <c r="AC447" s="32">
        <v>2.69E-2</v>
      </c>
      <c r="AD447" s="32">
        <v>0</v>
      </c>
      <c r="AE447" s="32">
        <v>0.16650000000000001</v>
      </c>
      <c r="AF447" s="32">
        <v>0</v>
      </c>
      <c r="AG447" s="32">
        <v>0.97019999999999995</v>
      </c>
      <c r="AH447" s="32">
        <v>0.1111</v>
      </c>
      <c r="AI447" s="32">
        <v>7.8124000000000002</v>
      </c>
      <c r="AJ447" s="32">
        <v>3.4384000000000001</v>
      </c>
      <c r="AK447" s="32" t="s">
        <v>320</v>
      </c>
      <c r="AL447" s="32">
        <v>16.076899999999998</v>
      </c>
      <c r="AM447" s="11">
        <f t="shared" si="117"/>
        <v>7.9789000000000003</v>
      </c>
      <c r="AN447" s="34">
        <f t="shared" si="118"/>
        <v>5.3365384615384617</v>
      </c>
    </row>
    <row r="448" spans="1:40" s="32" customFormat="1" x14ac:dyDescent="0.25">
      <c r="A448" s="11" t="s">
        <v>231</v>
      </c>
      <c r="B448" s="32">
        <v>0.17699999999999999</v>
      </c>
      <c r="C448" s="32" t="s">
        <v>320</v>
      </c>
      <c r="D448" s="32">
        <v>27.623000000000001</v>
      </c>
      <c r="E448" s="32">
        <v>0.14099999999999999</v>
      </c>
      <c r="F448" s="32">
        <v>6.8000000000000005E-2</v>
      </c>
      <c r="G448" s="32">
        <v>0</v>
      </c>
      <c r="H448" s="32">
        <v>0.58499999999999996</v>
      </c>
      <c r="I448" s="32">
        <v>0</v>
      </c>
      <c r="J448" s="32">
        <v>5.5860000000000003</v>
      </c>
      <c r="K448" s="32">
        <v>0.78900000000000003</v>
      </c>
      <c r="L448" s="32">
        <v>51.2</v>
      </c>
      <c r="M448" s="32">
        <v>15.194000000000001</v>
      </c>
      <c r="N448" s="32" t="s">
        <v>320</v>
      </c>
      <c r="O448" s="32">
        <v>101.363</v>
      </c>
      <c r="Q448" s="34">
        <f t="shared" si="110"/>
        <v>0.38448047880854619</v>
      </c>
      <c r="R448" s="34">
        <f t="shared" si="111"/>
        <v>0.37697556134474636</v>
      </c>
      <c r="S448" s="34">
        <f t="shared" si="112"/>
        <v>9.9611255750918365E-2</v>
      </c>
      <c r="T448" s="34">
        <f t="shared" si="113"/>
        <v>49.507199557948937</v>
      </c>
      <c r="U448" s="34">
        <f t="shared" si="114"/>
        <v>44.65161789762336</v>
      </c>
      <c r="V448" s="34">
        <f t="shared" si="115"/>
        <v>11.568347355048028</v>
      </c>
      <c r="W448" s="34">
        <f t="shared" si="116"/>
        <v>43.780034747328607</v>
      </c>
      <c r="X448" s="34"/>
      <c r="Y448" s="32">
        <v>2.0400000000000001E-2</v>
      </c>
      <c r="Z448" s="32" t="s">
        <v>320</v>
      </c>
      <c r="AA448" s="32">
        <v>3.5465</v>
      </c>
      <c r="AB448" s="32">
        <v>1.7100000000000001E-2</v>
      </c>
      <c r="AC448" s="32">
        <v>2.0400000000000001E-2</v>
      </c>
      <c r="AD448" s="32">
        <v>0</v>
      </c>
      <c r="AE448" s="32">
        <v>0.10580000000000001</v>
      </c>
      <c r="AF448" s="32">
        <v>0</v>
      </c>
      <c r="AG448" s="32">
        <v>0.91890000000000005</v>
      </c>
      <c r="AH448" s="32">
        <v>0.1027</v>
      </c>
      <c r="AI448" s="32">
        <v>7.8597999999999999</v>
      </c>
      <c r="AJ448" s="32">
        <v>3.4769000000000001</v>
      </c>
      <c r="AK448" s="32" t="s">
        <v>320</v>
      </c>
      <c r="AL448" s="32">
        <v>16.0685</v>
      </c>
      <c r="AM448" s="11">
        <f t="shared" si="117"/>
        <v>7.9656000000000002</v>
      </c>
      <c r="AN448" s="34">
        <f t="shared" si="118"/>
        <v>5.1862745098039218</v>
      </c>
    </row>
    <row r="449" spans="1:40" s="32" customFormat="1" x14ac:dyDescent="0.25">
      <c r="A449" s="11" t="s">
        <v>222</v>
      </c>
      <c r="B449" s="32">
        <v>0.26</v>
      </c>
      <c r="C449" s="32" t="s">
        <v>320</v>
      </c>
      <c r="D449" s="32">
        <v>27.405000000000001</v>
      </c>
      <c r="E449" s="32">
        <v>0.13700000000000001</v>
      </c>
      <c r="F449" s="32">
        <v>6.9000000000000006E-2</v>
      </c>
      <c r="G449" s="32">
        <v>0</v>
      </c>
      <c r="H449" s="32">
        <v>0.72499999999999998</v>
      </c>
      <c r="I449" s="32">
        <v>0</v>
      </c>
      <c r="J449" s="32">
        <v>6.4740000000000002</v>
      </c>
      <c r="K449" s="32">
        <v>0.76400000000000001</v>
      </c>
      <c r="L449" s="32">
        <v>50.819000000000003</v>
      </c>
      <c r="M449" s="32">
        <v>14.413</v>
      </c>
      <c r="N449" s="32" t="s">
        <v>320</v>
      </c>
      <c r="O449" s="32">
        <v>101.066</v>
      </c>
      <c r="Q449" s="34">
        <f t="shared" si="110"/>
        <v>0.38144616883568794</v>
      </c>
      <c r="R449" s="34">
        <f t="shared" si="111"/>
        <v>0.35759831286440891</v>
      </c>
      <c r="S449" s="34">
        <f t="shared" si="112"/>
        <v>0.11544634259424373</v>
      </c>
      <c r="T449" s="34">
        <f t="shared" si="113"/>
        <v>48.386575059973424</v>
      </c>
      <c r="U449" s="34">
        <f t="shared" si="114"/>
        <v>44.640171431998176</v>
      </c>
      <c r="V449" s="34">
        <f t="shared" si="115"/>
        <v>13.510542104367493</v>
      </c>
      <c r="W449" s="34">
        <f t="shared" si="116"/>
        <v>41.849286463634336</v>
      </c>
      <c r="X449" s="34"/>
      <c r="Y449" s="32">
        <v>3.0200000000000001E-2</v>
      </c>
      <c r="Z449" s="32" t="s">
        <v>320</v>
      </c>
      <c r="AA449" s="32">
        <v>3.5367999999999999</v>
      </c>
      <c r="AB449" s="32">
        <v>1.67E-2</v>
      </c>
      <c r="AC449" s="32">
        <v>2.06E-2</v>
      </c>
      <c r="AD449" s="32">
        <v>0</v>
      </c>
      <c r="AE449" s="32">
        <v>0.13189999999999999</v>
      </c>
      <c r="AF449" s="32">
        <v>0</v>
      </c>
      <c r="AG449" s="32">
        <v>1.0704</v>
      </c>
      <c r="AH449" s="32">
        <v>9.98E-2</v>
      </c>
      <c r="AI449" s="32">
        <v>7.8419999999999996</v>
      </c>
      <c r="AJ449" s="32">
        <v>3.3155000000000001</v>
      </c>
      <c r="AK449" s="32" t="s">
        <v>320</v>
      </c>
      <c r="AL449" s="32">
        <v>16.0639</v>
      </c>
      <c r="AM449" s="11">
        <f t="shared" si="117"/>
        <v>7.9738999999999995</v>
      </c>
      <c r="AN449" s="34">
        <f t="shared" si="118"/>
        <v>4.3675496688741715</v>
      </c>
    </row>
    <row r="450" spans="1:40" s="32" customFormat="1" x14ac:dyDescent="0.25">
      <c r="A450" s="11" t="s">
        <v>243</v>
      </c>
      <c r="B450" s="32">
        <v>0.25900000000000001</v>
      </c>
      <c r="C450" s="32" t="s">
        <v>320</v>
      </c>
      <c r="D450" s="32">
        <v>27.404</v>
      </c>
      <c r="E450" s="32">
        <v>0.18</v>
      </c>
      <c r="F450" s="32">
        <v>9.0999999999999998E-2</v>
      </c>
      <c r="G450" s="32">
        <v>0</v>
      </c>
      <c r="H450" s="32">
        <v>0.79600000000000004</v>
      </c>
      <c r="I450" s="32">
        <v>2E-3</v>
      </c>
      <c r="J450" s="32">
        <v>6.6470000000000002</v>
      </c>
      <c r="K450" s="32">
        <v>0.753</v>
      </c>
      <c r="L450" s="32">
        <v>50.831000000000003</v>
      </c>
      <c r="M450" s="32">
        <v>14.339</v>
      </c>
      <c r="N450" s="32" t="s">
        <v>320</v>
      </c>
      <c r="O450" s="32">
        <v>101.30200000000001</v>
      </c>
      <c r="Q450" s="34">
        <f t="shared" si="110"/>
        <v>0.38143224998260145</v>
      </c>
      <c r="R450" s="34">
        <f t="shared" si="111"/>
        <v>0.35576231236819256</v>
      </c>
      <c r="S450" s="34">
        <f t="shared" si="112"/>
        <v>0.11853133135989158</v>
      </c>
      <c r="T450" s="34">
        <f t="shared" si="113"/>
        <v>48.258944183435673</v>
      </c>
      <c r="U450" s="34">
        <f t="shared" si="114"/>
        <v>44.574115705275219</v>
      </c>
      <c r="V450" s="34">
        <f t="shared" si="115"/>
        <v>13.851553661173435</v>
      </c>
      <c r="W450" s="34">
        <f t="shared" si="116"/>
        <v>41.574330633551341</v>
      </c>
      <c r="X450" s="34"/>
      <c r="Y450" s="32">
        <v>0.03</v>
      </c>
      <c r="Z450" s="32" t="s">
        <v>320</v>
      </c>
      <c r="AA450" s="32">
        <v>3.5301999999999998</v>
      </c>
      <c r="AB450" s="32">
        <v>2.1899999999999999E-2</v>
      </c>
      <c r="AC450" s="32">
        <v>2.7300000000000001E-2</v>
      </c>
      <c r="AD450" s="32">
        <v>0</v>
      </c>
      <c r="AE450" s="32">
        <v>0.14460000000000001</v>
      </c>
      <c r="AF450" s="32">
        <v>2.9999999999999997E-4</v>
      </c>
      <c r="AG450" s="32">
        <v>1.097</v>
      </c>
      <c r="AH450" s="32">
        <v>9.8299999999999998E-2</v>
      </c>
      <c r="AI450" s="32">
        <v>7.8292999999999999</v>
      </c>
      <c r="AJ450" s="32">
        <v>3.2925</v>
      </c>
      <c r="AK450" s="32" t="s">
        <v>320</v>
      </c>
      <c r="AL450" s="32">
        <v>16.071400000000001</v>
      </c>
      <c r="AM450" s="11">
        <f t="shared" si="117"/>
        <v>7.9738999999999995</v>
      </c>
      <c r="AN450" s="34">
        <f t="shared" si="118"/>
        <v>4.82</v>
      </c>
    </row>
    <row r="451" spans="1:40" s="32" customFormat="1" x14ac:dyDescent="0.25">
      <c r="A451" s="11" t="s">
        <v>40</v>
      </c>
      <c r="B451" s="32">
        <v>0.223</v>
      </c>
      <c r="C451" s="32" t="s">
        <v>320</v>
      </c>
      <c r="D451" s="32">
        <v>28.228999999999999</v>
      </c>
      <c r="E451" s="32">
        <v>0.13</v>
      </c>
      <c r="F451" s="32">
        <v>7.2999999999999995E-2</v>
      </c>
      <c r="G451" s="32">
        <v>0</v>
      </c>
      <c r="H451" s="32">
        <v>0.68100000000000005</v>
      </c>
      <c r="I451" s="32">
        <v>2E-3</v>
      </c>
      <c r="J451" s="32">
        <v>5.4029999999999996</v>
      </c>
      <c r="K451" s="32">
        <v>0.71399999999999997</v>
      </c>
      <c r="L451" s="32">
        <v>50.993000000000002</v>
      </c>
      <c r="M451" s="32">
        <v>14.75</v>
      </c>
      <c r="N451" s="32" t="s">
        <v>320</v>
      </c>
      <c r="O451" s="32">
        <v>101.19799999999999</v>
      </c>
      <c r="Q451" s="34">
        <f t="shared" si="110"/>
        <v>0.39291530377896861</v>
      </c>
      <c r="R451" s="34">
        <f t="shared" si="111"/>
        <v>0.3659595583674482</v>
      </c>
      <c r="S451" s="34">
        <f t="shared" si="112"/>
        <v>9.6347943935233049E-2</v>
      </c>
      <c r="T451" s="34">
        <f t="shared" si="113"/>
        <v>48.223966377323521</v>
      </c>
      <c r="U451" s="34">
        <f t="shared" si="114"/>
        <v>45.943033907056055</v>
      </c>
      <c r="V451" s="34">
        <f t="shared" si="115"/>
        <v>11.265829588510123</v>
      </c>
      <c r="W451" s="34">
        <f t="shared" si="116"/>
        <v>42.79113650443383</v>
      </c>
      <c r="X451" s="34"/>
      <c r="Y451" s="32">
        <v>2.5899999999999999E-2</v>
      </c>
      <c r="Z451" s="32" t="s">
        <v>320</v>
      </c>
      <c r="AA451" s="32">
        <v>3.6381000000000001</v>
      </c>
      <c r="AB451" s="32">
        <v>1.5900000000000001E-2</v>
      </c>
      <c r="AC451" s="32">
        <v>2.18E-2</v>
      </c>
      <c r="AD451" s="32">
        <v>0</v>
      </c>
      <c r="AE451" s="32">
        <v>0.1236</v>
      </c>
      <c r="AF451" s="32">
        <v>2.9999999999999997E-4</v>
      </c>
      <c r="AG451" s="32">
        <v>0.89219999999999999</v>
      </c>
      <c r="AH451" s="32">
        <v>9.3200000000000005E-2</v>
      </c>
      <c r="AI451" s="32">
        <v>7.8579999999999997</v>
      </c>
      <c r="AJ451" s="32">
        <v>3.3883999999999999</v>
      </c>
      <c r="AK451" s="32" t="s">
        <v>320</v>
      </c>
      <c r="AL451" s="32">
        <v>16.057400000000001</v>
      </c>
      <c r="AM451" s="11">
        <f t="shared" si="117"/>
        <v>7.9815999999999994</v>
      </c>
      <c r="AN451" s="34">
        <f t="shared" si="118"/>
        <v>4.7722007722007724</v>
      </c>
    </row>
    <row r="452" spans="1:40" s="32" customFormat="1" x14ac:dyDescent="0.25">
      <c r="A452" s="11" t="s">
        <v>244</v>
      </c>
      <c r="B452" s="32">
        <v>0.18</v>
      </c>
      <c r="C452" s="32" t="s">
        <v>320</v>
      </c>
      <c r="D452" s="32">
        <v>28.547999999999998</v>
      </c>
      <c r="E452" s="32">
        <v>0.20899999999999999</v>
      </c>
      <c r="F452" s="32">
        <v>5.8000000000000003E-2</v>
      </c>
      <c r="G452" s="32">
        <v>0</v>
      </c>
      <c r="H452" s="32">
        <v>0.77400000000000002</v>
      </c>
      <c r="I452" s="32">
        <v>0</v>
      </c>
      <c r="J452" s="32">
        <v>5.3280000000000003</v>
      </c>
      <c r="K452" s="32">
        <v>0.78700000000000003</v>
      </c>
      <c r="L452" s="32">
        <v>50.655999999999999</v>
      </c>
      <c r="M452" s="32">
        <v>14.913</v>
      </c>
      <c r="N452" s="32" t="s">
        <v>320</v>
      </c>
      <c r="O452" s="32">
        <v>101.453</v>
      </c>
      <c r="Q452" s="34">
        <f t="shared" si="110"/>
        <v>0.39735541791356388</v>
      </c>
      <c r="R452" s="34">
        <f t="shared" si="111"/>
        <v>0.37000372162262746</v>
      </c>
      <c r="S452" s="34">
        <f t="shared" si="112"/>
        <v>9.501052105995221E-2</v>
      </c>
      <c r="T452" s="34">
        <f t="shared" si="113"/>
        <v>48.217803445498255</v>
      </c>
      <c r="U452" s="34">
        <f t="shared" si="114"/>
        <v>46.07715647589896</v>
      </c>
      <c r="V452" s="34">
        <f t="shared" si="115"/>
        <v>11.017377512362021</v>
      </c>
      <c r="W452" s="34">
        <f t="shared" si="116"/>
        <v>42.905466011739009</v>
      </c>
      <c r="X452" s="34"/>
      <c r="Y452" s="32">
        <v>2.0899999999999998E-2</v>
      </c>
      <c r="Z452" s="32" t="s">
        <v>320</v>
      </c>
      <c r="AA452" s="32">
        <v>3.6793999999999998</v>
      </c>
      <c r="AB452" s="32">
        <v>2.5499999999999998E-2</v>
      </c>
      <c r="AC452" s="32">
        <v>1.7399999999999999E-2</v>
      </c>
      <c r="AD452" s="32">
        <v>0</v>
      </c>
      <c r="AE452" s="32">
        <v>0.1406</v>
      </c>
      <c r="AF452" s="32">
        <v>0</v>
      </c>
      <c r="AG452" s="32">
        <v>0.87980000000000003</v>
      </c>
      <c r="AH452" s="32">
        <v>0.1027</v>
      </c>
      <c r="AI452" s="32">
        <v>7.8064</v>
      </c>
      <c r="AJ452" s="32">
        <v>3.4258999999999999</v>
      </c>
      <c r="AK452" s="32" t="s">
        <v>320</v>
      </c>
      <c r="AL452" s="32">
        <v>16.098600000000001</v>
      </c>
      <c r="AM452" s="11">
        <f t="shared" si="117"/>
        <v>7.9470000000000001</v>
      </c>
      <c r="AN452" s="34">
        <f t="shared" si="118"/>
        <v>6.7272727272727275</v>
      </c>
    </row>
    <row r="453" spans="1:40" s="32" customFormat="1" x14ac:dyDescent="0.25">
      <c r="A453" s="11" t="s">
        <v>692</v>
      </c>
      <c r="B453" s="32">
        <v>0.26900000000000002</v>
      </c>
      <c r="C453" s="32" t="s">
        <v>320</v>
      </c>
      <c r="D453" s="32">
        <v>28.558</v>
      </c>
      <c r="E453" s="32">
        <v>0.151</v>
      </c>
      <c r="F453" s="32">
        <v>5.8999999999999997E-2</v>
      </c>
      <c r="G453" s="32">
        <v>0</v>
      </c>
      <c r="H453" s="32">
        <v>0.68700000000000006</v>
      </c>
      <c r="I453" s="32">
        <v>0</v>
      </c>
      <c r="J453" s="32">
        <v>5.2949999999999999</v>
      </c>
      <c r="K453" s="32">
        <v>0.81499999999999995</v>
      </c>
      <c r="L453" s="32">
        <v>50.896000000000001</v>
      </c>
      <c r="M453" s="32">
        <v>14.545</v>
      </c>
      <c r="N453" s="32" t="s">
        <v>320</v>
      </c>
      <c r="O453" s="32">
        <v>101.27500000000001</v>
      </c>
      <c r="Q453" s="34">
        <f t="shared" si="110"/>
        <v>0.39749460644442897</v>
      </c>
      <c r="R453" s="34">
        <f t="shared" si="111"/>
        <v>0.36087334077657857</v>
      </c>
      <c r="S453" s="34">
        <f t="shared" si="112"/>
        <v>9.4422054994828628E-2</v>
      </c>
      <c r="T453" s="34">
        <f t="shared" si="113"/>
        <v>47.585521262993332</v>
      </c>
      <c r="U453" s="34">
        <f t="shared" si="114"/>
        <v>46.611077218495048</v>
      </c>
      <c r="V453" s="34">
        <f t="shared" si="115"/>
        <v>11.072134376515704</v>
      </c>
      <c r="W453" s="34">
        <f t="shared" si="116"/>
        <v>42.316788404989261</v>
      </c>
      <c r="X453" s="34"/>
      <c r="Y453" s="32">
        <v>3.1199999999999999E-2</v>
      </c>
      <c r="Z453" s="32" t="s">
        <v>320</v>
      </c>
      <c r="AA453" s="32">
        <v>3.6844999999999999</v>
      </c>
      <c r="AB453" s="32">
        <v>1.84E-2</v>
      </c>
      <c r="AC453" s="32">
        <v>1.78E-2</v>
      </c>
      <c r="AD453" s="32">
        <v>0</v>
      </c>
      <c r="AE453" s="32">
        <v>0.1249</v>
      </c>
      <c r="AF453" s="32">
        <v>0</v>
      </c>
      <c r="AG453" s="32">
        <v>0.87519999999999998</v>
      </c>
      <c r="AH453" s="32">
        <v>0.10639999999999999</v>
      </c>
      <c r="AI453" s="32">
        <v>7.8514999999999997</v>
      </c>
      <c r="AJ453" s="32">
        <v>3.3449</v>
      </c>
      <c r="AK453" s="32" t="s">
        <v>320</v>
      </c>
      <c r="AL453" s="32">
        <v>16.0548</v>
      </c>
      <c r="AM453" s="11">
        <f t="shared" si="117"/>
        <v>7.9763999999999999</v>
      </c>
      <c r="AN453" s="34">
        <f t="shared" si="118"/>
        <v>4.0032051282051286</v>
      </c>
    </row>
    <row r="454" spans="1:40" s="32" customFormat="1" x14ac:dyDescent="0.25">
      <c r="A454" s="11" t="s">
        <v>30</v>
      </c>
      <c r="B454" s="32">
        <v>0.245</v>
      </c>
      <c r="C454" s="32" t="s">
        <v>320</v>
      </c>
      <c r="D454" s="32">
        <v>28.536999999999999</v>
      </c>
      <c r="E454" s="32">
        <v>0.16500000000000001</v>
      </c>
      <c r="F454" s="32">
        <v>5.3999999999999999E-2</v>
      </c>
      <c r="G454" s="32">
        <v>0</v>
      </c>
      <c r="H454" s="32">
        <v>0.66800000000000004</v>
      </c>
      <c r="I454" s="32">
        <v>0</v>
      </c>
      <c r="J454" s="32">
        <v>6.5069999999999997</v>
      </c>
      <c r="K454" s="32">
        <v>0.79700000000000004</v>
      </c>
      <c r="L454" s="32">
        <v>50.883000000000003</v>
      </c>
      <c r="M454" s="32">
        <v>13.565</v>
      </c>
      <c r="N454" s="32" t="s">
        <v>320</v>
      </c>
      <c r="O454" s="32">
        <v>101.42100000000001</v>
      </c>
      <c r="Q454" s="34">
        <f t="shared" si="110"/>
        <v>0.39720231052961236</v>
      </c>
      <c r="R454" s="34">
        <f t="shared" si="111"/>
        <v>0.33655873961047017</v>
      </c>
      <c r="S454" s="34">
        <f t="shared" si="112"/>
        <v>0.1160348086593673</v>
      </c>
      <c r="T454" s="34">
        <f t="shared" si="113"/>
        <v>45.867621284370117</v>
      </c>
      <c r="U454" s="34">
        <f t="shared" si="114"/>
        <v>46.740909174441072</v>
      </c>
      <c r="V454" s="34">
        <f t="shared" si="115"/>
        <v>13.654433292166853</v>
      </c>
      <c r="W454" s="34">
        <f t="shared" si="116"/>
        <v>39.604657533392071</v>
      </c>
      <c r="X454" s="34"/>
      <c r="Y454" s="32">
        <v>2.8500000000000001E-2</v>
      </c>
      <c r="Z454" s="32" t="s">
        <v>320</v>
      </c>
      <c r="AA454" s="32">
        <v>3.6882999999999999</v>
      </c>
      <c r="AB454" s="32">
        <v>2.0199999999999999E-2</v>
      </c>
      <c r="AC454" s="32">
        <v>1.6299999999999999E-2</v>
      </c>
      <c r="AD454" s="32">
        <v>0</v>
      </c>
      <c r="AE454" s="32">
        <v>0.1217</v>
      </c>
      <c r="AF454" s="32">
        <v>0</v>
      </c>
      <c r="AG454" s="32">
        <v>1.0774999999999999</v>
      </c>
      <c r="AH454" s="32">
        <v>0.1043</v>
      </c>
      <c r="AI454" s="32">
        <v>7.8634000000000004</v>
      </c>
      <c r="AJ454" s="32">
        <v>3.125</v>
      </c>
      <c r="AK454" s="32" t="s">
        <v>320</v>
      </c>
      <c r="AL454" s="32">
        <v>16.045200000000001</v>
      </c>
      <c r="AM454" s="11">
        <f t="shared" si="117"/>
        <v>7.9851000000000001</v>
      </c>
      <c r="AN454" s="34">
        <f t="shared" si="118"/>
        <v>4.2701754385964907</v>
      </c>
    </row>
    <row r="455" spans="1:40" s="32" customFormat="1" x14ac:dyDescent="0.25">
      <c r="A455" s="11" t="s">
        <v>66</v>
      </c>
      <c r="B455" s="32">
        <v>0.56399999999999995</v>
      </c>
      <c r="C455" s="32" t="s">
        <v>320</v>
      </c>
      <c r="D455" s="32">
        <v>26.225000000000001</v>
      </c>
      <c r="E455" s="32">
        <v>0.15</v>
      </c>
      <c r="F455" s="32">
        <v>0.13700000000000001</v>
      </c>
      <c r="G455" s="32">
        <v>8.8999999999999996E-2</v>
      </c>
      <c r="H455" s="32">
        <v>1.2809999999999999</v>
      </c>
      <c r="I455" s="32">
        <v>2.9000000000000001E-2</v>
      </c>
      <c r="J455" s="32">
        <v>9.2669999999999995</v>
      </c>
      <c r="K455" s="32">
        <v>0.74199999999999999</v>
      </c>
      <c r="L455" s="32">
        <v>49.994999999999997</v>
      </c>
      <c r="M455" s="32">
        <v>12.355</v>
      </c>
      <c r="N455" s="32" t="s">
        <v>320</v>
      </c>
      <c r="O455" s="32">
        <v>100.834</v>
      </c>
      <c r="Q455" s="34">
        <f t="shared" ref="Q455:Q469" si="119">D455/(55.845+16)</f>
        <v>0.36502192219361129</v>
      </c>
      <c r="R455" s="34">
        <f t="shared" ref="R455:R469" si="120">M455/(24.305+16)</f>
        <v>0.30653765041558123</v>
      </c>
      <c r="S455" s="34">
        <f t="shared" ref="S455:S469" si="121">J455/(40.078+16)</f>
        <v>0.16525197046970289</v>
      </c>
      <c r="T455" s="34">
        <f t="shared" ref="T455:T469" si="122">R455/(Q455+R455)*100</f>
        <v>45.645637843355971</v>
      </c>
      <c r="U455" s="34">
        <f t="shared" ref="U455:U469" si="123">Q455/(Q455+R455+S455)*100</f>
        <v>43.620564894525685</v>
      </c>
      <c r="V455" s="34">
        <f t="shared" ref="V455:V469" si="124">S455/(Q455+R455+S455)*100</f>
        <v>19.747812017708121</v>
      </c>
      <c r="W455" s="34">
        <f t="shared" ref="W455:W469" si="125">R455/(Q455+R455+S455)*100</f>
        <v>36.631623087766194</v>
      </c>
      <c r="X455" s="34"/>
      <c r="Y455" s="32">
        <v>6.59E-2</v>
      </c>
      <c r="Z455" s="32" t="s">
        <v>320</v>
      </c>
      <c r="AA455" s="32">
        <v>3.4062999999999999</v>
      </c>
      <c r="AB455" s="32">
        <v>1.8499999999999999E-2</v>
      </c>
      <c r="AC455" s="32">
        <v>4.1300000000000003E-2</v>
      </c>
      <c r="AD455" s="32">
        <v>1.17E-2</v>
      </c>
      <c r="AE455" s="32">
        <v>0.2344</v>
      </c>
      <c r="AF455" s="32">
        <v>5.7999999999999996E-3</v>
      </c>
      <c r="AG455" s="32">
        <v>1.5422</v>
      </c>
      <c r="AH455" s="32">
        <v>9.7600000000000006E-2</v>
      </c>
      <c r="AI455" s="32">
        <v>7.7647000000000004</v>
      </c>
      <c r="AJ455" s="32">
        <v>2.8605</v>
      </c>
      <c r="AK455" s="32" t="s">
        <v>320</v>
      </c>
      <c r="AL455" s="32">
        <v>16.0489</v>
      </c>
      <c r="AM455" s="11">
        <f t="shared" ref="AM455:AM469" si="126">AI455+AE455</f>
        <v>7.9991000000000003</v>
      </c>
      <c r="AN455" s="34">
        <f t="shared" ref="AN455:AN469" si="127">AE455/Y455</f>
        <v>3.5569044006069803</v>
      </c>
    </row>
    <row r="456" spans="1:40" s="32" customFormat="1" x14ac:dyDescent="0.25">
      <c r="A456" s="11" t="s">
        <v>693</v>
      </c>
      <c r="B456" s="32">
        <v>0.32</v>
      </c>
      <c r="C456" s="32" t="s">
        <v>320</v>
      </c>
      <c r="D456" s="32">
        <v>29.193999999999999</v>
      </c>
      <c r="E456" s="32">
        <v>0.161</v>
      </c>
      <c r="F456" s="32">
        <v>6.6000000000000003E-2</v>
      </c>
      <c r="G456" s="32">
        <v>7.0000000000000001E-3</v>
      </c>
      <c r="H456" s="32">
        <v>0.82099999999999995</v>
      </c>
      <c r="I456" s="32">
        <v>0</v>
      </c>
      <c r="J456" s="32">
        <v>6.085</v>
      </c>
      <c r="K456" s="32">
        <v>0.82699999999999996</v>
      </c>
      <c r="L456" s="32">
        <v>50.332999999999998</v>
      </c>
      <c r="M456" s="32">
        <v>13.609</v>
      </c>
      <c r="N456" s="32" t="s">
        <v>320</v>
      </c>
      <c r="O456" s="32">
        <v>101.423</v>
      </c>
      <c r="Q456" s="34">
        <f t="shared" si="119"/>
        <v>0.40634699700744659</v>
      </c>
      <c r="R456" s="34">
        <f t="shared" si="120"/>
        <v>0.33765041558119341</v>
      </c>
      <c r="S456" s="34">
        <f t="shared" si="121"/>
        <v>0.108509575947787</v>
      </c>
      <c r="T456" s="34">
        <f t="shared" si="122"/>
        <v>45.383278203399087</v>
      </c>
      <c r="U456" s="34">
        <f t="shared" si="123"/>
        <v>47.664946149597895</v>
      </c>
      <c r="V456" s="34">
        <f t="shared" si="124"/>
        <v>12.728291662931099</v>
      </c>
      <c r="W456" s="34">
        <f t="shared" si="125"/>
        <v>39.60676218747102</v>
      </c>
      <c r="X456" s="34"/>
      <c r="Y456" s="32">
        <v>3.73E-2</v>
      </c>
      <c r="Z456" s="32" t="s">
        <v>320</v>
      </c>
      <c r="AA456" s="32">
        <v>3.7856000000000001</v>
      </c>
      <c r="AB456" s="32">
        <v>1.9800000000000002E-2</v>
      </c>
      <c r="AC456" s="32">
        <v>1.9699999999999999E-2</v>
      </c>
      <c r="AD456" s="32">
        <v>8.9999999999999998E-4</v>
      </c>
      <c r="AE456" s="32">
        <v>0.15010000000000001</v>
      </c>
      <c r="AF456" s="32">
        <v>0</v>
      </c>
      <c r="AG456" s="32">
        <v>1.0108999999999999</v>
      </c>
      <c r="AH456" s="32">
        <v>0.1086</v>
      </c>
      <c r="AI456" s="32">
        <v>7.8040000000000003</v>
      </c>
      <c r="AJ456" s="32">
        <v>3.1454</v>
      </c>
      <c r="AK456" s="32" t="s">
        <v>320</v>
      </c>
      <c r="AL456" s="32">
        <v>16.0823</v>
      </c>
      <c r="AM456" s="11">
        <f t="shared" si="126"/>
        <v>7.9541000000000004</v>
      </c>
      <c r="AN456" s="34">
        <f t="shared" si="127"/>
        <v>4.024128686327078</v>
      </c>
    </row>
    <row r="457" spans="1:40" s="32" customFormat="1" x14ac:dyDescent="0.25">
      <c r="A457" s="11" t="s">
        <v>237</v>
      </c>
      <c r="B457" s="32">
        <v>0.24399999999999999</v>
      </c>
      <c r="C457" s="32" t="s">
        <v>320</v>
      </c>
      <c r="D457" s="32">
        <v>29.617999999999999</v>
      </c>
      <c r="E457" s="32">
        <v>0.129</v>
      </c>
      <c r="F457" s="32">
        <v>8.4000000000000005E-2</v>
      </c>
      <c r="G457" s="32">
        <v>0</v>
      </c>
      <c r="H457" s="32">
        <v>0.64300000000000002</v>
      </c>
      <c r="I457" s="32">
        <v>0</v>
      </c>
      <c r="J457" s="32">
        <v>6.1440000000000001</v>
      </c>
      <c r="K457" s="32">
        <v>0.81</v>
      </c>
      <c r="L457" s="32">
        <v>50.351999999999997</v>
      </c>
      <c r="M457" s="32">
        <v>13.225</v>
      </c>
      <c r="N457" s="32" t="s">
        <v>320</v>
      </c>
      <c r="O457" s="32">
        <v>101.249</v>
      </c>
      <c r="Q457" s="34">
        <f t="shared" si="119"/>
        <v>0.41224859071612496</v>
      </c>
      <c r="R457" s="34">
        <f t="shared" si="120"/>
        <v>0.32812306165488153</v>
      </c>
      <c r="S457" s="34">
        <f t="shared" si="121"/>
        <v>0.10956168194300794</v>
      </c>
      <c r="T457" s="34">
        <f t="shared" si="122"/>
        <v>44.31869596898833</v>
      </c>
      <c r="U457" s="34">
        <f t="shared" si="123"/>
        <v>48.503638352865984</v>
      </c>
      <c r="V457" s="34">
        <f t="shared" si="124"/>
        <v>12.890620654552364</v>
      </c>
      <c r="W457" s="34">
        <f t="shared" si="125"/>
        <v>38.605740992581659</v>
      </c>
      <c r="X457" s="34"/>
      <c r="Y457" s="32">
        <v>2.86E-2</v>
      </c>
      <c r="Z457" s="32" t="s">
        <v>320</v>
      </c>
      <c r="AA457" s="32">
        <v>3.8553999999999999</v>
      </c>
      <c r="AB457" s="32">
        <v>1.5900000000000001E-2</v>
      </c>
      <c r="AC457" s="32">
        <v>2.53E-2</v>
      </c>
      <c r="AD457" s="32">
        <v>0</v>
      </c>
      <c r="AE457" s="32">
        <v>0.1179</v>
      </c>
      <c r="AF457" s="32">
        <v>0</v>
      </c>
      <c r="AG457" s="32">
        <v>1.0246</v>
      </c>
      <c r="AH457" s="32">
        <v>0.10680000000000001</v>
      </c>
      <c r="AI457" s="32">
        <v>7.8371000000000004</v>
      </c>
      <c r="AJ457" s="32">
        <v>3.0684</v>
      </c>
      <c r="AK457" s="32" t="s">
        <v>320</v>
      </c>
      <c r="AL457" s="32">
        <v>16.079999999999998</v>
      </c>
      <c r="AM457" s="11">
        <f t="shared" si="126"/>
        <v>7.9550000000000001</v>
      </c>
      <c r="AN457" s="34">
        <f t="shared" si="127"/>
        <v>4.1223776223776225</v>
      </c>
    </row>
    <row r="458" spans="1:40" s="32" customFormat="1" x14ac:dyDescent="0.25">
      <c r="A458" s="11" t="s">
        <v>41</v>
      </c>
      <c r="B458" s="32">
        <v>0.33200000000000002</v>
      </c>
      <c r="C458" s="32" t="s">
        <v>320</v>
      </c>
      <c r="D458" s="32">
        <v>29.154</v>
      </c>
      <c r="E458" s="32">
        <v>0.16300000000000001</v>
      </c>
      <c r="F458" s="32">
        <v>9.9000000000000005E-2</v>
      </c>
      <c r="G458" s="32">
        <v>6.0999999999999999E-2</v>
      </c>
      <c r="H458" s="32">
        <v>0.63900000000000001</v>
      </c>
      <c r="I458" s="32">
        <v>0</v>
      </c>
      <c r="J458" s="32">
        <v>6.4340000000000002</v>
      </c>
      <c r="K458" s="32">
        <v>0.81499999999999995</v>
      </c>
      <c r="L458" s="32">
        <v>50.497</v>
      </c>
      <c r="M458" s="32">
        <v>12.939</v>
      </c>
      <c r="N458" s="32" t="s">
        <v>320</v>
      </c>
      <c r="O458" s="32">
        <v>101.133</v>
      </c>
      <c r="Q458" s="34">
        <f t="shared" si="119"/>
        <v>0.40579024288398635</v>
      </c>
      <c r="R458" s="34">
        <f t="shared" si="120"/>
        <v>0.32102716784518048</v>
      </c>
      <c r="S458" s="34">
        <f t="shared" si="121"/>
        <v>0.11473305039409394</v>
      </c>
      <c r="T458" s="34">
        <f t="shared" si="122"/>
        <v>44.168887963638021</v>
      </c>
      <c r="U458" s="34">
        <f t="shared" si="123"/>
        <v>48.219359578551853</v>
      </c>
      <c r="V458" s="34">
        <f t="shared" si="124"/>
        <v>13.633531878879113</v>
      </c>
      <c r="W458" s="34">
        <f t="shared" si="125"/>
        <v>38.147108542569029</v>
      </c>
      <c r="X458" s="34"/>
      <c r="Y458" s="32">
        <v>3.8899999999999997E-2</v>
      </c>
      <c r="Z458" s="32" t="s">
        <v>320</v>
      </c>
      <c r="AA458" s="32">
        <v>3.7925</v>
      </c>
      <c r="AB458" s="32">
        <v>2.01E-2</v>
      </c>
      <c r="AC458" s="32">
        <v>2.9899999999999999E-2</v>
      </c>
      <c r="AD458" s="32">
        <v>8.0999999999999996E-3</v>
      </c>
      <c r="AE458" s="32">
        <v>0.1172</v>
      </c>
      <c r="AF458" s="32">
        <v>0</v>
      </c>
      <c r="AG458" s="32">
        <v>1.0724</v>
      </c>
      <c r="AH458" s="32">
        <v>0.1074</v>
      </c>
      <c r="AI458" s="32">
        <v>7.8544</v>
      </c>
      <c r="AJ458" s="32">
        <v>3.0001000000000002</v>
      </c>
      <c r="AK458" s="32" t="s">
        <v>320</v>
      </c>
      <c r="AL458" s="32">
        <v>16.041</v>
      </c>
      <c r="AM458" s="11">
        <f t="shared" si="126"/>
        <v>7.9716000000000005</v>
      </c>
      <c r="AN458" s="34">
        <f t="shared" si="127"/>
        <v>3.012853470437018</v>
      </c>
    </row>
    <row r="459" spans="1:40" s="32" customFormat="1" x14ac:dyDescent="0.25">
      <c r="A459" s="11" t="s">
        <v>201</v>
      </c>
      <c r="B459" s="32">
        <v>0.214</v>
      </c>
      <c r="C459" s="32" t="s">
        <v>320</v>
      </c>
      <c r="D459" s="32">
        <v>30.763999999999999</v>
      </c>
      <c r="E459" s="32">
        <v>0.16700000000000001</v>
      </c>
      <c r="F459" s="32">
        <v>0.08</v>
      </c>
      <c r="G459" s="32">
        <v>0</v>
      </c>
      <c r="H459" s="32">
        <v>0.71</v>
      </c>
      <c r="I459" s="32">
        <v>0</v>
      </c>
      <c r="J459" s="32">
        <v>5.0060000000000002</v>
      </c>
      <c r="K459" s="32">
        <v>0.77200000000000002</v>
      </c>
      <c r="L459" s="32">
        <v>50.165999999999997</v>
      </c>
      <c r="M459" s="32">
        <v>13.406000000000001</v>
      </c>
      <c r="N459" s="32" t="s">
        <v>320</v>
      </c>
      <c r="O459" s="32">
        <v>101.285</v>
      </c>
      <c r="Q459" s="34">
        <f t="shared" si="119"/>
        <v>0.42819959635326049</v>
      </c>
      <c r="R459" s="34">
        <f t="shared" si="120"/>
        <v>0.33261381962535669</v>
      </c>
      <c r="S459" s="34">
        <f t="shared" si="121"/>
        <v>8.9268518848746384E-2</v>
      </c>
      <c r="T459" s="34">
        <f t="shared" si="122"/>
        <v>43.718185384194754</v>
      </c>
      <c r="U459" s="34">
        <f t="shared" si="123"/>
        <v>50.371567587802012</v>
      </c>
      <c r="V459" s="34">
        <f t="shared" si="124"/>
        <v>10.50116643954741</v>
      </c>
      <c r="W459" s="34">
        <f t="shared" si="125"/>
        <v>39.127265972650576</v>
      </c>
      <c r="X459" s="34"/>
      <c r="Y459" s="32">
        <v>2.5100000000000001E-2</v>
      </c>
      <c r="Z459" s="32" t="s">
        <v>320</v>
      </c>
      <c r="AA459" s="32">
        <v>4.0118999999999998</v>
      </c>
      <c r="AB459" s="32">
        <v>2.0500000000000001E-2</v>
      </c>
      <c r="AC459" s="32">
        <v>2.4299999999999999E-2</v>
      </c>
      <c r="AD459" s="32">
        <v>0</v>
      </c>
      <c r="AE459" s="32">
        <v>0.1305</v>
      </c>
      <c r="AF459" s="32">
        <v>0</v>
      </c>
      <c r="AG459" s="32">
        <v>0.83650000000000002</v>
      </c>
      <c r="AH459" s="32">
        <v>0.1019</v>
      </c>
      <c r="AI459" s="32">
        <v>7.8223000000000003</v>
      </c>
      <c r="AJ459" s="32">
        <v>3.1162000000000001</v>
      </c>
      <c r="AK459" s="32" t="s">
        <v>320</v>
      </c>
      <c r="AL459" s="32">
        <v>16.089200000000002</v>
      </c>
      <c r="AM459" s="11">
        <f t="shared" si="126"/>
        <v>7.9527999999999999</v>
      </c>
      <c r="AN459" s="34">
        <f t="shared" si="127"/>
        <v>5.1992031872509958</v>
      </c>
    </row>
    <row r="460" spans="1:40" s="32" customFormat="1" x14ac:dyDescent="0.25">
      <c r="A460" s="11" t="s">
        <v>58</v>
      </c>
      <c r="B460" s="32">
        <v>0.32100000000000001</v>
      </c>
      <c r="C460" s="32" t="s">
        <v>320</v>
      </c>
      <c r="D460" s="32">
        <v>29.5</v>
      </c>
      <c r="E460" s="32">
        <v>0.126</v>
      </c>
      <c r="F460" s="32">
        <v>7.0000000000000007E-2</v>
      </c>
      <c r="G460" s="32">
        <v>0</v>
      </c>
      <c r="H460" s="32">
        <v>0.71599999999999997</v>
      </c>
      <c r="I460" s="32">
        <v>0</v>
      </c>
      <c r="J460" s="32">
        <v>6.6040000000000001</v>
      </c>
      <c r="K460" s="32">
        <v>0.76400000000000001</v>
      </c>
      <c r="L460" s="32">
        <v>50.273000000000003</v>
      </c>
      <c r="M460" s="32">
        <v>12.85</v>
      </c>
      <c r="N460" s="32" t="s">
        <v>320</v>
      </c>
      <c r="O460" s="32">
        <v>101.224</v>
      </c>
      <c r="Q460" s="34">
        <f t="shared" si="119"/>
        <v>0.41060616605191735</v>
      </c>
      <c r="R460" s="34">
        <f t="shared" si="120"/>
        <v>0.31881900508621758</v>
      </c>
      <c r="S460" s="34">
        <f t="shared" si="121"/>
        <v>0.11776454224473056</v>
      </c>
      <c r="T460" s="34">
        <f t="shared" si="122"/>
        <v>43.708253800558964</v>
      </c>
      <c r="U460" s="34">
        <f t="shared" si="123"/>
        <v>48.466849817185462</v>
      </c>
      <c r="V460" s="34">
        <f t="shared" si="124"/>
        <v>13.900610498974498</v>
      </c>
      <c r="W460" s="34">
        <f t="shared" si="125"/>
        <v>37.632539683840044</v>
      </c>
      <c r="X460" s="34"/>
      <c r="Y460" s="32">
        <v>3.7600000000000001E-2</v>
      </c>
      <c r="Z460" s="32" t="s">
        <v>320</v>
      </c>
      <c r="AA460" s="32">
        <v>3.8433000000000002</v>
      </c>
      <c r="AB460" s="32">
        <v>1.55E-2</v>
      </c>
      <c r="AC460" s="32">
        <v>2.12E-2</v>
      </c>
      <c r="AD460" s="32">
        <v>0</v>
      </c>
      <c r="AE460" s="32">
        <v>0.13150000000000001</v>
      </c>
      <c r="AF460" s="32">
        <v>0</v>
      </c>
      <c r="AG460" s="32">
        <v>1.1023000000000001</v>
      </c>
      <c r="AH460" s="32">
        <v>0.1008</v>
      </c>
      <c r="AI460" s="32">
        <v>7.8315999999999999</v>
      </c>
      <c r="AJ460" s="32">
        <v>2.9841000000000002</v>
      </c>
      <c r="AK460" s="32" t="s">
        <v>320</v>
      </c>
      <c r="AL460" s="32">
        <v>16.067900000000002</v>
      </c>
      <c r="AM460" s="11">
        <f t="shared" si="126"/>
        <v>7.9630999999999998</v>
      </c>
      <c r="AN460" s="34">
        <f t="shared" si="127"/>
        <v>3.4973404255319149</v>
      </c>
    </row>
    <row r="461" spans="1:40" s="32" customFormat="1" x14ac:dyDescent="0.25">
      <c r="A461" s="11" t="s">
        <v>35</v>
      </c>
      <c r="B461" s="32">
        <v>0.44700000000000001</v>
      </c>
      <c r="C461" s="32" t="s">
        <v>320</v>
      </c>
      <c r="D461" s="32">
        <v>30.608000000000001</v>
      </c>
      <c r="E461" s="32">
        <v>0.14499999999999999</v>
      </c>
      <c r="F461" s="32">
        <v>9.4E-2</v>
      </c>
      <c r="G461" s="32">
        <v>0</v>
      </c>
      <c r="H461" s="32">
        <v>0.96699999999999997</v>
      </c>
      <c r="I461" s="32">
        <v>0</v>
      </c>
      <c r="J461" s="32">
        <v>5.048</v>
      </c>
      <c r="K461" s="32">
        <v>0.77400000000000002</v>
      </c>
      <c r="L461" s="32">
        <v>49.686</v>
      </c>
      <c r="M461" s="32">
        <v>13.217000000000001</v>
      </c>
      <c r="N461" s="32" t="s">
        <v>320</v>
      </c>
      <c r="O461" s="32">
        <v>100.986</v>
      </c>
      <c r="Q461" s="34">
        <f t="shared" si="119"/>
        <v>0.42602825527176563</v>
      </c>
      <c r="R461" s="34">
        <f t="shared" si="120"/>
        <v>0.32792457511475004</v>
      </c>
      <c r="S461" s="34">
        <f t="shared" si="121"/>
        <v>9.0017475658903667E-2</v>
      </c>
      <c r="T461" s="34">
        <f t="shared" si="122"/>
        <v>43.494043910762784</v>
      </c>
      <c r="U461" s="34">
        <f t="shared" si="123"/>
        <v>50.479057405230364</v>
      </c>
      <c r="V461" s="34">
        <f t="shared" si="124"/>
        <v>10.665952938640388</v>
      </c>
      <c r="W461" s="34">
        <f t="shared" si="125"/>
        <v>38.854989656129248</v>
      </c>
      <c r="X461" s="34"/>
      <c r="Y461" s="32">
        <v>5.2600000000000001E-2</v>
      </c>
      <c r="Z461" s="32" t="s">
        <v>320</v>
      </c>
      <c r="AA461" s="32">
        <v>4.0053000000000001</v>
      </c>
      <c r="AB461" s="32">
        <v>1.7999999999999999E-2</v>
      </c>
      <c r="AC461" s="32">
        <v>2.8500000000000001E-2</v>
      </c>
      <c r="AD461" s="32">
        <v>0</v>
      </c>
      <c r="AE461" s="32">
        <v>0.1784</v>
      </c>
      <c r="AF461" s="32">
        <v>0</v>
      </c>
      <c r="AG461" s="32">
        <v>0.84640000000000004</v>
      </c>
      <c r="AH461" s="32">
        <v>0.1026</v>
      </c>
      <c r="AI461" s="32">
        <v>7.7744</v>
      </c>
      <c r="AJ461" s="32">
        <v>3.0828000000000002</v>
      </c>
      <c r="AK461" s="32" t="s">
        <v>320</v>
      </c>
      <c r="AL461" s="32">
        <v>16.088999999999999</v>
      </c>
      <c r="AM461" s="11">
        <f t="shared" si="126"/>
        <v>7.9527999999999999</v>
      </c>
      <c r="AN461" s="34">
        <f t="shared" si="127"/>
        <v>3.3916349809885933</v>
      </c>
    </row>
    <row r="462" spans="1:40" s="32" customFormat="1" x14ac:dyDescent="0.25">
      <c r="A462" s="11" t="s">
        <v>204</v>
      </c>
      <c r="B462" s="32">
        <v>0.38300000000000001</v>
      </c>
      <c r="C462" s="32" t="s">
        <v>320</v>
      </c>
      <c r="D462" s="32">
        <v>30.484999999999999</v>
      </c>
      <c r="E462" s="32">
        <v>0.187</v>
      </c>
      <c r="F462" s="32">
        <v>4.3999999999999997E-2</v>
      </c>
      <c r="G462" s="32">
        <v>2.1000000000000001E-2</v>
      </c>
      <c r="H462" s="32">
        <v>0.68799999999999994</v>
      </c>
      <c r="I462" s="32">
        <v>3.0000000000000001E-3</v>
      </c>
      <c r="J462" s="32">
        <v>5.9829999999999997</v>
      </c>
      <c r="K462" s="32">
        <v>0.82899999999999996</v>
      </c>
      <c r="L462" s="32">
        <v>49.908000000000001</v>
      </c>
      <c r="M462" s="32">
        <v>12.772</v>
      </c>
      <c r="N462" s="32" t="s">
        <v>320</v>
      </c>
      <c r="O462" s="32">
        <v>101.303</v>
      </c>
      <c r="Q462" s="34">
        <f t="shared" si="119"/>
        <v>0.4243162363421254</v>
      </c>
      <c r="R462" s="34">
        <f t="shared" si="120"/>
        <v>0.31688376131993551</v>
      </c>
      <c r="S462" s="34">
        <f t="shared" si="121"/>
        <v>0.10669068083740503</v>
      </c>
      <c r="T462" s="34">
        <f t="shared" si="122"/>
        <v>42.752801176399082</v>
      </c>
      <c r="U462" s="34">
        <f t="shared" si="123"/>
        <v>50.043743503944263</v>
      </c>
      <c r="V462" s="34">
        <f t="shared" si="124"/>
        <v>12.583070381929224</v>
      </c>
      <c r="W462" s="34">
        <f t="shared" si="125"/>
        <v>37.373186114126518</v>
      </c>
      <c r="X462" s="34"/>
      <c r="Y462" s="32">
        <v>4.4999999999999998E-2</v>
      </c>
      <c r="Z462" s="32" t="s">
        <v>320</v>
      </c>
      <c r="AA462" s="32">
        <v>3.9845000000000002</v>
      </c>
      <c r="AB462" s="32">
        <v>2.3099999999999999E-2</v>
      </c>
      <c r="AC462" s="32">
        <v>1.3299999999999999E-2</v>
      </c>
      <c r="AD462" s="32">
        <v>2.8E-3</v>
      </c>
      <c r="AE462" s="32">
        <v>0.12670000000000001</v>
      </c>
      <c r="AF462" s="32">
        <v>5.9999999999999995E-4</v>
      </c>
      <c r="AG462" s="32">
        <v>1.0019</v>
      </c>
      <c r="AH462" s="32">
        <v>0.10979999999999999</v>
      </c>
      <c r="AI462" s="32">
        <v>7.7998000000000003</v>
      </c>
      <c r="AJ462" s="32">
        <v>2.9756</v>
      </c>
      <c r="AK462" s="32" t="s">
        <v>320</v>
      </c>
      <c r="AL462" s="32">
        <v>16.083100000000002</v>
      </c>
      <c r="AM462" s="11">
        <f t="shared" si="126"/>
        <v>7.9264999999999999</v>
      </c>
      <c r="AN462" s="34">
        <f t="shared" si="127"/>
        <v>2.815555555555556</v>
      </c>
    </row>
    <row r="463" spans="1:40" s="32" customFormat="1" x14ac:dyDescent="0.25">
      <c r="A463" s="11" t="s">
        <v>219</v>
      </c>
      <c r="B463" s="32">
        <v>0.371</v>
      </c>
      <c r="C463" s="32" t="s">
        <v>320</v>
      </c>
      <c r="D463" s="32">
        <v>30.324999999999999</v>
      </c>
      <c r="E463" s="32">
        <v>0.13500000000000001</v>
      </c>
      <c r="F463" s="32">
        <v>5.6000000000000001E-2</v>
      </c>
      <c r="G463" s="32">
        <v>0</v>
      </c>
      <c r="H463" s="32">
        <v>0.68</v>
      </c>
      <c r="I463" s="32">
        <v>0</v>
      </c>
      <c r="J463" s="32">
        <v>6.84</v>
      </c>
      <c r="K463" s="32">
        <v>0.83599999999999997</v>
      </c>
      <c r="L463" s="32">
        <v>50.009</v>
      </c>
      <c r="M463" s="32">
        <v>12.103</v>
      </c>
      <c r="N463" s="32" t="s">
        <v>320</v>
      </c>
      <c r="O463" s="32">
        <v>101.355</v>
      </c>
      <c r="Q463" s="34">
        <f t="shared" si="119"/>
        <v>0.42208921984828451</v>
      </c>
      <c r="R463" s="34">
        <f t="shared" si="120"/>
        <v>0.30028532440143901</v>
      </c>
      <c r="S463" s="34">
        <f t="shared" si="121"/>
        <v>0.12197296622561431</v>
      </c>
      <c r="T463" s="34">
        <f t="shared" si="122"/>
        <v>41.569200741053649</v>
      </c>
      <c r="U463" s="34">
        <f t="shared" si="123"/>
        <v>49.989988080934026</v>
      </c>
      <c r="V463" s="34">
        <f t="shared" si="124"/>
        <v>14.445825292591651</v>
      </c>
      <c r="W463" s="34">
        <f t="shared" si="125"/>
        <v>35.564186626474324</v>
      </c>
      <c r="X463" s="34"/>
      <c r="Y463" s="32">
        <v>4.3700000000000003E-2</v>
      </c>
      <c r="Z463" s="32" t="s">
        <v>320</v>
      </c>
      <c r="AA463" s="32">
        <v>3.9670000000000001</v>
      </c>
      <c r="AB463" s="32">
        <v>1.67E-2</v>
      </c>
      <c r="AC463" s="32">
        <v>1.7100000000000001E-2</v>
      </c>
      <c r="AD463" s="32">
        <v>0</v>
      </c>
      <c r="AE463" s="32">
        <v>0.12540000000000001</v>
      </c>
      <c r="AF463" s="32">
        <v>0</v>
      </c>
      <c r="AG463" s="32">
        <v>1.1464000000000001</v>
      </c>
      <c r="AH463" s="32">
        <v>0.1108</v>
      </c>
      <c r="AI463" s="32">
        <v>7.8223000000000003</v>
      </c>
      <c r="AJ463" s="32">
        <v>2.8220000000000001</v>
      </c>
      <c r="AK463" s="32" t="s">
        <v>320</v>
      </c>
      <c r="AL463" s="32">
        <v>16.071400000000001</v>
      </c>
      <c r="AM463" s="11">
        <f t="shared" si="126"/>
        <v>7.9477000000000002</v>
      </c>
      <c r="AN463" s="34">
        <f t="shared" si="127"/>
        <v>2.8695652173913042</v>
      </c>
    </row>
    <row r="464" spans="1:40" s="32" customFormat="1" x14ac:dyDescent="0.25">
      <c r="A464" s="11" t="s">
        <v>229</v>
      </c>
      <c r="B464" s="32">
        <v>0.501</v>
      </c>
      <c r="C464" s="32" t="s">
        <v>320</v>
      </c>
      <c r="D464" s="32">
        <v>30.582000000000001</v>
      </c>
      <c r="E464" s="32">
        <v>0.16</v>
      </c>
      <c r="F464" s="32">
        <v>6.6000000000000003E-2</v>
      </c>
      <c r="G464" s="32">
        <v>0</v>
      </c>
      <c r="H464" s="32">
        <v>0.66200000000000003</v>
      </c>
      <c r="I464" s="32">
        <v>4.0000000000000001E-3</v>
      </c>
      <c r="J464" s="32">
        <v>5.702</v>
      </c>
      <c r="K464" s="32">
        <v>0.83899999999999997</v>
      </c>
      <c r="L464" s="32">
        <v>50.204000000000001</v>
      </c>
      <c r="M464" s="32">
        <v>12.196999999999999</v>
      </c>
      <c r="N464" s="32" t="s">
        <v>320</v>
      </c>
      <c r="O464" s="32">
        <v>100.917</v>
      </c>
      <c r="Q464" s="34">
        <f t="shared" si="119"/>
        <v>0.42566636509151645</v>
      </c>
      <c r="R464" s="34">
        <f t="shared" si="120"/>
        <v>0.30261754124798412</v>
      </c>
      <c r="S464" s="34">
        <f t="shared" si="121"/>
        <v>0.10167980313135275</v>
      </c>
      <c r="T464" s="34">
        <f t="shared" si="122"/>
        <v>41.552139023502512</v>
      </c>
      <c r="U464" s="34">
        <f t="shared" si="123"/>
        <v>51.287346691688697</v>
      </c>
      <c r="V464" s="34">
        <f t="shared" si="124"/>
        <v>12.251114352479233</v>
      </c>
      <c r="W464" s="34">
        <f t="shared" si="125"/>
        <v>36.461538955832076</v>
      </c>
      <c r="X464" s="34"/>
      <c r="Y464" s="32">
        <v>5.8999999999999997E-2</v>
      </c>
      <c r="Z464" s="32" t="s">
        <v>320</v>
      </c>
      <c r="AA464" s="32">
        <v>4.0076000000000001</v>
      </c>
      <c r="AB464" s="32">
        <v>1.9800000000000002E-2</v>
      </c>
      <c r="AC464" s="32">
        <v>2.0199999999999999E-2</v>
      </c>
      <c r="AD464" s="32">
        <v>0</v>
      </c>
      <c r="AE464" s="32">
        <v>0.1222</v>
      </c>
      <c r="AF464" s="32">
        <v>8.0000000000000004E-4</v>
      </c>
      <c r="AG464" s="32">
        <v>0.95730000000000004</v>
      </c>
      <c r="AH464" s="32">
        <v>0.1114</v>
      </c>
      <c r="AI464" s="32">
        <v>7.8666</v>
      </c>
      <c r="AJ464" s="32">
        <v>2.8491</v>
      </c>
      <c r="AK464" s="32" t="s">
        <v>320</v>
      </c>
      <c r="AL464" s="32">
        <v>16.013999999999999</v>
      </c>
      <c r="AM464" s="11">
        <f t="shared" si="126"/>
        <v>7.9888000000000003</v>
      </c>
      <c r="AN464" s="34">
        <f t="shared" si="127"/>
        <v>2.0711864406779661</v>
      </c>
    </row>
    <row r="465" spans="1:40" s="32" customFormat="1" x14ac:dyDescent="0.25">
      <c r="A465" s="11" t="s">
        <v>47</v>
      </c>
      <c r="B465" s="32">
        <v>0.42899999999999999</v>
      </c>
      <c r="C465" s="32" t="s">
        <v>320</v>
      </c>
      <c r="D465" s="32">
        <v>30.847999999999999</v>
      </c>
      <c r="E465" s="32">
        <v>0.13100000000000001</v>
      </c>
      <c r="F465" s="32">
        <v>7.8E-2</v>
      </c>
      <c r="G465" s="32">
        <v>0</v>
      </c>
      <c r="H465" s="32">
        <v>0.77400000000000002</v>
      </c>
      <c r="I465" s="32">
        <v>0</v>
      </c>
      <c r="J465" s="32">
        <v>6.1580000000000004</v>
      </c>
      <c r="K465" s="32">
        <v>0.78700000000000003</v>
      </c>
      <c r="L465" s="32">
        <v>49.545000000000002</v>
      </c>
      <c r="M465" s="32">
        <v>11.521000000000001</v>
      </c>
      <c r="N465" s="32" t="s">
        <v>320</v>
      </c>
      <c r="O465" s="32">
        <v>100.271</v>
      </c>
      <c r="Q465" s="34">
        <f t="shared" si="119"/>
        <v>0.42936878001252698</v>
      </c>
      <c r="R465" s="34">
        <f t="shared" si="120"/>
        <v>0.28584542860687262</v>
      </c>
      <c r="S465" s="34">
        <f t="shared" si="121"/>
        <v>0.10981133421306039</v>
      </c>
      <c r="T465" s="34">
        <f t="shared" si="122"/>
        <v>39.966407988265367</v>
      </c>
      <c r="U465" s="34">
        <f t="shared" si="123"/>
        <v>52.043089301020586</v>
      </c>
      <c r="V465" s="34">
        <f t="shared" si="124"/>
        <v>13.310052660437455</v>
      </c>
      <c r="W465" s="34">
        <f t="shared" si="125"/>
        <v>34.646858038541964</v>
      </c>
      <c r="X465" s="34"/>
      <c r="Y465" s="32">
        <v>5.11E-2</v>
      </c>
      <c r="Z465" s="32" t="s">
        <v>320</v>
      </c>
      <c r="AA465" s="32">
        <v>4.0850999999999997</v>
      </c>
      <c r="AB465" s="32">
        <v>1.6500000000000001E-2</v>
      </c>
      <c r="AC465" s="32">
        <v>2.3900000000000001E-2</v>
      </c>
      <c r="AD465" s="32">
        <v>0</v>
      </c>
      <c r="AE465" s="32">
        <v>0.1444</v>
      </c>
      <c r="AF465" s="32">
        <v>0</v>
      </c>
      <c r="AG465" s="32">
        <v>1.0448</v>
      </c>
      <c r="AH465" s="32">
        <v>0.1055</v>
      </c>
      <c r="AI465" s="32">
        <v>7.8449</v>
      </c>
      <c r="AJ465" s="32">
        <v>2.7193000000000001</v>
      </c>
      <c r="AK465" s="32" t="s">
        <v>320</v>
      </c>
      <c r="AL465" s="32">
        <v>16.035499999999999</v>
      </c>
      <c r="AM465" s="11">
        <f t="shared" si="126"/>
        <v>7.9893000000000001</v>
      </c>
      <c r="AN465" s="34">
        <f t="shared" si="127"/>
        <v>2.8258317025440314</v>
      </c>
    </row>
    <row r="466" spans="1:40" s="32" customFormat="1" x14ac:dyDescent="0.25">
      <c r="A466" s="11" t="s">
        <v>217</v>
      </c>
      <c r="B466" s="32">
        <v>0.439</v>
      </c>
      <c r="C466" s="32" t="s">
        <v>320</v>
      </c>
      <c r="D466" s="32">
        <v>31.393999999999998</v>
      </c>
      <c r="E466" s="32">
        <v>0.123</v>
      </c>
      <c r="F466" s="32">
        <v>5.5E-2</v>
      </c>
      <c r="G466" s="32">
        <v>0</v>
      </c>
      <c r="H466" s="32">
        <v>0.77400000000000002</v>
      </c>
      <c r="I466" s="32">
        <v>2E-3</v>
      </c>
      <c r="J466" s="32">
        <v>6.1070000000000002</v>
      </c>
      <c r="K466" s="32">
        <v>0.83499999999999996</v>
      </c>
      <c r="L466" s="32">
        <v>49.561999999999998</v>
      </c>
      <c r="M466" s="32">
        <v>11.624000000000001</v>
      </c>
      <c r="N466" s="32" t="s">
        <v>320</v>
      </c>
      <c r="O466" s="32">
        <v>100.91500000000001</v>
      </c>
      <c r="Q466" s="34">
        <f t="shared" si="119"/>
        <v>0.43696847379775905</v>
      </c>
      <c r="R466" s="34">
        <f t="shared" si="120"/>
        <v>0.28840094281106565</v>
      </c>
      <c r="S466" s="34">
        <f t="shared" si="121"/>
        <v>0.10890188665786939</v>
      </c>
      <c r="T466" s="34">
        <f t="shared" si="122"/>
        <v>39.759181488429604</v>
      </c>
      <c r="U466" s="34">
        <f t="shared" si="123"/>
        <v>52.37726289838259</v>
      </c>
      <c r="V466" s="34">
        <f t="shared" si="124"/>
        <v>13.053533812256321</v>
      </c>
      <c r="W466" s="34">
        <f t="shared" si="125"/>
        <v>34.569203289361091</v>
      </c>
      <c r="X466" s="34"/>
      <c r="Y466" s="32">
        <v>5.21E-2</v>
      </c>
      <c r="Z466" s="32" t="s">
        <v>320</v>
      </c>
      <c r="AA466" s="32">
        <v>4.1403999999999996</v>
      </c>
      <c r="AB466" s="32">
        <v>1.5299999999999999E-2</v>
      </c>
      <c r="AC466" s="32">
        <v>1.6899999999999998E-2</v>
      </c>
      <c r="AD466" s="32">
        <v>0</v>
      </c>
      <c r="AE466" s="32">
        <v>0.14380000000000001</v>
      </c>
      <c r="AF466" s="32">
        <v>5.0000000000000001E-4</v>
      </c>
      <c r="AG466" s="32">
        <v>1.0319</v>
      </c>
      <c r="AH466" s="32">
        <v>0.1115</v>
      </c>
      <c r="AI466" s="32">
        <v>7.8159000000000001</v>
      </c>
      <c r="AJ466" s="32">
        <v>2.7326999999999999</v>
      </c>
      <c r="AK466" s="32" t="s">
        <v>320</v>
      </c>
      <c r="AL466" s="32">
        <v>16.061</v>
      </c>
      <c r="AM466" s="11">
        <f t="shared" si="126"/>
        <v>7.9596999999999998</v>
      </c>
      <c r="AN466" s="34">
        <f t="shared" si="127"/>
        <v>2.760076775431862</v>
      </c>
    </row>
    <row r="467" spans="1:40" s="32" customFormat="1" x14ac:dyDescent="0.25">
      <c r="A467" s="11" t="s">
        <v>166</v>
      </c>
      <c r="B467" s="32">
        <v>0.42299999999999999</v>
      </c>
      <c r="C467" s="32" t="s">
        <v>320</v>
      </c>
      <c r="D467" s="32">
        <v>31.550999999999998</v>
      </c>
      <c r="E467" s="32">
        <v>0.124</v>
      </c>
      <c r="F467" s="32">
        <v>8.5999999999999993E-2</v>
      </c>
      <c r="G467" s="32">
        <v>4.2999999999999997E-2</v>
      </c>
      <c r="H467" s="32">
        <v>0.70799999999999996</v>
      </c>
      <c r="I467" s="32">
        <v>5.0000000000000001E-3</v>
      </c>
      <c r="J467" s="32">
        <v>6.25</v>
      </c>
      <c r="K467" s="32">
        <v>0.82399999999999995</v>
      </c>
      <c r="L467" s="32">
        <v>49.68</v>
      </c>
      <c r="M467" s="32">
        <v>11.576000000000001</v>
      </c>
      <c r="N467" s="32" t="s">
        <v>320</v>
      </c>
      <c r="O467" s="32">
        <v>101.27</v>
      </c>
      <c r="Q467" s="34">
        <f t="shared" si="119"/>
        <v>0.43915373373234046</v>
      </c>
      <c r="R467" s="34">
        <f t="shared" si="120"/>
        <v>0.28721002357027664</v>
      </c>
      <c r="S467" s="34">
        <f t="shared" si="121"/>
        <v>0.1114519062734049</v>
      </c>
      <c r="T467" s="34">
        <f t="shared" si="122"/>
        <v>39.540797662708741</v>
      </c>
      <c r="U467" s="34">
        <f t="shared" si="123"/>
        <v>52.416510316590937</v>
      </c>
      <c r="V467" s="34">
        <f t="shared" si="124"/>
        <v>13.302676366505045</v>
      </c>
      <c r="W467" s="34">
        <f t="shared" si="125"/>
        <v>34.280813316904002</v>
      </c>
      <c r="X467" s="34"/>
      <c r="Y467" s="32">
        <v>5.0099999999999999E-2</v>
      </c>
      <c r="Z467" s="32" t="s">
        <v>320</v>
      </c>
      <c r="AA467" s="32">
        <v>4.1496000000000004</v>
      </c>
      <c r="AB467" s="32">
        <v>1.54E-2</v>
      </c>
      <c r="AC467" s="32">
        <v>2.63E-2</v>
      </c>
      <c r="AD467" s="32">
        <v>5.7000000000000002E-3</v>
      </c>
      <c r="AE467" s="32">
        <v>0.13120000000000001</v>
      </c>
      <c r="AF467" s="32">
        <v>1E-3</v>
      </c>
      <c r="AG467" s="32">
        <v>1.0531999999999999</v>
      </c>
      <c r="AH467" s="32">
        <v>0.10970000000000001</v>
      </c>
      <c r="AI467" s="32">
        <v>7.8129</v>
      </c>
      <c r="AJ467" s="32">
        <v>2.7136999999999998</v>
      </c>
      <c r="AK467" s="32" t="s">
        <v>320</v>
      </c>
      <c r="AL467" s="32">
        <v>16.0688</v>
      </c>
      <c r="AM467" s="11">
        <f t="shared" si="126"/>
        <v>7.9440999999999997</v>
      </c>
      <c r="AN467" s="34">
        <f t="shared" si="127"/>
        <v>2.6187624750499006</v>
      </c>
    </row>
    <row r="468" spans="1:40" s="30" customFormat="1" x14ac:dyDescent="0.25">
      <c r="A468" s="11" t="s">
        <v>193</v>
      </c>
      <c r="B468" s="32">
        <v>0.48199999999999998</v>
      </c>
      <c r="C468" s="32" t="s">
        <v>320</v>
      </c>
      <c r="D468" s="32">
        <v>32.133000000000003</v>
      </c>
      <c r="E468" s="32">
        <v>0.121</v>
      </c>
      <c r="F468" s="32">
        <v>6.7000000000000004E-2</v>
      </c>
      <c r="G468" s="32">
        <v>0</v>
      </c>
      <c r="H468" s="32">
        <v>0.67800000000000005</v>
      </c>
      <c r="I468" s="32">
        <v>5.0000000000000001E-3</v>
      </c>
      <c r="J468" s="32">
        <v>7.0449999999999999</v>
      </c>
      <c r="K468" s="32">
        <v>0.84699999999999998</v>
      </c>
      <c r="L468" s="32">
        <v>49.350999999999999</v>
      </c>
      <c r="M468" s="32">
        <v>10.664</v>
      </c>
      <c r="N468" s="32" t="s">
        <v>320</v>
      </c>
      <c r="O468" s="32">
        <v>101.393</v>
      </c>
      <c r="P468" s="32"/>
      <c r="Q468" s="34">
        <f t="shared" si="119"/>
        <v>0.44725450622868679</v>
      </c>
      <c r="R468" s="34">
        <f t="shared" si="120"/>
        <v>0.26458255799528596</v>
      </c>
      <c r="S468" s="34">
        <f t="shared" si="121"/>
        <v>0.125628588751382</v>
      </c>
      <c r="T468" s="34">
        <f t="shared" si="122"/>
        <v>37.168977465893455</v>
      </c>
      <c r="U468" s="34">
        <f t="shared" si="123"/>
        <v>53.405713373399536</v>
      </c>
      <c r="V468" s="34">
        <f t="shared" si="124"/>
        <v>15.001043721022794</v>
      </c>
      <c r="W468" s="34">
        <f t="shared" si="125"/>
        <v>31.593242905577668</v>
      </c>
      <c r="X468" s="34"/>
      <c r="Y468" s="32">
        <v>5.7200000000000001E-2</v>
      </c>
      <c r="Z468" s="32" t="s">
        <v>320</v>
      </c>
      <c r="AA468" s="32">
        <v>4.2468000000000004</v>
      </c>
      <c r="AB468" s="32">
        <v>1.5100000000000001E-2</v>
      </c>
      <c r="AC468" s="32">
        <v>2.06E-2</v>
      </c>
      <c r="AD468" s="32">
        <v>0</v>
      </c>
      <c r="AE468" s="32">
        <v>0.12620000000000001</v>
      </c>
      <c r="AF468" s="32">
        <v>8.9999999999999998E-4</v>
      </c>
      <c r="AG468" s="32">
        <v>1.1929000000000001</v>
      </c>
      <c r="AH468" s="32">
        <v>0.1133</v>
      </c>
      <c r="AI468" s="32">
        <v>7.7988</v>
      </c>
      <c r="AJ468" s="32">
        <v>2.5122</v>
      </c>
      <c r="AK468" s="32" t="s">
        <v>320</v>
      </c>
      <c r="AL468" s="32">
        <v>16.084</v>
      </c>
      <c r="AM468" s="11">
        <f t="shared" si="126"/>
        <v>7.9249999999999998</v>
      </c>
      <c r="AN468" s="34">
        <f t="shared" si="127"/>
        <v>2.2062937062937062</v>
      </c>
    </row>
    <row r="469" spans="1:40" x14ac:dyDescent="0.25">
      <c r="A469" s="11" t="s">
        <v>264</v>
      </c>
      <c r="B469" s="32">
        <v>0.41799999999999998</v>
      </c>
      <c r="C469" s="32" t="s">
        <v>320</v>
      </c>
      <c r="D469" s="32">
        <v>33.825000000000003</v>
      </c>
      <c r="E469" s="32">
        <v>5.2999999999999999E-2</v>
      </c>
      <c r="F469" s="32">
        <v>6.6000000000000003E-2</v>
      </c>
      <c r="G469" s="32">
        <v>0</v>
      </c>
      <c r="H469" s="32">
        <v>0.625</v>
      </c>
      <c r="I469" s="32">
        <v>2E-3</v>
      </c>
      <c r="J469" s="32">
        <v>6.657</v>
      </c>
      <c r="K469" s="32">
        <v>0.90300000000000002</v>
      </c>
      <c r="L469" s="32">
        <v>49.003</v>
      </c>
      <c r="M469" s="32">
        <v>9.7840000000000007</v>
      </c>
      <c r="N469" s="32" t="s">
        <v>320</v>
      </c>
      <c r="O469" s="32">
        <v>101.336</v>
      </c>
      <c r="P469" s="32"/>
      <c r="Q469" s="34">
        <f t="shared" si="119"/>
        <v>0.47080520565105438</v>
      </c>
      <c r="R469" s="34">
        <f t="shared" si="120"/>
        <v>0.24274903858082125</v>
      </c>
      <c r="S469" s="34">
        <f t="shared" si="121"/>
        <v>0.11870965440992902</v>
      </c>
      <c r="T469" s="34">
        <f t="shared" si="122"/>
        <v>34.019703553460729</v>
      </c>
      <c r="U469" s="34">
        <f t="shared" si="123"/>
        <v>56.56922118325388</v>
      </c>
      <c r="V469" s="34">
        <f t="shared" si="124"/>
        <v>14.263463139955334</v>
      </c>
      <c r="W469" s="34">
        <f t="shared" si="125"/>
        <v>29.167315676790786</v>
      </c>
      <c r="X469" s="34"/>
      <c r="Y469" s="32">
        <v>0.05</v>
      </c>
      <c r="Z469" s="32" t="s">
        <v>320</v>
      </c>
      <c r="AA469" s="32">
        <v>4.5069999999999997</v>
      </c>
      <c r="AB469" s="32">
        <v>6.7000000000000002E-3</v>
      </c>
      <c r="AC469" s="32">
        <v>2.0299999999999999E-2</v>
      </c>
      <c r="AD469" s="32">
        <v>0</v>
      </c>
      <c r="AE469" s="32">
        <v>0.1174</v>
      </c>
      <c r="AF469" s="32">
        <v>4.0000000000000002E-4</v>
      </c>
      <c r="AG469" s="32">
        <v>1.1364000000000001</v>
      </c>
      <c r="AH469" s="32">
        <v>0.12189999999999999</v>
      </c>
      <c r="AI469" s="32">
        <v>7.8071999999999999</v>
      </c>
      <c r="AJ469" s="32">
        <v>2.3237999999999999</v>
      </c>
      <c r="AK469" s="32" t="s">
        <v>320</v>
      </c>
      <c r="AL469" s="32">
        <v>16.091100000000001</v>
      </c>
      <c r="AM469" s="11">
        <f t="shared" si="126"/>
        <v>7.9245999999999999</v>
      </c>
      <c r="AN469" s="34">
        <f t="shared" si="127"/>
        <v>2.3479999999999999</v>
      </c>
    </row>
    <row r="470" spans="1:40" s="32" customFormat="1" x14ac:dyDescent="0.25">
      <c r="A470" s="28" t="s">
        <v>155</v>
      </c>
      <c r="B470" s="29">
        <f>AVERAGE(B235:B469)</f>
        <v>0.28159574468085097</v>
      </c>
      <c r="C470" s="29">
        <f>AVERAGE(C235:C469)</f>
        <v>1.2307692307692297E-2</v>
      </c>
      <c r="D470" s="29">
        <f>AVERAGE(D235:D469)</f>
        <v>27.839693617021275</v>
      </c>
      <c r="E470" s="29">
        <f>AVERAGE(E235:E469)</f>
        <v>0.15512340425531915</v>
      </c>
      <c r="F470" s="29">
        <f>AVERAGE(F235:F469)</f>
        <v>6.995744680851064E-2</v>
      </c>
      <c r="G470" s="29">
        <f>AVERAGE(G235:G469)</f>
        <v>1.5370212765957443E-2</v>
      </c>
      <c r="H470" s="29">
        <f>AVERAGE(H235:H469)</f>
        <v>0.69187659574468141</v>
      </c>
      <c r="I470" s="29">
        <f>AVERAGE(I235:I469)</f>
        <v>5.2340425531914835E-3</v>
      </c>
      <c r="J470" s="29">
        <f>AVERAGE(J235:J469)</f>
        <v>6.0308510638297834</v>
      </c>
      <c r="K470" s="29">
        <f>AVERAGE(K235:K469)</f>
        <v>0.75925957446808501</v>
      </c>
      <c r="L470" s="29">
        <f>AVERAGE(L235:L469)</f>
        <v>50.38682978723407</v>
      </c>
      <c r="M470" s="29">
        <f>AVERAGE(M235:M469)</f>
        <v>13.745953191489372</v>
      </c>
      <c r="N470" s="29">
        <f>AVERAGE(N235:N469)</f>
        <v>0.15114102564102558</v>
      </c>
      <c r="O470" s="29">
        <f>AVERAGE(O235:O469)</f>
        <v>100.09024680851067</v>
      </c>
      <c r="P470" s="29"/>
      <c r="Q470" s="29">
        <f>AVERAGE(Q235:Q469)</f>
        <v>0.3874966054286485</v>
      </c>
      <c r="R470" s="29">
        <f>AVERAGE(R235:R469)</f>
        <v>0.34104833622352987</v>
      </c>
      <c r="S470" s="29">
        <f>AVERAGE(S235:S469)</f>
        <v>0.10754397560237142</v>
      </c>
      <c r="T470" s="29">
        <f>AVERAGE(T235:T469)</f>
        <v>46.283863535535019</v>
      </c>
      <c r="U470" s="29">
        <f>AVERAGE(U235:U469)</f>
        <v>46.639451682530463</v>
      </c>
      <c r="V470" s="29">
        <f>AVERAGE(V235:V469)</f>
        <v>12.900343004415848</v>
      </c>
      <c r="W470" s="29">
        <f>AVERAGE(W235:W469)</f>
        <v>40.460205313053649</v>
      </c>
      <c r="X470" s="2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9"/>
    </row>
    <row r="471" spans="1:40" s="32" customFormat="1" x14ac:dyDescent="0.25">
      <c r="A471" s="6" t="s">
        <v>156</v>
      </c>
      <c r="B471" s="8">
        <f>MAX(B235:B469)</f>
        <v>0.65</v>
      </c>
      <c r="C471" s="8">
        <f>MAX(C235:C469)</f>
        <v>0.06</v>
      </c>
      <c r="D471" s="8">
        <f>MAX(D235:D469)</f>
        <v>42.363999999999997</v>
      </c>
      <c r="E471" s="8">
        <f>MAX(E235:E469)</f>
        <v>0.49199999999999999</v>
      </c>
      <c r="F471" s="8">
        <f>MAX(F235:F469)</f>
        <v>0.316</v>
      </c>
      <c r="G471" s="8">
        <f>MAX(G235:G469)</f>
        <v>0.11799999999999999</v>
      </c>
      <c r="H471" s="8">
        <f>MAX(H235:H469)</f>
        <v>1.847</v>
      </c>
      <c r="I471" s="8">
        <f>MAX(I235:I469)</f>
        <v>0.09</v>
      </c>
      <c r="J471" s="8">
        <f>MAX(J235:J469)</f>
        <v>9.2669999999999995</v>
      </c>
      <c r="K471" s="8">
        <f>MAX(K235:K469)</f>
        <v>1.0920000000000001</v>
      </c>
      <c r="L471" s="8">
        <f>MAX(L235:L469)</f>
        <v>53.311</v>
      </c>
      <c r="M471" s="8">
        <f>MAX(M235:M469)</f>
        <v>20.782</v>
      </c>
      <c r="N471" s="8">
        <f>MAX(N235:N469)</f>
        <v>0.82599999999999996</v>
      </c>
      <c r="O471" s="8">
        <f>MAX(O235:O469)</f>
        <v>101.47199999999999</v>
      </c>
      <c r="P471" s="8"/>
      <c r="Q471" s="8">
        <f>MAX(Q235:Q469)</f>
        <v>0.58965829215672627</v>
      </c>
      <c r="R471" s="8">
        <f>MAX(R235:R469)</f>
        <v>0.51561840962659722</v>
      </c>
      <c r="S471" s="8">
        <f>MAX(S235:S469)</f>
        <v>0.16525197046970289</v>
      </c>
      <c r="T471" s="8">
        <f>MAX(T235:T469)</f>
        <v>66.024297582499457</v>
      </c>
      <c r="U471" s="8">
        <f>MAX(U235:U469)</f>
        <v>76.728487683540422</v>
      </c>
      <c r="V471" s="8">
        <f>MAX(V235:V469)</f>
        <v>19.951742498704341</v>
      </c>
      <c r="W471" s="8">
        <f>MAX(W235:W469)</f>
        <v>58.066088017362446</v>
      </c>
      <c r="X471" s="8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8"/>
    </row>
    <row r="472" spans="1:40" x14ac:dyDescent="0.25">
      <c r="A472" s="6" t="s">
        <v>157</v>
      </c>
      <c r="B472" s="8">
        <f>MIN(B235:B469)</f>
        <v>0.08</v>
      </c>
      <c r="C472" s="8">
        <f t="shared" ref="C472:W472" si="128">MIN(C235:C469)</f>
        <v>0</v>
      </c>
      <c r="D472" s="8">
        <f t="shared" si="128"/>
        <v>17.675999999999998</v>
      </c>
      <c r="E472" s="8">
        <f t="shared" si="128"/>
        <v>0</v>
      </c>
      <c r="F472" s="8">
        <f t="shared" si="128"/>
        <v>0.01</v>
      </c>
      <c r="G472" s="8">
        <f t="shared" si="128"/>
        <v>0</v>
      </c>
      <c r="H472" s="8">
        <f t="shared" si="128"/>
        <v>0.375</v>
      </c>
      <c r="I472" s="8">
        <f t="shared" si="128"/>
        <v>0</v>
      </c>
      <c r="J472" s="8">
        <f t="shared" si="128"/>
        <v>3.871</v>
      </c>
      <c r="K472" s="8">
        <f t="shared" si="128"/>
        <v>0.55700000000000005</v>
      </c>
      <c r="L472" s="8">
        <f t="shared" si="128"/>
        <v>46.128</v>
      </c>
      <c r="M472" s="8">
        <f t="shared" si="128"/>
        <v>4.4260000000000002</v>
      </c>
      <c r="N472" s="8">
        <f t="shared" si="128"/>
        <v>0</v>
      </c>
      <c r="O472" s="8">
        <f t="shared" si="128"/>
        <v>98.548000000000002</v>
      </c>
      <c r="P472" s="8"/>
      <c r="Q472" s="8">
        <f t="shared" si="128"/>
        <v>0.24602964715707423</v>
      </c>
      <c r="R472" s="8">
        <f t="shared" si="128"/>
        <v>0.10981267832775091</v>
      </c>
      <c r="S472" s="8">
        <f t="shared" si="128"/>
        <v>6.9028852669496057E-2</v>
      </c>
      <c r="T472" s="8">
        <f t="shared" si="128"/>
        <v>15.699390390953743</v>
      </c>
      <c r="U472" s="8">
        <f t="shared" si="128"/>
        <v>27.795500834861436</v>
      </c>
      <c r="V472" s="8">
        <f t="shared" si="128"/>
        <v>8.2990195360801398</v>
      </c>
      <c r="W472" s="8">
        <f t="shared" si="128"/>
        <v>14.289226232619356</v>
      </c>
      <c r="X472" s="8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8"/>
    </row>
    <row r="473" spans="1:40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7"/>
      <c r="R473" s="7"/>
      <c r="S473" s="7"/>
      <c r="T473" s="7"/>
      <c r="U473" s="7"/>
      <c r="V473" s="7"/>
      <c r="W473" s="7"/>
      <c r="X473" s="7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8"/>
    </row>
    <row r="474" spans="1:40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7"/>
      <c r="R474" s="7"/>
      <c r="S474" s="7"/>
      <c r="T474" s="7"/>
      <c r="U474" s="7"/>
      <c r="V474" s="7"/>
      <c r="W474" s="7"/>
      <c r="X474" s="7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8"/>
    </row>
    <row r="475" spans="1:40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7"/>
      <c r="R475" s="7"/>
      <c r="S475" s="7"/>
      <c r="T475" s="7"/>
      <c r="U475" s="7"/>
      <c r="V475" s="7"/>
      <c r="W475" s="7"/>
      <c r="X475" s="7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8"/>
    </row>
    <row r="476" spans="1:40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7"/>
      <c r="R476" s="7"/>
      <c r="S476" s="7"/>
      <c r="T476" s="7"/>
      <c r="U476" s="7"/>
      <c r="V476" s="7"/>
      <c r="W476" s="7"/>
      <c r="X476" s="7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8"/>
    </row>
    <row r="477" spans="1:40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7"/>
      <c r="R477" s="7"/>
      <c r="S477" s="7"/>
      <c r="T477" s="7"/>
      <c r="U477" s="7"/>
      <c r="V477" s="7"/>
      <c r="W477" s="7"/>
      <c r="X477" s="7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8"/>
    </row>
    <row r="478" spans="1:40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7"/>
      <c r="R478" s="7"/>
      <c r="S478" s="7"/>
      <c r="T478" s="7"/>
      <c r="U478" s="7"/>
      <c r="V478" s="7"/>
      <c r="W478" s="7"/>
      <c r="X478" s="7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8"/>
    </row>
    <row r="479" spans="1:40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7"/>
      <c r="R479" s="7"/>
      <c r="S479" s="7"/>
      <c r="T479" s="7"/>
      <c r="U479" s="7"/>
      <c r="V479" s="7"/>
      <c r="W479" s="7"/>
      <c r="X479" s="7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8"/>
    </row>
    <row r="480" spans="1:40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7"/>
      <c r="R480" s="7"/>
      <c r="S480" s="7"/>
      <c r="T480" s="7"/>
      <c r="U480" s="7"/>
      <c r="V480" s="7"/>
      <c r="W480" s="7"/>
      <c r="X480" s="7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8"/>
    </row>
    <row r="481" spans="1:40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7"/>
      <c r="R481" s="7"/>
      <c r="S481" s="7"/>
      <c r="T481" s="7"/>
      <c r="U481" s="7"/>
      <c r="V481" s="7"/>
      <c r="W481" s="7"/>
      <c r="X481" s="7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8"/>
    </row>
    <row r="482" spans="1:40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7"/>
      <c r="R482" s="7"/>
      <c r="S482" s="7"/>
      <c r="T482" s="7"/>
      <c r="U482" s="7"/>
      <c r="V482" s="7"/>
      <c r="W482" s="7"/>
      <c r="X482" s="7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8"/>
    </row>
    <row r="483" spans="1:40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7"/>
      <c r="R483" s="7"/>
      <c r="S483" s="7"/>
      <c r="T483" s="7"/>
      <c r="U483" s="7"/>
      <c r="V483" s="7"/>
      <c r="W483" s="7"/>
      <c r="X483" s="7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8"/>
    </row>
    <row r="484" spans="1:40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7"/>
      <c r="R484" s="7"/>
      <c r="S484" s="7"/>
      <c r="T484" s="7"/>
      <c r="U484" s="7"/>
      <c r="V484" s="7"/>
      <c r="W484" s="7"/>
      <c r="X484" s="7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8"/>
    </row>
    <row r="485" spans="1:40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7"/>
      <c r="R485" s="7"/>
      <c r="S485" s="7"/>
      <c r="T485" s="7"/>
      <c r="U485" s="7"/>
      <c r="V485" s="7"/>
      <c r="W485" s="7"/>
      <c r="X485" s="7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8"/>
    </row>
    <row r="486" spans="1:40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7"/>
      <c r="R486" s="7"/>
      <c r="S486" s="7"/>
      <c r="T486" s="7"/>
      <c r="U486" s="7"/>
      <c r="V486" s="7"/>
      <c r="W486" s="7"/>
      <c r="X486" s="7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8"/>
    </row>
    <row r="487" spans="1:40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7"/>
      <c r="R487" s="7"/>
      <c r="S487" s="7"/>
      <c r="T487" s="7"/>
      <c r="U487" s="7"/>
      <c r="V487" s="7"/>
      <c r="W487" s="7"/>
      <c r="X487" s="7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8"/>
    </row>
    <row r="488" spans="1:40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7"/>
      <c r="R488" s="7"/>
      <c r="S488" s="7"/>
      <c r="T488" s="7"/>
      <c r="U488" s="7"/>
      <c r="V488" s="7"/>
      <c r="W488" s="7"/>
      <c r="X488" s="7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8"/>
    </row>
    <row r="489" spans="1:40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7"/>
      <c r="R489" s="7"/>
      <c r="S489" s="7"/>
      <c r="T489" s="7"/>
      <c r="U489" s="7"/>
      <c r="V489" s="7"/>
      <c r="W489" s="7"/>
      <c r="X489" s="7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8"/>
    </row>
    <row r="490" spans="1:40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7"/>
      <c r="R490" s="7"/>
      <c r="S490" s="7"/>
      <c r="T490" s="7"/>
      <c r="U490" s="7"/>
      <c r="V490" s="7"/>
      <c r="W490" s="7"/>
      <c r="X490" s="7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8"/>
    </row>
    <row r="491" spans="1:40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7"/>
      <c r="R491" s="7"/>
      <c r="S491" s="7"/>
      <c r="T491" s="7"/>
      <c r="U491" s="7"/>
      <c r="V491" s="7"/>
      <c r="W491" s="7"/>
      <c r="X491" s="7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8"/>
    </row>
    <row r="492" spans="1:40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7"/>
      <c r="R492" s="7"/>
      <c r="S492" s="7"/>
      <c r="T492" s="7"/>
      <c r="U492" s="7"/>
      <c r="V492" s="7"/>
      <c r="W492" s="7"/>
      <c r="X492" s="7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8"/>
    </row>
    <row r="493" spans="1:40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7"/>
      <c r="R493" s="7"/>
      <c r="S493" s="7"/>
      <c r="T493" s="7"/>
      <c r="U493" s="7"/>
      <c r="V493" s="7"/>
      <c r="W493" s="7"/>
      <c r="X493" s="7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8"/>
    </row>
    <row r="494" spans="1:40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7"/>
      <c r="R494" s="7"/>
      <c r="S494" s="7"/>
      <c r="T494" s="7"/>
      <c r="U494" s="7"/>
      <c r="V494" s="7"/>
      <c r="W494" s="7"/>
      <c r="X494" s="7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8"/>
    </row>
    <row r="495" spans="1:40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7"/>
      <c r="R495" s="7"/>
      <c r="S495" s="7"/>
      <c r="T495" s="7"/>
      <c r="U495" s="7"/>
      <c r="V495" s="7"/>
      <c r="W495" s="7"/>
      <c r="X495" s="7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8"/>
    </row>
    <row r="496" spans="1:40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7"/>
      <c r="R496" s="7"/>
      <c r="S496" s="7"/>
      <c r="T496" s="7"/>
      <c r="U496" s="7"/>
      <c r="V496" s="7"/>
      <c r="W496" s="7"/>
      <c r="X496" s="7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8"/>
    </row>
    <row r="497" spans="1:40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7"/>
      <c r="R497" s="7"/>
      <c r="S497" s="7"/>
      <c r="T497" s="7"/>
      <c r="U497" s="7"/>
      <c r="V497" s="7"/>
      <c r="W497" s="7"/>
      <c r="X497" s="7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8"/>
    </row>
  </sheetData>
  <autoFilter ref="T2:T69" xr:uid="{9830E9A7-A1A4-4EF0-803C-7567166B2BE4}"/>
  <sortState xmlns:xlrd2="http://schemas.microsoft.com/office/spreadsheetml/2017/richdata2" ref="A391:AN472">
    <sortCondition descending="1" ref="T391:T472"/>
  </sortState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4"/>
  <sheetViews>
    <sheetView zoomScaleNormal="100" workbookViewId="0">
      <pane ySplit="1" topLeftCell="A194" activePane="bottomLeft" state="frozen"/>
      <selection pane="bottomLeft" activeCell="A2" sqref="A2"/>
    </sheetView>
  </sheetViews>
  <sheetFormatPr defaultRowHeight="15.75" x14ac:dyDescent="0.25"/>
  <cols>
    <col min="1" max="1" width="9" style="2"/>
    <col min="2" max="2" width="13.75" style="2" customWidth="1"/>
    <col min="3" max="16384" width="9" style="2"/>
  </cols>
  <sheetData>
    <row r="1" spans="1:35" s="37" customFormat="1" x14ac:dyDescent="0.25">
      <c r="B1" s="37" t="s">
        <v>652</v>
      </c>
      <c r="C1" s="37" t="s">
        <v>3</v>
      </c>
      <c r="D1" s="37" t="s">
        <v>9</v>
      </c>
      <c r="E1" s="37" t="s">
        <v>1</v>
      </c>
      <c r="F1" s="37" t="s">
        <v>11</v>
      </c>
      <c r="G1" s="37" t="s">
        <v>6</v>
      </c>
      <c r="H1" s="37" t="s">
        <v>8</v>
      </c>
      <c r="I1" s="37" t="s">
        <v>4</v>
      </c>
      <c r="J1" s="37" t="s">
        <v>10</v>
      </c>
      <c r="K1" s="37" t="s">
        <v>5</v>
      </c>
      <c r="L1" s="37" t="s">
        <v>7</v>
      </c>
      <c r="M1" s="37" t="s">
        <v>12</v>
      </c>
      <c r="N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X1" s="37" t="s">
        <v>3</v>
      </c>
      <c r="Y1" s="37" t="s">
        <v>9</v>
      </c>
      <c r="Z1" s="37" t="s">
        <v>1</v>
      </c>
      <c r="AA1" s="37" t="s">
        <v>11</v>
      </c>
      <c r="AB1" s="37" t="s">
        <v>6</v>
      </c>
      <c r="AC1" s="37" t="s">
        <v>8</v>
      </c>
      <c r="AD1" s="37" t="s">
        <v>4</v>
      </c>
      <c r="AE1" s="37" t="s">
        <v>10</v>
      </c>
      <c r="AF1" s="37" t="s">
        <v>5</v>
      </c>
      <c r="AG1" s="37" t="s">
        <v>7</v>
      </c>
      <c r="AH1" s="37" t="s">
        <v>12</v>
      </c>
      <c r="AI1" s="37" t="s">
        <v>14</v>
      </c>
    </row>
    <row r="2" spans="1:35" x14ac:dyDescent="0.25">
      <c r="A2" s="38" t="s">
        <v>455</v>
      </c>
      <c r="B2" s="38"/>
    </row>
    <row r="3" spans="1:35" x14ac:dyDescent="0.25">
      <c r="A3" s="6" t="s">
        <v>321</v>
      </c>
      <c r="B3" s="31">
        <v>0</v>
      </c>
      <c r="C3" s="6">
        <v>36.042000000000002</v>
      </c>
      <c r="D3" s="6">
        <v>6.9020000000000001</v>
      </c>
      <c r="E3" s="6">
        <v>0.51100000000000001</v>
      </c>
      <c r="F3" s="6">
        <v>48.731999999999999</v>
      </c>
      <c r="G3" s="6">
        <v>5.5E-2</v>
      </c>
      <c r="H3" s="6">
        <v>8.0000000000000002E-3</v>
      </c>
      <c r="I3" s="6">
        <v>3.6999999999999998E-2</v>
      </c>
      <c r="J3" s="6">
        <v>0.89</v>
      </c>
      <c r="K3" s="6">
        <v>7.2999999999999995E-2</v>
      </c>
      <c r="L3" s="6">
        <v>0.59</v>
      </c>
      <c r="M3" s="6">
        <v>8.23</v>
      </c>
      <c r="N3" s="6">
        <v>102.07</v>
      </c>
      <c r="O3" s="6"/>
      <c r="P3" s="8">
        <f t="shared" ref="P3:P39" si="0">C3/(55.845+16)</f>
        <v>0.50166330294383743</v>
      </c>
      <c r="Q3" s="8">
        <f t="shared" ref="Q3:Q39" si="1">M3/(24.305+16)</f>
        <v>0.2041930281602779</v>
      </c>
      <c r="R3" s="8">
        <f t="shared" ref="R3:R39" si="2">D3/(40.078+16)</f>
        <v>0.1230785691358465</v>
      </c>
      <c r="S3" s="8">
        <f t="shared" ref="S3:S39" si="3">Q3/(P3+Q3)*100</f>
        <v>28.928412080808979</v>
      </c>
      <c r="T3" s="8">
        <f t="shared" ref="T3:T39" si="4">P3/(P3+R3+Q3)*100</f>
        <v>60.519023001518569</v>
      </c>
      <c r="U3" s="8">
        <f t="shared" ref="U3:U39" si="5">R3/(P3+R3+Q3)*100</f>
        <v>14.84779674498172</v>
      </c>
      <c r="V3" s="8">
        <f t="shared" ref="V3:V39" si="6">Q3/(P3+Q3+R3)*100</f>
        <v>24.633180253499727</v>
      </c>
      <c r="W3" s="6"/>
      <c r="X3" s="6">
        <v>4.8205</v>
      </c>
      <c r="Y3" s="6">
        <v>1.1826000000000001</v>
      </c>
      <c r="Z3" s="6">
        <v>6.1499999999999999E-2</v>
      </c>
      <c r="AA3" s="6">
        <v>7.7933000000000003</v>
      </c>
      <c r="AB3" s="6">
        <v>7.4999999999999997E-3</v>
      </c>
      <c r="AC3" s="6">
        <v>1.5E-3</v>
      </c>
      <c r="AD3" s="6">
        <v>4.7000000000000002E-3</v>
      </c>
      <c r="AE3" s="6">
        <v>0.1206</v>
      </c>
      <c r="AF3" s="6">
        <v>2.2499999999999999E-2</v>
      </c>
      <c r="AG3" s="6">
        <v>0.11119999999999999</v>
      </c>
      <c r="AH3" s="6">
        <v>1.9621</v>
      </c>
      <c r="AI3" s="6">
        <v>16.088000000000001</v>
      </c>
    </row>
    <row r="4" spans="1:35" x14ac:dyDescent="0.25">
      <c r="A4" s="6" t="s">
        <v>136</v>
      </c>
      <c r="B4" s="31">
        <v>12.281000000000001</v>
      </c>
      <c r="C4" s="6">
        <v>33.825000000000003</v>
      </c>
      <c r="D4" s="6">
        <v>6.657</v>
      </c>
      <c r="E4" s="6">
        <v>0.41799999999999998</v>
      </c>
      <c r="F4" s="6">
        <v>49.003</v>
      </c>
      <c r="G4" s="6">
        <v>0</v>
      </c>
      <c r="H4" s="6">
        <v>2E-3</v>
      </c>
      <c r="I4" s="6">
        <v>5.2999999999999999E-2</v>
      </c>
      <c r="J4" s="6">
        <v>0.90300000000000002</v>
      </c>
      <c r="K4" s="6">
        <v>6.6000000000000003E-2</v>
      </c>
      <c r="L4" s="6">
        <v>0.625</v>
      </c>
      <c r="M4" s="6">
        <v>9.7840000000000007</v>
      </c>
      <c r="N4" s="6">
        <v>101.336</v>
      </c>
      <c r="O4" s="6"/>
      <c r="P4" s="8">
        <f t="shared" si="0"/>
        <v>0.47080520565105438</v>
      </c>
      <c r="Q4" s="8">
        <f t="shared" si="1"/>
        <v>0.24274903858082125</v>
      </c>
      <c r="R4" s="8">
        <f t="shared" si="2"/>
        <v>0.11870965440992902</v>
      </c>
      <c r="S4" s="8">
        <f t="shared" si="3"/>
        <v>34.019703553460729</v>
      </c>
      <c r="T4" s="8">
        <f t="shared" si="4"/>
        <v>56.56922118325388</v>
      </c>
      <c r="U4" s="8">
        <f t="shared" si="5"/>
        <v>14.263463139955332</v>
      </c>
      <c r="V4" s="8">
        <f t="shared" si="6"/>
        <v>29.167315676790786</v>
      </c>
      <c r="W4" s="6"/>
      <c r="X4" s="6">
        <v>4.5069999999999997</v>
      </c>
      <c r="Y4" s="6">
        <v>1.1364000000000001</v>
      </c>
      <c r="Z4" s="6">
        <v>0.05</v>
      </c>
      <c r="AA4" s="6">
        <v>7.8071999999999999</v>
      </c>
      <c r="AB4" s="6">
        <v>0</v>
      </c>
      <c r="AC4" s="6">
        <v>4.0000000000000002E-4</v>
      </c>
      <c r="AD4" s="6">
        <v>6.7000000000000002E-3</v>
      </c>
      <c r="AE4" s="6">
        <v>0.12189999999999999</v>
      </c>
      <c r="AF4" s="6">
        <v>2.0299999999999999E-2</v>
      </c>
      <c r="AG4" s="6">
        <v>0.1174</v>
      </c>
      <c r="AH4" s="6">
        <v>2.3237999999999999</v>
      </c>
      <c r="AI4" s="6">
        <v>16.091100000000001</v>
      </c>
    </row>
    <row r="5" spans="1:35" x14ac:dyDescent="0.25">
      <c r="A5" s="6" t="s">
        <v>322</v>
      </c>
      <c r="B5" s="31">
        <v>24.562000000000001</v>
      </c>
      <c r="C5" s="6">
        <v>32.765000000000001</v>
      </c>
      <c r="D5" s="6">
        <v>6.093</v>
      </c>
      <c r="E5" s="6">
        <v>0.41099999999999998</v>
      </c>
      <c r="F5" s="6">
        <v>49.67</v>
      </c>
      <c r="G5" s="6">
        <v>0</v>
      </c>
      <c r="H5" s="6">
        <v>8.9999999999999993E-3</v>
      </c>
      <c r="I5" s="6">
        <v>0.10100000000000001</v>
      </c>
      <c r="J5" s="6">
        <v>0.82599999999999996</v>
      </c>
      <c r="K5" s="6">
        <v>6.0999999999999999E-2</v>
      </c>
      <c r="L5" s="6">
        <v>0.65800000000000003</v>
      </c>
      <c r="M5" s="6">
        <v>11.548</v>
      </c>
      <c r="N5" s="6">
        <v>102.142</v>
      </c>
      <c r="O5" s="6"/>
      <c r="P5" s="8">
        <f t="shared" si="0"/>
        <v>0.45605122137935833</v>
      </c>
      <c r="Q5" s="8">
        <f t="shared" si="1"/>
        <v>0.28651532067981639</v>
      </c>
      <c r="R5" s="8">
        <f t="shared" si="2"/>
        <v>0.10865223438781696</v>
      </c>
      <c r="S5" s="8">
        <f t="shared" si="3"/>
        <v>38.584464078504652</v>
      </c>
      <c r="T5" s="8">
        <f t="shared" si="4"/>
        <v>53.576264292821108</v>
      </c>
      <c r="U5" s="8">
        <f t="shared" si="5"/>
        <v>12.764313639947428</v>
      </c>
      <c r="V5" s="8">
        <f t="shared" si="6"/>
        <v>33.659422067231468</v>
      </c>
      <c r="W5" s="6"/>
      <c r="X5" s="6">
        <v>4.2941000000000003</v>
      </c>
      <c r="Y5" s="6">
        <v>1.0230999999999999</v>
      </c>
      <c r="Z5" s="6">
        <v>4.8399999999999999E-2</v>
      </c>
      <c r="AA5" s="6">
        <v>7.7838000000000003</v>
      </c>
      <c r="AB5" s="6">
        <v>0</v>
      </c>
      <c r="AC5" s="6">
        <v>1.8E-3</v>
      </c>
      <c r="AD5" s="6">
        <v>1.2500000000000001E-2</v>
      </c>
      <c r="AE5" s="6">
        <v>0.1096</v>
      </c>
      <c r="AF5" s="6">
        <v>1.84E-2</v>
      </c>
      <c r="AG5" s="6">
        <v>0.1215</v>
      </c>
      <c r="AH5" s="6">
        <v>2.6978</v>
      </c>
      <c r="AI5" s="6">
        <v>16.111000000000001</v>
      </c>
    </row>
    <row r="6" spans="1:35" x14ac:dyDescent="0.25">
      <c r="A6" s="6" t="s">
        <v>89</v>
      </c>
      <c r="B6" s="31">
        <v>36.843000000000004</v>
      </c>
      <c r="C6" s="6">
        <v>30.513000000000002</v>
      </c>
      <c r="D6" s="6">
        <v>5.84</v>
      </c>
      <c r="E6" s="6">
        <v>0.35</v>
      </c>
      <c r="F6" s="6">
        <v>50.238999999999997</v>
      </c>
      <c r="G6" s="6">
        <v>0</v>
      </c>
      <c r="H6" s="6">
        <v>0</v>
      </c>
      <c r="I6" s="6">
        <v>0.13700000000000001</v>
      </c>
      <c r="J6" s="6">
        <v>0.84099999999999997</v>
      </c>
      <c r="K6" s="6">
        <v>0.10199999999999999</v>
      </c>
      <c r="L6" s="6">
        <v>0.66500000000000004</v>
      </c>
      <c r="M6" s="6">
        <v>13.1</v>
      </c>
      <c r="N6" s="6">
        <v>101.78700000000001</v>
      </c>
      <c r="O6" s="6"/>
      <c r="P6" s="8">
        <f t="shared" si="0"/>
        <v>0.42470596422854762</v>
      </c>
      <c r="Q6" s="8">
        <f t="shared" si="1"/>
        <v>0.32502170946532688</v>
      </c>
      <c r="R6" s="8">
        <f t="shared" si="2"/>
        <v>0.10414066122186953</v>
      </c>
      <c r="S6" s="8">
        <f t="shared" si="3"/>
        <v>43.351969104189465</v>
      </c>
      <c r="T6" s="8">
        <f t="shared" si="4"/>
        <v>49.739046040447874</v>
      </c>
      <c r="U6" s="8">
        <f t="shared" si="5"/>
        <v>12.196337182610907</v>
      </c>
      <c r="V6" s="8">
        <f t="shared" si="6"/>
        <v>38.064616776941214</v>
      </c>
      <c r="W6" s="6"/>
      <c r="X6" s="6">
        <v>3.9651999999999998</v>
      </c>
      <c r="Y6" s="6">
        <v>0.97230000000000005</v>
      </c>
      <c r="Z6" s="6">
        <v>4.1000000000000002E-2</v>
      </c>
      <c r="AA6" s="6">
        <v>7.8060999999999998</v>
      </c>
      <c r="AB6" s="6">
        <v>0</v>
      </c>
      <c r="AC6" s="6">
        <v>0</v>
      </c>
      <c r="AD6" s="6">
        <v>1.6899999999999998E-2</v>
      </c>
      <c r="AE6" s="6">
        <v>0.11070000000000001</v>
      </c>
      <c r="AF6" s="6">
        <v>3.0800000000000001E-2</v>
      </c>
      <c r="AG6" s="6">
        <v>0.12180000000000001</v>
      </c>
      <c r="AH6" s="6">
        <v>3.0343</v>
      </c>
      <c r="AI6" s="6">
        <v>16.0991</v>
      </c>
    </row>
    <row r="7" spans="1:35" x14ac:dyDescent="0.25">
      <c r="A7" s="6" t="s">
        <v>84</v>
      </c>
      <c r="B7" s="31">
        <v>49.123989999999999</v>
      </c>
      <c r="C7" s="6">
        <v>28.468</v>
      </c>
      <c r="D7" s="6">
        <v>6.0250000000000004</v>
      </c>
      <c r="E7" s="6">
        <v>0.29499999999999998</v>
      </c>
      <c r="F7" s="6">
        <v>50.777000000000001</v>
      </c>
      <c r="G7" s="6">
        <v>0</v>
      </c>
      <c r="H7" s="6">
        <v>0</v>
      </c>
      <c r="I7" s="6">
        <v>0.13900000000000001</v>
      </c>
      <c r="J7" s="6">
        <v>0.80300000000000005</v>
      </c>
      <c r="K7" s="6">
        <v>7.8E-2</v>
      </c>
      <c r="L7" s="6">
        <v>0.70199999999999996</v>
      </c>
      <c r="M7" s="6">
        <v>14.537000000000001</v>
      </c>
      <c r="N7" s="6">
        <v>101.824</v>
      </c>
      <c r="O7" s="6"/>
      <c r="P7" s="8">
        <f t="shared" si="0"/>
        <v>0.39624190966664347</v>
      </c>
      <c r="Q7" s="8">
        <f t="shared" si="1"/>
        <v>0.36067485423644713</v>
      </c>
      <c r="R7" s="8">
        <f t="shared" si="2"/>
        <v>0.10743963764756233</v>
      </c>
      <c r="S7" s="8">
        <f t="shared" si="3"/>
        <v>47.650530604792493</v>
      </c>
      <c r="T7" s="8">
        <f t="shared" si="4"/>
        <v>45.842422055969813</v>
      </c>
      <c r="U7" s="8">
        <f t="shared" si="5"/>
        <v>12.430015842402039</v>
      </c>
      <c r="V7" s="8">
        <f t="shared" si="6"/>
        <v>41.727562101628152</v>
      </c>
      <c r="W7" s="6"/>
      <c r="X7" s="6">
        <v>3.6606999999999998</v>
      </c>
      <c r="Y7" s="6">
        <v>0.99270000000000003</v>
      </c>
      <c r="Z7" s="6">
        <v>3.4099999999999998E-2</v>
      </c>
      <c r="AA7" s="6">
        <v>7.8070000000000004</v>
      </c>
      <c r="AB7" s="6">
        <v>0</v>
      </c>
      <c r="AC7" s="6">
        <v>0</v>
      </c>
      <c r="AD7" s="6">
        <v>1.6899999999999998E-2</v>
      </c>
      <c r="AE7" s="6">
        <v>0.1046</v>
      </c>
      <c r="AF7" s="6">
        <v>2.3400000000000001E-2</v>
      </c>
      <c r="AG7" s="6">
        <v>0.1273</v>
      </c>
      <c r="AH7" s="6">
        <v>3.3317999999999999</v>
      </c>
      <c r="AI7" s="6">
        <v>16.098500000000001</v>
      </c>
    </row>
    <row r="8" spans="1:35" x14ac:dyDescent="0.25">
      <c r="A8" s="6" t="s">
        <v>77</v>
      </c>
      <c r="B8" s="31">
        <v>61.404989999999998</v>
      </c>
      <c r="C8" s="6">
        <v>27.277000000000001</v>
      </c>
      <c r="D8" s="6">
        <v>5.9</v>
      </c>
      <c r="E8" s="6">
        <v>0.27</v>
      </c>
      <c r="F8" s="6">
        <v>50.905999999999999</v>
      </c>
      <c r="G8" s="6">
        <v>0</v>
      </c>
      <c r="H8" s="6">
        <v>0</v>
      </c>
      <c r="I8" s="6">
        <v>0.159</v>
      </c>
      <c r="J8" s="6">
        <v>0.85499999999999998</v>
      </c>
      <c r="K8" s="6">
        <v>0.09</v>
      </c>
      <c r="L8" s="6">
        <v>0.92100000000000004</v>
      </c>
      <c r="M8" s="6">
        <v>15.03</v>
      </c>
      <c r="N8" s="6">
        <v>101.408</v>
      </c>
      <c r="O8" s="6"/>
      <c r="P8" s="8">
        <f t="shared" si="0"/>
        <v>0.37966455564061524</v>
      </c>
      <c r="Q8" s="8">
        <f t="shared" si="1"/>
        <v>0.37290658727205062</v>
      </c>
      <c r="R8" s="8">
        <f t="shared" si="2"/>
        <v>0.10521059952209423</v>
      </c>
      <c r="S8" s="8">
        <f t="shared" si="3"/>
        <v>49.551008005541561</v>
      </c>
      <c r="T8" s="8">
        <f t="shared" si="4"/>
        <v>44.26120735129674</v>
      </c>
      <c r="U8" s="8">
        <f t="shared" si="5"/>
        <v>12.265427709321546</v>
      </c>
      <c r="V8" s="8">
        <f t="shared" si="6"/>
        <v>43.473364939381725</v>
      </c>
      <c r="W8" s="6"/>
      <c r="X8" s="6">
        <v>3.5009000000000001</v>
      </c>
      <c r="Y8" s="6">
        <v>0.97019999999999995</v>
      </c>
      <c r="Z8" s="6">
        <v>3.1199999999999999E-2</v>
      </c>
      <c r="AA8" s="6">
        <v>7.8124000000000002</v>
      </c>
      <c r="AB8" s="6">
        <v>0</v>
      </c>
      <c r="AC8" s="6">
        <v>0</v>
      </c>
      <c r="AD8" s="6">
        <v>1.9300000000000001E-2</v>
      </c>
      <c r="AE8" s="6">
        <v>0.1111</v>
      </c>
      <c r="AF8" s="6">
        <v>2.69E-2</v>
      </c>
      <c r="AG8" s="6">
        <v>0.16650000000000001</v>
      </c>
      <c r="AH8" s="6">
        <v>3.4384000000000001</v>
      </c>
      <c r="AI8" s="6">
        <v>16.076899999999998</v>
      </c>
    </row>
    <row r="9" spans="1:35" x14ac:dyDescent="0.25">
      <c r="A9" s="6" t="s">
        <v>78</v>
      </c>
      <c r="B9" s="31">
        <v>73.685990000000004</v>
      </c>
      <c r="C9" s="6">
        <v>26.483000000000001</v>
      </c>
      <c r="D9" s="6">
        <v>6.6280000000000001</v>
      </c>
      <c r="E9" s="6">
        <v>0.22800000000000001</v>
      </c>
      <c r="F9" s="6">
        <v>51.140999999999998</v>
      </c>
      <c r="G9" s="6">
        <v>0</v>
      </c>
      <c r="H9" s="6">
        <v>0</v>
      </c>
      <c r="I9" s="6">
        <v>0.182</v>
      </c>
      <c r="J9" s="6">
        <v>0.73199999999999998</v>
      </c>
      <c r="K9" s="6">
        <v>9.6000000000000002E-2</v>
      </c>
      <c r="L9" s="6">
        <v>0.65300000000000002</v>
      </c>
      <c r="M9" s="6">
        <v>15.413</v>
      </c>
      <c r="N9" s="6">
        <v>101.556</v>
      </c>
      <c r="O9" s="6"/>
      <c r="P9" s="8">
        <f t="shared" si="0"/>
        <v>0.36861298628992972</v>
      </c>
      <c r="Q9" s="8">
        <f t="shared" si="1"/>
        <v>0.38240913038084606</v>
      </c>
      <c r="R9" s="8">
        <f t="shared" si="2"/>
        <v>0.11819251756482042</v>
      </c>
      <c r="S9" s="8">
        <f t="shared" si="3"/>
        <v>50.918491199172244</v>
      </c>
      <c r="T9" s="8">
        <f t="shared" si="4"/>
        <v>42.407590918449614</v>
      </c>
      <c r="U9" s="8">
        <f t="shared" si="5"/>
        <v>13.597621681641517</v>
      </c>
      <c r="V9" s="8">
        <f t="shared" si="6"/>
        <v>43.994787399908873</v>
      </c>
      <c r="W9" s="6"/>
      <c r="X9" s="6">
        <v>3.3872</v>
      </c>
      <c r="Y9" s="6">
        <v>1.0860000000000001</v>
      </c>
      <c r="Z9" s="6">
        <v>2.6200000000000001E-2</v>
      </c>
      <c r="AA9" s="6">
        <v>7.8209999999999997</v>
      </c>
      <c r="AB9" s="6">
        <v>0</v>
      </c>
      <c r="AC9" s="6">
        <v>0</v>
      </c>
      <c r="AD9" s="6">
        <v>2.1999999999999999E-2</v>
      </c>
      <c r="AE9" s="6">
        <v>9.4799999999999995E-2</v>
      </c>
      <c r="AF9" s="6">
        <v>2.8299999999999999E-2</v>
      </c>
      <c r="AG9" s="6">
        <v>0.1176</v>
      </c>
      <c r="AH9" s="6">
        <v>3.5137999999999998</v>
      </c>
      <c r="AI9" s="6">
        <v>16.096900000000002</v>
      </c>
    </row>
    <row r="10" spans="1:35" x14ac:dyDescent="0.25">
      <c r="A10" s="6" t="s">
        <v>137</v>
      </c>
      <c r="B10" s="31">
        <v>85.966989999999996</v>
      </c>
      <c r="C10" s="6">
        <v>25.004999999999999</v>
      </c>
      <c r="D10" s="6">
        <v>6.0839999999999996</v>
      </c>
      <c r="E10" s="6">
        <v>0.23</v>
      </c>
      <c r="F10" s="6">
        <v>51.341000000000001</v>
      </c>
      <c r="G10" s="6">
        <v>0</v>
      </c>
      <c r="H10" s="6">
        <v>1.4E-2</v>
      </c>
      <c r="I10" s="6">
        <v>0.216</v>
      </c>
      <c r="J10" s="6">
        <v>0.72799999999999998</v>
      </c>
      <c r="K10" s="6">
        <v>0.107</v>
      </c>
      <c r="L10" s="6">
        <v>0.85799999999999998</v>
      </c>
      <c r="M10" s="6">
        <v>16.105</v>
      </c>
      <c r="N10" s="6">
        <v>100.688</v>
      </c>
      <c r="O10" s="6"/>
      <c r="P10" s="8">
        <f t="shared" si="0"/>
        <v>0.3480409214280743</v>
      </c>
      <c r="Q10" s="8">
        <f t="shared" si="1"/>
        <v>0.39957821610222061</v>
      </c>
      <c r="R10" s="8">
        <f t="shared" si="2"/>
        <v>0.10849174364278326</v>
      </c>
      <c r="S10" s="8">
        <f t="shared" si="3"/>
        <v>53.446761331203739</v>
      </c>
      <c r="T10" s="8">
        <f t="shared" si="4"/>
        <v>40.653720105878612</v>
      </c>
      <c r="U10" s="8">
        <f t="shared" si="5"/>
        <v>12.672627579983963</v>
      </c>
      <c r="V10" s="8">
        <f t="shared" si="6"/>
        <v>46.673652314137406</v>
      </c>
      <c r="W10" s="6"/>
      <c r="X10" s="6">
        <v>3.1974</v>
      </c>
      <c r="Y10" s="6">
        <v>0.99670000000000003</v>
      </c>
      <c r="Z10" s="6">
        <v>2.6499999999999999E-2</v>
      </c>
      <c r="AA10" s="6">
        <v>7.8498000000000001</v>
      </c>
      <c r="AB10" s="6">
        <v>0</v>
      </c>
      <c r="AC10" s="6">
        <v>2.7000000000000001E-3</v>
      </c>
      <c r="AD10" s="6">
        <v>2.6100000000000002E-2</v>
      </c>
      <c r="AE10" s="6">
        <v>9.4299999999999995E-2</v>
      </c>
      <c r="AF10" s="6">
        <v>3.1699999999999999E-2</v>
      </c>
      <c r="AG10" s="6">
        <v>0.1547</v>
      </c>
      <c r="AH10" s="6">
        <v>3.6707000000000001</v>
      </c>
      <c r="AI10" s="6">
        <v>16.050599999999999</v>
      </c>
    </row>
    <row r="11" spans="1:35" x14ac:dyDescent="0.25">
      <c r="A11" s="6" t="s">
        <v>138</v>
      </c>
      <c r="B11" s="31">
        <v>98.247990000000001</v>
      </c>
      <c r="C11" s="6">
        <v>22.527999999999999</v>
      </c>
      <c r="D11" s="6">
        <v>5.7910000000000004</v>
      </c>
      <c r="E11" s="6">
        <v>0.19400000000000001</v>
      </c>
      <c r="F11" s="6">
        <v>52.332000000000001</v>
      </c>
      <c r="G11" s="6">
        <v>0</v>
      </c>
      <c r="H11" s="6">
        <v>0</v>
      </c>
      <c r="I11" s="6">
        <v>0.27400000000000002</v>
      </c>
      <c r="J11" s="6">
        <v>0.67</v>
      </c>
      <c r="K11" s="6">
        <v>6.6000000000000003E-2</v>
      </c>
      <c r="L11" s="6">
        <v>0.86799999999999999</v>
      </c>
      <c r="M11" s="6">
        <v>18.853000000000002</v>
      </c>
      <c r="N11" s="6">
        <v>101.57599999999999</v>
      </c>
      <c r="O11" s="6"/>
      <c r="P11" s="8">
        <f t="shared" si="0"/>
        <v>0.31356392233279978</v>
      </c>
      <c r="Q11" s="8">
        <f t="shared" si="1"/>
        <v>0.46775834263738997</v>
      </c>
      <c r="R11" s="8">
        <f t="shared" si="2"/>
        <v>0.10326687827668604</v>
      </c>
      <c r="S11" s="8">
        <f t="shared" si="3"/>
        <v>59.867530161224401</v>
      </c>
      <c r="T11" s="8">
        <f t="shared" si="4"/>
        <v>35.447407955049783</v>
      </c>
      <c r="U11" s="8">
        <f t="shared" si="5"/>
        <v>11.673993408696605</v>
      </c>
      <c r="V11" s="8">
        <f t="shared" si="6"/>
        <v>52.878598636253614</v>
      </c>
      <c r="W11" s="6"/>
      <c r="X11" s="6">
        <v>2.8155999999999999</v>
      </c>
      <c r="Y11" s="6">
        <v>0.92720000000000002</v>
      </c>
      <c r="Z11" s="6">
        <v>2.18E-2</v>
      </c>
      <c r="AA11" s="6">
        <v>7.8207000000000004</v>
      </c>
      <c r="AB11" s="6">
        <v>0</v>
      </c>
      <c r="AC11" s="6">
        <v>0</v>
      </c>
      <c r="AD11" s="6">
        <v>3.2399999999999998E-2</v>
      </c>
      <c r="AE11" s="6">
        <v>8.48E-2</v>
      </c>
      <c r="AF11" s="6">
        <v>1.9E-2</v>
      </c>
      <c r="AG11" s="6">
        <v>0.15290000000000001</v>
      </c>
      <c r="AH11" s="6">
        <v>4.1999000000000004</v>
      </c>
      <c r="AI11" s="6">
        <v>16.074300000000001</v>
      </c>
    </row>
    <row r="12" spans="1:35" x14ac:dyDescent="0.25">
      <c r="A12" s="6" t="s">
        <v>148</v>
      </c>
      <c r="B12" s="31">
        <v>110.52898999999999</v>
      </c>
      <c r="C12" s="6">
        <v>22.701000000000001</v>
      </c>
      <c r="D12" s="6">
        <v>5.4130000000000003</v>
      </c>
      <c r="E12" s="6">
        <v>0.16900000000000001</v>
      </c>
      <c r="F12" s="6">
        <v>52.335999999999999</v>
      </c>
      <c r="G12" s="6">
        <v>0</v>
      </c>
      <c r="H12" s="6">
        <v>3.0000000000000001E-3</v>
      </c>
      <c r="I12" s="6">
        <v>0.3</v>
      </c>
      <c r="J12" s="6">
        <v>0.67800000000000005</v>
      </c>
      <c r="K12" s="6">
        <v>7.0000000000000007E-2</v>
      </c>
      <c r="L12" s="6">
        <v>0.82299999999999995</v>
      </c>
      <c r="M12" s="6">
        <v>18.920000000000002</v>
      </c>
      <c r="N12" s="6">
        <v>101.413</v>
      </c>
      <c r="O12" s="6"/>
      <c r="P12" s="8">
        <f t="shared" si="0"/>
        <v>0.31597188391676528</v>
      </c>
      <c r="Q12" s="8">
        <f t="shared" si="1"/>
        <v>0.46942066741099125</v>
      </c>
      <c r="R12" s="8">
        <f t="shared" si="2"/>
        <v>9.6526266985270517E-2</v>
      </c>
      <c r="S12" s="8">
        <f t="shared" si="3"/>
        <v>59.76892276574376</v>
      </c>
      <c r="T12" s="8">
        <f t="shared" si="4"/>
        <v>35.827774320676156</v>
      </c>
      <c r="U12" s="8">
        <f t="shared" si="5"/>
        <v>10.945028610446276</v>
      </c>
      <c r="V12" s="8">
        <f t="shared" si="6"/>
        <v>53.227197068877572</v>
      </c>
      <c r="W12" s="6"/>
      <c r="X12" s="6">
        <v>2.8412000000000002</v>
      </c>
      <c r="Y12" s="6">
        <v>0.8679</v>
      </c>
      <c r="Z12" s="6">
        <v>1.9E-2</v>
      </c>
      <c r="AA12" s="6">
        <v>7.8323999999999998</v>
      </c>
      <c r="AB12" s="6">
        <v>0</v>
      </c>
      <c r="AC12" s="6">
        <v>5.0000000000000001E-4</v>
      </c>
      <c r="AD12" s="6">
        <v>3.5400000000000001E-2</v>
      </c>
      <c r="AE12" s="6">
        <v>8.5999999999999993E-2</v>
      </c>
      <c r="AF12" s="6">
        <v>2.0199999999999999E-2</v>
      </c>
      <c r="AG12" s="6">
        <v>0.1452</v>
      </c>
      <c r="AH12" s="6">
        <v>4.2207999999999997</v>
      </c>
      <c r="AI12" s="6">
        <v>16.0686</v>
      </c>
    </row>
    <row r="13" spans="1:35" x14ac:dyDescent="0.25">
      <c r="A13" s="6" t="s">
        <v>145</v>
      </c>
      <c r="B13" s="31">
        <v>122.80999</v>
      </c>
      <c r="C13" s="6">
        <v>21.872</v>
      </c>
      <c r="D13" s="6">
        <v>5.7450000000000001</v>
      </c>
      <c r="E13" s="6">
        <v>0.158</v>
      </c>
      <c r="F13" s="6">
        <v>52.353999999999999</v>
      </c>
      <c r="G13" s="6">
        <v>0</v>
      </c>
      <c r="H13" s="6">
        <v>0.03</v>
      </c>
      <c r="I13" s="6">
        <v>0.26500000000000001</v>
      </c>
      <c r="J13" s="6">
        <v>0.65800000000000003</v>
      </c>
      <c r="K13" s="6">
        <v>7.9000000000000001E-2</v>
      </c>
      <c r="L13" s="6">
        <v>0.91400000000000003</v>
      </c>
      <c r="M13" s="6">
        <v>18.716999999999999</v>
      </c>
      <c r="N13" s="6">
        <v>100.792</v>
      </c>
      <c r="O13" s="6"/>
      <c r="P13" s="8">
        <f t="shared" si="0"/>
        <v>0.30443315470805205</v>
      </c>
      <c r="Q13" s="8">
        <f t="shared" si="1"/>
        <v>0.46438407145515442</v>
      </c>
      <c r="R13" s="8">
        <f t="shared" si="2"/>
        <v>0.10244659224651378</v>
      </c>
      <c r="S13" s="8">
        <f t="shared" si="3"/>
        <v>60.402401982155098</v>
      </c>
      <c r="T13" s="8">
        <f t="shared" si="4"/>
        <v>34.941558260013664</v>
      </c>
      <c r="U13" s="8">
        <f t="shared" si="5"/>
        <v>11.758389374357938</v>
      </c>
      <c r="V13" s="8">
        <f t="shared" si="6"/>
        <v>53.300052365628403</v>
      </c>
      <c r="W13" s="6"/>
      <c r="X13" s="6">
        <v>2.7458999999999998</v>
      </c>
      <c r="Y13" s="6">
        <v>0.92410000000000003</v>
      </c>
      <c r="Z13" s="6">
        <v>1.7899999999999999E-2</v>
      </c>
      <c r="AA13" s="6">
        <v>7.859</v>
      </c>
      <c r="AB13" s="6">
        <v>0</v>
      </c>
      <c r="AC13" s="6">
        <v>5.7999999999999996E-3</v>
      </c>
      <c r="AD13" s="6">
        <v>3.15E-2</v>
      </c>
      <c r="AE13" s="6">
        <v>8.3699999999999997E-2</v>
      </c>
      <c r="AF13" s="6">
        <v>2.29E-2</v>
      </c>
      <c r="AG13" s="6">
        <v>0.16170000000000001</v>
      </c>
      <c r="AH13" s="6">
        <v>4.1883999999999997</v>
      </c>
      <c r="AI13" s="6">
        <v>16.040900000000001</v>
      </c>
    </row>
    <row r="14" spans="1:35" x14ac:dyDescent="0.25">
      <c r="A14" s="6" t="s">
        <v>146</v>
      </c>
      <c r="B14" s="31">
        <v>135.09099000000001</v>
      </c>
      <c r="C14" s="6">
        <v>22.521000000000001</v>
      </c>
      <c r="D14" s="6">
        <v>5.6509999999999998</v>
      </c>
      <c r="E14" s="6">
        <v>0.14099999999999999</v>
      </c>
      <c r="F14" s="6">
        <v>52.521000000000001</v>
      </c>
      <c r="G14" s="6">
        <v>0</v>
      </c>
      <c r="H14" s="6">
        <v>7.0000000000000001E-3</v>
      </c>
      <c r="I14" s="6">
        <v>0.26300000000000001</v>
      </c>
      <c r="J14" s="6">
        <v>0.69499999999999995</v>
      </c>
      <c r="K14" s="6">
        <v>5.1999999999999998E-2</v>
      </c>
      <c r="L14" s="6">
        <v>0.80600000000000005</v>
      </c>
      <c r="M14" s="6">
        <v>19.065999999999999</v>
      </c>
      <c r="N14" s="6">
        <v>101.723</v>
      </c>
      <c r="O14" s="6"/>
      <c r="P14" s="8">
        <f t="shared" si="0"/>
        <v>0.31346649036119423</v>
      </c>
      <c r="Q14" s="8">
        <f t="shared" si="1"/>
        <v>0.47304304676839098</v>
      </c>
      <c r="R14" s="8">
        <f t="shared" si="2"/>
        <v>0.10077035557616176</v>
      </c>
      <c r="S14" s="8">
        <f t="shared" si="3"/>
        <v>60.144604030459767</v>
      </c>
      <c r="T14" s="8">
        <f t="shared" si="4"/>
        <v>35.328929792974655</v>
      </c>
      <c r="U14" s="8">
        <f t="shared" si="5"/>
        <v>11.357222946737139</v>
      </c>
      <c r="V14" s="8">
        <f t="shared" si="6"/>
        <v>53.313847260288206</v>
      </c>
      <c r="W14" s="6"/>
      <c r="X14" s="6">
        <v>2.8086000000000002</v>
      </c>
      <c r="Y14" s="6">
        <v>0.90290000000000004</v>
      </c>
      <c r="Z14" s="6">
        <v>1.5900000000000001E-2</v>
      </c>
      <c r="AA14" s="6">
        <v>7.8318000000000003</v>
      </c>
      <c r="AB14" s="6">
        <v>0</v>
      </c>
      <c r="AC14" s="6">
        <v>1.2999999999999999E-3</v>
      </c>
      <c r="AD14" s="6">
        <v>3.1E-2</v>
      </c>
      <c r="AE14" s="6">
        <v>8.7800000000000003E-2</v>
      </c>
      <c r="AF14" s="6">
        <v>1.5100000000000001E-2</v>
      </c>
      <c r="AG14" s="6">
        <v>0.14169999999999999</v>
      </c>
      <c r="AH14" s="6">
        <v>4.2381000000000002</v>
      </c>
      <c r="AI14" s="6">
        <v>16.074200000000001</v>
      </c>
    </row>
    <row r="15" spans="1:35" x14ac:dyDescent="0.25">
      <c r="A15" s="6" t="s">
        <v>147</v>
      </c>
      <c r="B15" s="31">
        <v>147.37198000000001</v>
      </c>
      <c r="C15" s="6">
        <v>22.667000000000002</v>
      </c>
      <c r="D15" s="6">
        <v>5.3079999999999998</v>
      </c>
      <c r="E15" s="6">
        <v>9.7000000000000003E-2</v>
      </c>
      <c r="F15" s="6">
        <v>52.314999999999998</v>
      </c>
      <c r="G15" s="6">
        <v>0</v>
      </c>
      <c r="H15" s="6">
        <v>1.7000000000000001E-2</v>
      </c>
      <c r="I15" s="6">
        <v>0.3</v>
      </c>
      <c r="J15" s="6">
        <v>0.68700000000000006</v>
      </c>
      <c r="K15" s="6">
        <v>5.5E-2</v>
      </c>
      <c r="L15" s="6">
        <v>0.86299999999999999</v>
      </c>
      <c r="M15" s="6">
        <v>19.026</v>
      </c>
      <c r="N15" s="6">
        <v>101.33499999999999</v>
      </c>
      <c r="O15" s="6"/>
      <c r="P15" s="8">
        <f t="shared" si="0"/>
        <v>0.31549864291182411</v>
      </c>
      <c r="Q15" s="8">
        <f t="shared" si="1"/>
        <v>0.47205061406773352</v>
      </c>
      <c r="R15" s="8">
        <f t="shared" si="2"/>
        <v>9.4653874959877302E-2</v>
      </c>
      <c r="S15" s="8">
        <f t="shared" si="3"/>
        <v>59.939186010810552</v>
      </c>
      <c r="T15" s="8">
        <f t="shared" si="4"/>
        <v>35.76258477095088</v>
      </c>
      <c r="U15" s="8">
        <f t="shared" si="5"/>
        <v>10.729260816813273</v>
      </c>
      <c r="V15" s="8">
        <f t="shared" si="6"/>
        <v>53.508154412235832</v>
      </c>
      <c r="W15" s="6"/>
      <c r="X15" s="6">
        <v>2.8380999999999998</v>
      </c>
      <c r="Y15" s="6">
        <v>0.85140000000000005</v>
      </c>
      <c r="Z15" s="6">
        <v>1.09E-2</v>
      </c>
      <c r="AA15" s="6">
        <v>7.8320999999999996</v>
      </c>
      <c r="AB15" s="6">
        <v>0</v>
      </c>
      <c r="AC15" s="6">
        <v>3.3E-3</v>
      </c>
      <c r="AD15" s="6">
        <v>3.56E-2</v>
      </c>
      <c r="AE15" s="6">
        <v>8.7099999999999997E-2</v>
      </c>
      <c r="AF15" s="6">
        <v>1.5900000000000001E-2</v>
      </c>
      <c r="AG15" s="6">
        <v>0.15229999999999999</v>
      </c>
      <c r="AH15" s="6">
        <v>4.2461000000000002</v>
      </c>
      <c r="AI15" s="6">
        <v>16.072800000000001</v>
      </c>
    </row>
    <row r="16" spans="1:35" x14ac:dyDescent="0.25">
      <c r="A16" s="6" t="s">
        <v>304</v>
      </c>
      <c r="B16" s="31">
        <v>159.65298000000001</v>
      </c>
      <c r="C16" s="6">
        <v>22.436</v>
      </c>
      <c r="D16" s="6">
        <v>5.3959999999999999</v>
      </c>
      <c r="E16" s="6">
        <v>0.125</v>
      </c>
      <c r="F16" s="6">
        <v>52.174999999999997</v>
      </c>
      <c r="G16" s="6">
        <v>1.4999999999999999E-2</v>
      </c>
      <c r="H16" s="6">
        <v>8.9999999999999993E-3</v>
      </c>
      <c r="I16" s="6">
        <v>0.30099999999999999</v>
      </c>
      <c r="J16" s="6">
        <v>0.70899999999999996</v>
      </c>
      <c r="K16" s="6">
        <v>0.05</v>
      </c>
      <c r="L16" s="6">
        <v>0.86199999999999999</v>
      </c>
      <c r="M16" s="6">
        <v>19.05</v>
      </c>
      <c r="N16" s="6">
        <v>101.128</v>
      </c>
      <c r="O16" s="6"/>
      <c r="P16" s="8">
        <f t="shared" si="0"/>
        <v>0.31228338784884124</v>
      </c>
      <c r="Q16" s="8">
        <f t="shared" si="1"/>
        <v>0.47264607368812805</v>
      </c>
      <c r="R16" s="8">
        <f t="shared" si="2"/>
        <v>9.6223117800206842E-2</v>
      </c>
      <c r="S16" s="8">
        <f t="shared" si="3"/>
        <v>60.215101719158362</v>
      </c>
      <c r="T16" s="8">
        <f t="shared" si="4"/>
        <v>35.440330672781798</v>
      </c>
      <c r="U16" s="8">
        <f t="shared" si="5"/>
        <v>10.920142556081281</v>
      </c>
      <c r="V16" s="8">
        <f t="shared" si="6"/>
        <v>53.639526771136914</v>
      </c>
      <c r="W16" s="6"/>
      <c r="X16" s="6">
        <v>2.8136999999999999</v>
      </c>
      <c r="Y16" s="6">
        <v>0.86699999999999999</v>
      </c>
      <c r="Z16" s="6">
        <v>1.41E-2</v>
      </c>
      <c r="AA16" s="6">
        <v>7.8238000000000003</v>
      </c>
      <c r="AB16" s="6">
        <v>1.9E-3</v>
      </c>
      <c r="AC16" s="6">
        <v>1.6999999999999999E-3</v>
      </c>
      <c r="AD16" s="6">
        <v>3.5700000000000003E-2</v>
      </c>
      <c r="AE16" s="6">
        <v>9.01E-2</v>
      </c>
      <c r="AF16" s="6">
        <v>1.44E-2</v>
      </c>
      <c r="AG16" s="6">
        <v>0.15240000000000001</v>
      </c>
      <c r="AH16" s="6">
        <v>4.2583000000000002</v>
      </c>
      <c r="AI16" s="6">
        <v>16.0731</v>
      </c>
    </row>
    <row r="17" spans="1:35" x14ac:dyDescent="0.25">
      <c r="A17" s="6" t="s">
        <v>299</v>
      </c>
      <c r="B17" s="31">
        <v>171.93397999999999</v>
      </c>
      <c r="C17" s="6">
        <v>22.266999999999999</v>
      </c>
      <c r="D17" s="6">
        <v>5.5019999999999998</v>
      </c>
      <c r="E17" s="6">
        <v>0.14699999999999999</v>
      </c>
      <c r="F17" s="6">
        <v>52.241999999999997</v>
      </c>
      <c r="G17" s="6">
        <v>0</v>
      </c>
      <c r="H17" s="6">
        <v>5.0000000000000001E-3</v>
      </c>
      <c r="I17" s="6">
        <v>0.27100000000000002</v>
      </c>
      <c r="J17" s="6">
        <v>0.66400000000000003</v>
      </c>
      <c r="K17" s="6">
        <v>6.9000000000000006E-2</v>
      </c>
      <c r="L17" s="6">
        <v>0.83</v>
      </c>
      <c r="M17" s="6">
        <v>19.382999999999999</v>
      </c>
      <c r="N17" s="6">
        <v>101.38</v>
      </c>
      <c r="O17" s="6"/>
      <c r="P17" s="8">
        <f t="shared" si="0"/>
        <v>0.30993110167722182</v>
      </c>
      <c r="Q17" s="8">
        <f t="shared" si="1"/>
        <v>0.48090807592110157</v>
      </c>
      <c r="R17" s="8">
        <f t="shared" si="2"/>
        <v>9.8113342130603798E-2</v>
      </c>
      <c r="S17" s="8">
        <f t="shared" si="3"/>
        <v>60.809844724885451</v>
      </c>
      <c r="T17" s="8">
        <f t="shared" si="4"/>
        <v>34.864753155965033</v>
      </c>
      <c r="U17" s="8">
        <f t="shared" si="5"/>
        <v>11.036960912211825</v>
      </c>
      <c r="V17" s="8">
        <f t="shared" si="6"/>
        <v>54.098285931823142</v>
      </c>
      <c r="W17" s="6"/>
      <c r="X17" s="6">
        <v>2.7839999999999998</v>
      </c>
      <c r="Y17" s="6">
        <v>0.88129999999999997</v>
      </c>
      <c r="Z17" s="6">
        <v>1.6500000000000001E-2</v>
      </c>
      <c r="AA17" s="6">
        <v>7.81</v>
      </c>
      <c r="AB17" s="6">
        <v>0</v>
      </c>
      <c r="AC17" s="6">
        <v>1E-3</v>
      </c>
      <c r="AD17" s="6">
        <v>3.2099999999999997E-2</v>
      </c>
      <c r="AE17" s="6">
        <v>8.4099999999999994E-2</v>
      </c>
      <c r="AF17" s="6">
        <v>2.01E-2</v>
      </c>
      <c r="AG17" s="6">
        <v>0.1462</v>
      </c>
      <c r="AH17" s="6">
        <v>4.3194999999999997</v>
      </c>
      <c r="AI17" s="6">
        <v>16.094799999999999</v>
      </c>
    </row>
    <row r="18" spans="1:35" x14ac:dyDescent="0.25">
      <c r="A18" s="6" t="s">
        <v>323</v>
      </c>
      <c r="B18" s="31">
        <v>184.21498</v>
      </c>
      <c r="C18" s="6">
        <v>22.638999999999999</v>
      </c>
      <c r="D18" s="6">
        <v>5.516</v>
      </c>
      <c r="E18" s="6">
        <v>0.121</v>
      </c>
      <c r="F18" s="6">
        <v>52.390999999999998</v>
      </c>
      <c r="G18" s="6">
        <v>0</v>
      </c>
      <c r="H18" s="6">
        <v>0</v>
      </c>
      <c r="I18" s="6">
        <v>0.255</v>
      </c>
      <c r="J18" s="6">
        <v>0.65400000000000003</v>
      </c>
      <c r="K18" s="6">
        <v>4.3999999999999997E-2</v>
      </c>
      <c r="L18" s="6">
        <v>0.81899999999999995</v>
      </c>
      <c r="M18" s="6">
        <v>19.169</v>
      </c>
      <c r="N18" s="6">
        <v>101.608</v>
      </c>
      <c r="O18" s="6"/>
      <c r="P18" s="8">
        <f t="shared" si="0"/>
        <v>0.31510891502540189</v>
      </c>
      <c r="Q18" s="8">
        <f t="shared" si="1"/>
        <v>0.47559856097258407</v>
      </c>
      <c r="R18" s="8">
        <f t="shared" si="2"/>
        <v>9.8362994400656226E-2</v>
      </c>
      <c r="S18" s="8">
        <f t="shared" si="3"/>
        <v>60.148484162529336</v>
      </c>
      <c r="T18" s="8">
        <f t="shared" si="4"/>
        <v>35.442512772256748</v>
      </c>
      <c r="U18" s="8">
        <f t="shared" si="5"/>
        <v>11.06357681147054</v>
      </c>
      <c r="V18" s="8">
        <f t="shared" si="6"/>
        <v>53.493910416272719</v>
      </c>
      <c r="W18" s="6"/>
      <c r="X18" s="6">
        <v>2.8271000000000002</v>
      </c>
      <c r="Y18" s="6">
        <v>0.88249999999999995</v>
      </c>
      <c r="Z18" s="6">
        <v>1.3599999999999999E-2</v>
      </c>
      <c r="AA18" s="6">
        <v>7.8230000000000004</v>
      </c>
      <c r="AB18" s="6">
        <v>0</v>
      </c>
      <c r="AC18" s="6">
        <v>0</v>
      </c>
      <c r="AD18" s="6">
        <v>3.0099999999999998E-2</v>
      </c>
      <c r="AE18" s="6">
        <v>8.2699999999999996E-2</v>
      </c>
      <c r="AF18" s="6">
        <v>1.2800000000000001E-2</v>
      </c>
      <c r="AG18" s="6">
        <v>0.14410000000000001</v>
      </c>
      <c r="AH18" s="6">
        <v>4.2667000000000002</v>
      </c>
      <c r="AI18" s="6">
        <v>16.082599999999999</v>
      </c>
    </row>
    <row r="19" spans="1:35" x14ac:dyDescent="0.25">
      <c r="A19" s="6" t="s">
        <v>324</v>
      </c>
      <c r="B19" s="31">
        <v>196.49598</v>
      </c>
      <c r="C19" s="6">
        <v>22.23</v>
      </c>
      <c r="D19" s="6">
        <v>5.4950000000000001</v>
      </c>
      <c r="E19" s="6">
        <v>0.11899999999999999</v>
      </c>
      <c r="F19" s="6">
        <v>52.341999999999999</v>
      </c>
      <c r="G19" s="6">
        <v>0</v>
      </c>
      <c r="H19" s="6">
        <v>3.0000000000000001E-3</v>
      </c>
      <c r="I19" s="6">
        <v>0.29099999999999998</v>
      </c>
      <c r="J19" s="6">
        <v>0.71099999999999997</v>
      </c>
      <c r="K19" s="6">
        <v>8.2000000000000003E-2</v>
      </c>
      <c r="L19" s="6">
        <v>0.86799999999999999</v>
      </c>
      <c r="M19" s="6">
        <v>18.998000000000001</v>
      </c>
      <c r="N19" s="6">
        <v>101.139</v>
      </c>
      <c r="O19" s="6"/>
      <c r="P19" s="8">
        <f t="shared" si="0"/>
        <v>0.30941610411302112</v>
      </c>
      <c r="Q19" s="8">
        <f t="shared" si="1"/>
        <v>0.47135591117727332</v>
      </c>
      <c r="R19" s="8">
        <f t="shared" si="2"/>
        <v>9.7988515995577591E-2</v>
      </c>
      <c r="S19" s="8">
        <f t="shared" si="3"/>
        <v>60.370492531295604</v>
      </c>
      <c r="T19" s="8">
        <f t="shared" si="4"/>
        <v>35.210514480009586</v>
      </c>
      <c r="U19" s="8">
        <f t="shared" si="5"/>
        <v>11.150764344433293</v>
      </c>
      <c r="V19" s="8">
        <f t="shared" si="6"/>
        <v>53.638721175557123</v>
      </c>
      <c r="W19" s="6"/>
      <c r="X19" s="6">
        <v>2.7848000000000002</v>
      </c>
      <c r="Y19" s="6">
        <v>0.88200000000000001</v>
      </c>
      <c r="Z19" s="6">
        <v>1.34E-2</v>
      </c>
      <c r="AA19" s="6">
        <v>7.8402000000000003</v>
      </c>
      <c r="AB19" s="6">
        <v>0</v>
      </c>
      <c r="AC19" s="6">
        <v>6.9999999999999999E-4</v>
      </c>
      <c r="AD19" s="6">
        <v>3.4500000000000003E-2</v>
      </c>
      <c r="AE19" s="6">
        <v>9.0200000000000002E-2</v>
      </c>
      <c r="AF19" s="6">
        <v>2.3699999999999999E-2</v>
      </c>
      <c r="AG19" s="6">
        <v>0.1532</v>
      </c>
      <c r="AH19" s="6">
        <v>4.2420999999999998</v>
      </c>
      <c r="AI19" s="6">
        <v>16.064800000000002</v>
      </c>
    </row>
    <row r="20" spans="1:35" x14ac:dyDescent="0.25">
      <c r="A20" s="6" t="s">
        <v>102</v>
      </c>
      <c r="B20" s="31">
        <v>208.77698000000001</v>
      </c>
      <c r="C20" s="6">
        <v>22.553000000000001</v>
      </c>
      <c r="D20" s="6">
        <v>5.4569999999999999</v>
      </c>
      <c r="E20" s="6">
        <v>0.113</v>
      </c>
      <c r="F20" s="6">
        <v>52.119</v>
      </c>
      <c r="G20" s="6">
        <v>8.9999999999999993E-3</v>
      </c>
      <c r="H20" s="6">
        <v>6.0000000000000001E-3</v>
      </c>
      <c r="I20" s="6">
        <v>0.27100000000000002</v>
      </c>
      <c r="J20" s="6">
        <v>0.70699999999999996</v>
      </c>
      <c r="K20" s="6">
        <v>7.0000000000000007E-2</v>
      </c>
      <c r="L20" s="6">
        <v>0.82099999999999995</v>
      </c>
      <c r="M20" s="6">
        <v>19.18</v>
      </c>
      <c r="N20" s="6">
        <v>101.306</v>
      </c>
      <c r="O20" s="6"/>
      <c r="P20" s="8">
        <f t="shared" si="0"/>
        <v>0.31391189365996242</v>
      </c>
      <c r="Q20" s="8">
        <f t="shared" si="1"/>
        <v>0.47587147996526485</v>
      </c>
      <c r="R20" s="8">
        <f t="shared" si="2"/>
        <v>9.7310888405435281E-2</v>
      </c>
      <c r="S20" s="8">
        <f t="shared" si="3"/>
        <v>60.253418324184452</v>
      </c>
      <c r="T20" s="8">
        <f t="shared" si="4"/>
        <v>35.386531859802737</v>
      </c>
      <c r="U20" s="8">
        <f t="shared" si="5"/>
        <v>10.969622121405596</v>
      </c>
      <c r="V20" s="8">
        <f t="shared" si="6"/>
        <v>53.643846018791663</v>
      </c>
      <c r="W20" s="6"/>
      <c r="X20" s="6">
        <v>2.8262</v>
      </c>
      <c r="Y20" s="6">
        <v>0.87619999999999998</v>
      </c>
      <c r="Z20" s="6">
        <v>1.2699999999999999E-2</v>
      </c>
      <c r="AA20" s="6">
        <v>7.8095999999999997</v>
      </c>
      <c r="AB20" s="6">
        <v>1.1000000000000001E-3</v>
      </c>
      <c r="AC20" s="6">
        <v>1.1999999999999999E-3</v>
      </c>
      <c r="AD20" s="6">
        <v>3.2099999999999997E-2</v>
      </c>
      <c r="AE20" s="6">
        <v>8.9800000000000005E-2</v>
      </c>
      <c r="AF20" s="6">
        <v>2.0199999999999999E-2</v>
      </c>
      <c r="AG20" s="6">
        <v>0.14499999999999999</v>
      </c>
      <c r="AH20" s="6">
        <v>4.2842000000000002</v>
      </c>
      <c r="AI20" s="6">
        <v>16.098299999999998</v>
      </c>
    </row>
    <row r="21" spans="1:35" x14ac:dyDescent="0.25">
      <c r="A21" s="6" t="s">
        <v>325</v>
      </c>
      <c r="B21" s="31">
        <v>221.05797999999999</v>
      </c>
      <c r="C21" s="6">
        <v>22.128</v>
      </c>
      <c r="D21" s="6">
        <v>5.4909999999999997</v>
      </c>
      <c r="E21" s="6">
        <v>0.16300000000000001</v>
      </c>
      <c r="F21" s="6">
        <v>52.29</v>
      </c>
      <c r="G21" s="6">
        <v>0</v>
      </c>
      <c r="H21" s="6">
        <v>0</v>
      </c>
      <c r="I21" s="6">
        <v>0.28299999999999997</v>
      </c>
      <c r="J21" s="6">
        <v>0.71299999999999997</v>
      </c>
      <c r="K21" s="6">
        <v>6.8000000000000005E-2</v>
      </c>
      <c r="L21" s="6">
        <v>0.78600000000000003</v>
      </c>
      <c r="M21" s="6">
        <v>18.972000000000001</v>
      </c>
      <c r="N21" s="6">
        <v>100.89400000000001</v>
      </c>
      <c r="O21" s="6"/>
      <c r="P21" s="8">
        <f t="shared" si="0"/>
        <v>0.30799638109819749</v>
      </c>
      <c r="Q21" s="8">
        <f t="shared" si="1"/>
        <v>0.47071082992184599</v>
      </c>
      <c r="R21" s="8">
        <f t="shared" si="2"/>
        <v>9.7917186775562604E-2</v>
      </c>
      <c r="S21" s="8">
        <f t="shared" si="3"/>
        <v>60.447729680742633</v>
      </c>
      <c r="T21" s="8">
        <f t="shared" si="4"/>
        <v>35.134361064179501</v>
      </c>
      <c r="U21" s="8">
        <f t="shared" si="5"/>
        <v>11.169799405741955</v>
      </c>
      <c r="V21" s="8">
        <f t="shared" si="6"/>
        <v>53.695839530078537</v>
      </c>
      <c r="W21" s="6"/>
      <c r="X21" s="6">
        <v>2.7776999999999998</v>
      </c>
      <c r="Y21" s="6">
        <v>0.88319999999999999</v>
      </c>
      <c r="Z21" s="6">
        <v>1.84E-2</v>
      </c>
      <c r="AA21" s="6">
        <v>7.8487999999999998</v>
      </c>
      <c r="AB21" s="6">
        <v>0</v>
      </c>
      <c r="AC21" s="6">
        <v>0</v>
      </c>
      <c r="AD21" s="6">
        <v>3.3599999999999998E-2</v>
      </c>
      <c r="AE21" s="6">
        <v>9.0700000000000003E-2</v>
      </c>
      <c r="AF21" s="6">
        <v>1.9800000000000002E-2</v>
      </c>
      <c r="AG21" s="6">
        <v>0.1391</v>
      </c>
      <c r="AH21" s="6">
        <v>4.2450000000000001</v>
      </c>
      <c r="AI21" s="6">
        <v>16.0563</v>
      </c>
    </row>
    <row r="22" spans="1:35" x14ac:dyDescent="0.25">
      <c r="A22" s="6" t="s">
        <v>326</v>
      </c>
      <c r="B22" s="31">
        <v>233.33897999999999</v>
      </c>
      <c r="C22" s="6">
        <v>23.405999999999999</v>
      </c>
      <c r="D22" s="6">
        <v>5.3630000000000004</v>
      </c>
      <c r="E22" s="6">
        <v>0.185</v>
      </c>
      <c r="F22" s="6">
        <v>52.094000000000001</v>
      </c>
      <c r="G22" s="6">
        <v>0</v>
      </c>
      <c r="H22" s="6">
        <v>0</v>
      </c>
      <c r="I22" s="6">
        <v>0.26500000000000001</v>
      </c>
      <c r="J22" s="6">
        <v>0.65</v>
      </c>
      <c r="K22" s="6">
        <v>9.1999999999999998E-2</v>
      </c>
      <c r="L22" s="6">
        <v>0.83099999999999996</v>
      </c>
      <c r="M22" s="6">
        <v>18.562000000000001</v>
      </c>
      <c r="N22" s="6">
        <v>101.44799999999999</v>
      </c>
      <c r="O22" s="6"/>
      <c r="P22" s="8">
        <f t="shared" si="0"/>
        <v>0.32578467534275174</v>
      </c>
      <c r="Q22" s="8">
        <f t="shared" si="1"/>
        <v>0.46053839474010672</v>
      </c>
      <c r="R22" s="8">
        <f t="shared" si="2"/>
        <v>9.5634651735083273E-2</v>
      </c>
      <c r="S22" s="8">
        <f t="shared" si="3"/>
        <v>58.568597598386333</v>
      </c>
      <c r="T22" s="8">
        <f t="shared" si="4"/>
        <v>36.93880866207801</v>
      </c>
      <c r="U22" s="8">
        <f t="shared" si="5"/>
        <v>10.843450810539496</v>
      </c>
      <c r="V22" s="8">
        <f t="shared" si="6"/>
        <v>52.217740527382496</v>
      </c>
      <c r="W22" s="6"/>
      <c r="X22" s="6">
        <v>2.9384999999999999</v>
      </c>
      <c r="Y22" s="6">
        <v>0.86270000000000002</v>
      </c>
      <c r="Z22" s="6">
        <v>2.0899999999999998E-2</v>
      </c>
      <c r="AA22" s="6">
        <v>7.8198999999999996</v>
      </c>
      <c r="AB22" s="6">
        <v>0</v>
      </c>
      <c r="AC22" s="6">
        <v>0</v>
      </c>
      <c r="AD22" s="6">
        <v>3.1399999999999997E-2</v>
      </c>
      <c r="AE22" s="6">
        <v>8.2699999999999996E-2</v>
      </c>
      <c r="AF22" s="6">
        <v>2.6700000000000002E-2</v>
      </c>
      <c r="AG22" s="6">
        <v>0.14710000000000001</v>
      </c>
      <c r="AH22" s="6">
        <v>4.1535000000000002</v>
      </c>
      <c r="AI22" s="6">
        <v>16.083400000000001</v>
      </c>
    </row>
    <row r="23" spans="1:35" x14ac:dyDescent="0.25">
      <c r="A23" s="6" t="s">
        <v>296</v>
      </c>
      <c r="B23" s="31">
        <v>245.61997</v>
      </c>
      <c r="C23" s="6">
        <v>23.984999999999999</v>
      </c>
      <c r="D23" s="6">
        <v>5.2169999999999996</v>
      </c>
      <c r="E23" s="6">
        <v>0.16600000000000001</v>
      </c>
      <c r="F23" s="6">
        <v>51.850999999999999</v>
      </c>
      <c r="G23" s="6">
        <v>0</v>
      </c>
      <c r="H23" s="6">
        <v>3.0000000000000001E-3</v>
      </c>
      <c r="I23" s="6">
        <v>0.251</v>
      </c>
      <c r="J23" s="6">
        <v>0.71599999999999997</v>
      </c>
      <c r="K23" s="6">
        <v>9.1999999999999998E-2</v>
      </c>
      <c r="L23" s="6">
        <v>0.82499999999999996</v>
      </c>
      <c r="M23" s="6">
        <v>18.533999999999999</v>
      </c>
      <c r="N23" s="6">
        <v>101.64</v>
      </c>
      <c r="O23" s="6"/>
      <c r="P23" s="8">
        <f t="shared" si="0"/>
        <v>0.33384369127983854</v>
      </c>
      <c r="Q23" s="8">
        <f t="shared" si="1"/>
        <v>0.45984369184964641</v>
      </c>
      <c r="R23" s="8">
        <f t="shared" si="2"/>
        <v>9.3031135204536528E-2</v>
      </c>
      <c r="S23" s="8">
        <f t="shared" si="3"/>
        <v>57.937634089192258</v>
      </c>
      <c r="T23" s="8">
        <f t="shared" si="4"/>
        <v>37.649342421208082</v>
      </c>
      <c r="U23" s="8">
        <f t="shared" si="5"/>
        <v>10.491619750913138</v>
      </c>
      <c r="V23" s="8">
        <f t="shared" si="6"/>
        <v>51.859037827878772</v>
      </c>
      <c r="W23" s="6"/>
      <c r="X23" s="6">
        <v>3.0148999999999999</v>
      </c>
      <c r="Y23" s="6">
        <v>0.84009999999999996</v>
      </c>
      <c r="Z23" s="6">
        <v>1.8800000000000001E-2</v>
      </c>
      <c r="AA23" s="6">
        <v>7.7930999999999999</v>
      </c>
      <c r="AB23" s="6">
        <v>0</v>
      </c>
      <c r="AC23" s="6">
        <v>5.9999999999999995E-4</v>
      </c>
      <c r="AD23" s="6">
        <v>2.98E-2</v>
      </c>
      <c r="AE23" s="6">
        <v>9.1200000000000003E-2</v>
      </c>
      <c r="AF23" s="6">
        <v>2.6800000000000001E-2</v>
      </c>
      <c r="AG23" s="6">
        <v>0.14610000000000001</v>
      </c>
      <c r="AH23" s="6">
        <v>4.1525999999999996</v>
      </c>
      <c r="AI23" s="6">
        <v>16.114000000000001</v>
      </c>
    </row>
    <row r="24" spans="1:35" x14ac:dyDescent="0.25">
      <c r="A24" s="6" t="s">
        <v>301</v>
      </c>
      <c r="B24" s="31">
        <v>257.90096999999997</v>
      </c>
      <c r="C24" s="6">
        <v>23.713000000000001</v>
      </c>
      <c r="D24" s="6">
        <v>5.3959999999999999</v>
      </c>
      <c r="E24" s="6">
        <v>0.159</v>
      </c>
      <c r="F24" s="6">
        <v>51.956000000000003</v>
      </c>
      <c r="G24" s="6">
        <v>0</v>
      </c>
      <c r="H24" s="6">
        <v>0</v>
      </c>
      <c r="I24" s="6">
        <v>0.216</v>
      </c>
      <c r="J24" s="6">
        <v>0.69299999999999995</v>
      </c>
      <c r="K24" s="6">
        <v>5.7000000000000002E-2</v>
      </c>
      <c r="L24" s="6">
        <v>0.84199999999999997</v>
      </c>
      <c r="M24" s="6">
        <v>18.082999999999998</v>
      </c>
      <c r="N24" s="6">
        <v>101.11499999999999</v>
      </c>
      <c r="O24" s="6"/>
      <c r="P24" s="8">
        <f t="shared" si="0"/>
        <v>0.330057763240309</v>
      </c>
      <c r="Q24" s="8">
        <f t="shared" si="1"/>
        <v>0.44865401314973324</v>
      </c>
      <c r="R24" s="8">
        <f t="shared" si="2"/>
        <v>9.6223117800206842E-2</v>
      </c>
      <c r="S24" s="8">
        <f t="shared" si="3"/>
        <v>57.614900243271883</v>
      </c>
      <c r="T24" s="8">
        <f t="shared" si="4"/>
        <v>37.723694120781062</v>
      </c>
      <c r="U24" s="8">
        <f t="shared" si="5"/>
        <v>10.997746053923382</v>
      </c>
      <c r="V24" s="8">
        <f t="shared" si="6"/>
        <v>51.278559825295552</v>
      </c>
      <c r="W24" s="6"/>
      <c r="X24" s="6">
        <v>2.9914000000000001</v>
      </c>
      <c r="Y24" s="6">
        <v>0.87209999999999999</v>
      </c>
      <c r="Z24" s="6">
        <v>1.7999999999999999E-2</v>
      </c>
      <c r="AA24" s="6">
        <v>7.8371000000000004</v>
      </c>
      <c r="AB24" s="6">
        <v>0</v>
      </c>
      <c r="AC24" s="6">
        <v>0</v>
      </c>
      <c r="AD24" s="6">
        <v>2.58E-2</v>
      </c>
      <c r="AE24" s="6">
        <v>8.8499999999999995E-2</v>
      </c>
      <c r="AF24" s="6">
        <v>1.66E-2</v>
      </c>
      <c r="AG24" s="6">
        <v>0.14979999999999999</v>
      </c>
      <c r="AH24" s="6">
        <v>4.0660999999999996</v>
      </c>
      <c r="AI24" s="6">
        <v>16.0654</v>
      </c>
    </row>
    <row r="25" spans="1:35" x14ac:dyDescent="0.25">
      <c r="A25" s="6" t="s">
        <v>306</v>
      </c>
      <c r="B25" s="31">
        <v>270.18196999999998</v>
      </c>
      <c r="C25" s="6">
        <v>23.9</v>
      </c>
      <c r="D25" s="6">
        <v>5.7080000000000002</v>
      </c>
      <c r="E25" s="6">
        <v>0.153</v>
      </c>
      <c r="F25" s="6">
        <v>51.715000000000003</v>
      </c>
      <c r="G25" s="6">
        <v>0</v>
      </c>
      <c r="H25" s="6">
        <v>0</v>
      </c>
      <c r="I25" s="6">
        <v>0.23499999999999999</v>
      </c>
      <c r="J25" s="6">
        <v>0.71599999999999997</v>
      </c>
      <c r="K25" s="6">
        <v>7.4999999999999997E-2</v>
      </c>
      <c r="L25" s="6">
        <v>0.85499999999999998</v>
      </c>
      <c r="M25" s="6">
        <v>17.719000000000001</v>
      </c>
      <c r="N25" s="6">
        <v>101.07599999999999</v>
      </c>
      <c r="O25" s="6"/>
      <c r="P25" s="8">
        <f t="shared" si="0"/>
        <v>0.33266058876748555</v>
      </c>
      <c r="Q25" s="8">
        <f t="shared" si="1"/>
        <v>0.43962287557375018</v>
      </c>
      <c r="R25" s="8">
        <f t="shared" si="2"/>
        <v>0.10178679696137523</v>
      </c>
      <c r="S25" s="8">
        <f t="shared" si="3"/>
        <v>56.925066490806216</v>
      </c>
      <c r="T25" s="8">
        <f t="shared" si="4"/>
        <v>38.05879269610746</v>
      </c>
      <c r="U25" s="8">
        <f t="shared" si="5"/>
        <v>11.645150449311044</v>
      </c>
      <c r="V25" s="8">
        <f t="shared" si="6"/>
        <v>50.296056854581487</v>
      </c>
      <c r="W25" s="6"/>
      <c r="X25" s="6">
        <v>3.0238999999999998</v>
      </c>
      <c r="Y25" s="6">
        <v>0.92520000000000002</v>
      </c>
      <c r="Z25" s="6">
        <v>1.7399999999999999E-2</v>
      </c>
      <c r="AA25" s="6">
        <v>7.8234000000000004</v>
      </c>
      <c r="AB25" s="6">
        <v>0</v>
      </c>
      <c r="AC25" s="6">
        <v>0</v>
      </c>
      <c r="AD25" s="6">
        <v>2.81E-2</v>
      </c>
      <c r="AE25" s="6">
        <v>9.1700000000000004E-2</v>
      </c>
      <c r="AF25" s="6">
        <v>2.1899999999999999E-2</v>
      </c>
      <c r="AG25" s="6">
        <v>0.15240000000000001</v>
      </c>
      <c r="AH25" s="6">
        <v>3.9958</v>
      </c>
      <c r="AI25" s="6">
        <v>16.079799999999999</v>
      </c>
    </row>
    <row r="26" spans="1:35" x14ac:dyDescent="0.25">
      <c r="A26" s="6" t="s">
        <v>317</v>
      </c>
      <c r="B26" s="31">
        <v>282.46296999999998</v>
      </c>
      <c r="C26" s="6">
        <v>25.724</v>
      </c>
      <c r="D26" s="6">
        <v>5.4749999999999996</v>
      </c>
      <c r="E26" s="6">
        <v>0.16700000000000001</v>
      </c>
      <c r="F26" s="6">
        <v>51.482999999999997</v>
      </c>
      <c r="G26" s="6">
        <v>0</v>
      </c>
      <c r="H26" s="6">
        <v>0</v>
      </c>
      <c r="I26" s="6">
        <v>0.17899999999999999</v>
      </c>
      <c r="J26" s="6">
        <v>0.81100000000000005</v>
      </c>
      <c r="K26" s="6">
        <v>6.4000000000000001E-2</v>
      </c>
      <c r="L26" s="6">
        <v>0.747</v>
      </c>
      <c r="M26" s="6">
        <v>16.632000000000001</v>
      </c>
      <c r="N26" s="6">
        <v>101.282</v>
      </c>
      <c r="O26" s="6"/>
      <c r="P26" s="8">
        <f t="shared" si="0"/>
        <v>0.35804857679727192</v>
      </c>
      <c r="Q26" s="8">
        <f t="shared" si="1"/>
        <v>0.41265351693338298</v>
      </c>
      <c r="R26" s="8">
        <f t="shared" si="2"/>
        <v>9.7631869895502682E-2</v>
      </c>
      <c r="S26" s="8">
        <f t="shared" si="3"/>
        <v>53.542545205229089</v>
      </c>
      <c r="T26" s="8">
        <f t="shared" si="4"/>
        <v>41.23397123637352</v>
      </c>
      <c r="U26" s="8">
        <f t="shared" si="5"/>
        <v>11.24358530072837</v>
      </c>
      <c r="V26" s="8">
        <f t="shared" si="6"/>
        <v>47.52244346289811</v>
      </c>
      <c r="W26" s="6"/>
      <c r="X26" s="6">
        <v>3.2747000000000002</v>
      </c>
      <c r="Y26" s="6">
        <v>0.89290000000000003</v>
      </c>
      <c r="Z26" s="6">
        <v>1.9199999999999998E-2</v>
      </c>
      <c r="AA26" s="6">
        <v>7.8364000000000003</v>
      </c>
      <c r="AB26" s="6">
        <v>0</v>
      </c>
      <c r="AC26" s="6">
        <v>0</v>
      </c>
      <c r="AD26" s="6">
        <v>2.1499999999999998E-2</v>
      </c>
      <c r="AE26" s="6">
        <v>0.1046</v>
      </c>
      <c r="AF26" s="6">
        <v>1.9E-2</v>
      </c>
      <c r="AG26" s="6">
        <v>0.13400000000000001</v>
      </c>
      <c r="AH26" s="6">
        <v>3.7738999999999998</v>
      </c>
      <c r="AI26" s="6">
        <v>16.0762</v>
      </c>
    </row>
    <row r="27" spans="1:35" x14ac:dyDescent="0.25">
      <c r="A27" s="6" t="s">
        <v>316</v>
      </c>
      <c r="B27" s="31">
        <v>294.74396999999999</v>
      </c>
      <c r="C27" s="6">
        <v>25.571999999999999</v>
      </c>
      <c r="D27" s="6">
        <v>5.7130000000000001</v>
      </c>
      <c r="E27" s="6">
        <v>0.20799999999999999</v>
      </c>
      <c r="F27" s="6">
        <v>51.661000000000001</v>
      </c>
      <c r="G27" s="6">
        <v>0</v>
      </c>
      <c r="H27" s="6">
        <v>1.2E-2</v>
      </c>
      <c r="I27" s="6">
        <v>0.108</v>
      </c>
      <c r="J27" s="6">
        <v>0.76</v>
      </c>
      <c r="K27" s="6">
        <v>5.1999999999999998E-2</v>
      </c>
      <c r="L27" s="6">
        <v>0.72299999999999998</v>
      </c>
      <c r="M27" s="6">
        <v>16.452999999999999</v>
      </c>
      <c r="N27" s="6">
        <v>101.262</v>
      </c>
      <c r="O27" s="6"/>
      <c r="P27" s="8">
        <f t="shared" si="0"/>
        <v>0.35593291112812303</v>
      </c>
      <c r="Q27" s="8">
        <f t="shared" si="1"/>
        <v>0.40821238059794068</v>
      </c>
      <c r="R27" s="8">
        <f t="shared" si="2"/>
        <v>0.10187595848639394</v>
      </c>
      <c r="S27" s="8">
        <f t="shared" si="3"/>
        <v>53.420780709891439</v>
      </c>
      <c r="T27" s="8">
        <f t="shared" si="4"/>
        <v>41.099789530661454</v>
      </c>
      <c r="U27" s="8">
        <f t="shared" si="5"/>
        <v>11.763678831368296</v>
      </c>
      <c r="V27" s="8">
        <f t="shared" si="6"/>
        <v>47.136531637970258</v>
      </c>
      <c r="W27" s="6"/>
      <c r="X27" s="6">
        <v>3.2532000000000001</v>
      </c>
      <c r="Y27" s="6">
        <v>0.93120000000000003</v>
      </c>
      <c r="Z27" s="6">
        <v>2.3800000000000002E-2</v>
      </c>
      <c r="AA27" s="6">
        <v>7.8582000000000001</v>
      </c>
      <c r="AB27" s="6">
        <v>0</v>
      </c>
      <c r="AC27" s="6">
        <v>2.3999999999999998E-3</v>
      </c>
      <c r="AD27" s="6">
        <v>1.2999999999999999E-2</v>
      </c>
      <c r="AE27" s="6">
        <v>9.7900000000000001E-2</v>
      </c>
      <c r="AF27" s="6">
        <v>1.54E-2</v>
      </c>
      <c r="AG27" s="6">
        <v>0.12970000000000001</v>
      </c>
      <c r="AH27" s="6">
        <v>3.7307999999999999</v>
      </c>
      <c r="AI27" s="6">
        <v>16.055599999999998</v>
      </c>
    </row>
    <row r="28" spans="1:35" x14ac:dyDescent="0.25">
      <c r="A28" s="6" t="s">
        <v>307</v>
      </c>
      <c r="B28" s="31">
        <v>307.02497</v>
      </c>
      <c r="C28" s="6">
        <v>26.692</v>
      </c>
      <c r="D28" s="6">
        <v>5.7069999999999999</v>
      </c>
      <c r="E28" s="6">
        <v>0.23499999999999999</v>
      </c>
      <c r="F28" s="6">
        <v>51.362000000000002</v>
      </c>
      <c r="G28" s="6">
        <v>2.7E-2</v>
      </c>
      <c r="H28" s="6">
        <v>5.0000000000000001E-3</v>
      </c>
      <c r="I28" s="6">
        <v>0.125</v>
      </c>
      <c r="J28" s="6">
        <v>0.78300000000000003</v>
      </c>
      <c r="K28" s="6">
        <v>8.2000000000000003E-2</v>
      </c>
      <c r="L28" s="6">
        <v>0.69299999999999995</v>
      </c>
      <c r="M28" s="6">
        <v>16.056000000000001</v>
      </c>
      <c r="N28" s="6">
        <v>101.767</v>
      </c>
      <c r="O28" s="6"/>
      <c r="P28" s="8">
        <f t="shared" si="0"/>
        <v>0.37152202658500938</v>
      </c>
      <c r="Q28" s="8">
        <f t="shared" si="1"/>
        <v>0.39836248604391516</v>
      </c>
      <c r="R28" s="8">
        <f t="shared" si="2"/>
        <v>0.10176896465637147</v>
      </c>
      <c r="S28" s="8">
        <f t="shared" si="3"/>
        <v>51.743148421524531</v>
      </c>
      <c r="T28" s="8">
        <f t="shared" si="4"/>
        <v>42.622674751678716</v>
      </c>
      <c r="U28" s="8">
        <f t="shared" si="5"/>
        <v>11.675392493508294</v>
      </c>
      <c r="V28" s="8">
        <f t="shared" si="6"/>
        <v>45.701932754813001</v>
      </c>
      <c r="W28" s="6"/>
      <c r="X28" s="6">
        <v>3.3988999999999998</v>
      </c>
      <c r="Y28" s="6">
        <v>0.93110000000000004</v>
      </c>
      <c r="Z28" s="6">
        <v>2.69E-2</v>
      </c>
      <c r="AA28" s="6">
        <v>7.8202999999999996</v>
      </c>
      <c r="AB28" s="6">
        <v>3.5000000000000001E-3</v>
      </c>
      <c r="AC28" s="6">
        <v>1E-3</v>
      </c>
      <c r="AD28" s="6">
        <v>1.4999999999999999E-2</v>
      </c>
      <c r="AE28" s="6">
        <v>0.10100000000000001</v>
      </c>
      <c r="AF28" s="6">
        <v>2.41E-2</v>
      </c>
      <c r="AG28" s="6">
        <v>0.12429999999999999</v>
      </c>
      <c r="AH28" s="6">
        <v>3.6442999999999999</v>
      </c>
      <c r="AI28" s="6">
        <v>16.090399999999999</v>
      </c>
    </row>
    <row r="29" spans="1:35" x14ac:dyDescent="0.25">
      <c r="A29" s="6" t="s">
        <v>315</v>
      </c>
      <c r="B29" s="31">
        <v>319.30597</v>
      </c>
      <c r="C29" s="6">
        <v>27.285</v>
      </c>
      <c r="D29" s="6">
        <v>5.6429999999999998</v>
      </c>
      <c r="E29" s="6">
        <v>0.20499999999999999</v>
      </c>
      <c r="F29" s="6">
        <v>51.497999999999998</v>
      </c>
      <c r="G29" s="6">
        <v>0</v>
      </c>
      <c r="H29" s="6">
        <v>0</v>
      </c>
      <c r="I29" s="6">
        <v>0.11700000000000001</v>
      </c>
      <c r="J29" s="6">
        <v>0.76</v>
      </c>
      <c r="K29" s="6">
        <v>0.05</v>
      </c>
      <c r="L29" s="6">
        <v>0.68400000000000005</v>
      </c>
      <c r="M29" s="6">
        <v>15.699</v>
      </c>
      <c r="N29" s="6">
        <v>101.941</v>
      </c>
      <c r="O29" s="6"/>
      <c r="P29" s="8">
        <f t="shared" si="0"/>
        <v>0.37977590646530729</v>
      </c>
      <c r="Q29" s="8">
        <f t="shared" si="1"/>
        <v>0.38950502419054706</v>
      </c>
      <c r="R29" s="8">
        <f t="shared" si="2"/>
        <v>0.1006276971361318</v>
      </c>
      <c r="S29" s="8">
        <f t="shared" si="3"/>
        <v>50.632351416597906</v>
      </c>
      <c r="T29" s="8">
        <f t="shared" si="4"/>
        <v>43.656988140152109</v>
      </c>
      <c r="U29" s="8">
        <f t="shared" si="5"/>
        <v>11.567616864721343</v>
      </c>
      <c r="V29" s="8">
        <f t="shared" si="6"/>
        <v>44.775394995126554</v>
      </c>
      <c r="W29" s="6"/>
      <c r="X29" s="6">
        <v>3.4746999999999999</v>
      </c>
      <c r="Y29" s="6">
        <v>0.92079999999999995</v>
      </c>
      <c r="Z29" s="6">
        <v>2.35E-2</v>
      </c>
      <c r="AA29" s="6">
        <v>7.8415999999999997</v>
      </c>
      <c r="AB29" s="6">
        <v>0</v>
      </c>
      <c r="AC29" s="6">
        <v>0</v>
      </c>
      <c r="AD29" s="6">
        <v>1.41E-2</v>
      </c>
      <c r="AE29" s="6">
        <v>9.8000000000000004E-2</v>
      </c>
      <c r="AF29" s="6">
        <v>1.4800000000000001E-2</v>
      </c>
      <c r="AG29" s="6">
        <v>0.1227</v>
      </c>
      <c r="AH29" s="6">
        <v>3.5636000000000001</v>
      </c>
      <c r="AI29" s="6">
        <v>16.073799999999999</v>
      </c>
    </row>
    <row r="30" spans="1:35" x14ac:dyDescent="0.25">
      <c r="A30" s="6" t="s">
        <v>273</v>
      </c>
      <c r="B30" s="31">
        <v>331.58695999999998</v>
      </c>
      <c r="C30" s="6">
        <v>28.228999999999999</v>
      </c>
      <c r="D30" s="6">
        <v>5.4029999999999996</v>
      </c>
      <c r="E30" s="6">
        <v>0.223</v>
      </c>
      <c r="F30" s="6">
        <v>50.993000000000002</v>
      </c>
      <c r="G30" s="6">
        <v>0</v>
      </c>
      <c r="H30" s="6">
        <v>2E-3</v>
      </c>
      <c r="I30" s="6">
        <v>0.13</v>
      </c>
      <c r="J30" s="6">
        <v>0.71399999999999997</v>
      </c>
      <c r="K30" s="6">
        <v>7.2999999999999995E-2</v>
      </c>
      <c r="L30" s="6">
        <v>0.68100000000000005</v>
      </c>
      <c r="M30" s="6">
        <v>14.75</v>
      </c>
      <c r="N30" s="6">
        <v>101.19799999999999</v>
      </c>
      <c r="O30" s="6"/>
      <c r="P30" s="8">
        <f t="shared" si="0"/>
        <v>0.39291530377896861</v>
      </c>
      <c r="Q30" s="8">
        <f t="shared" si="1"/>
        <v>0.3659595583674482</v>
      </c>
      <c r="R30" s="8">
        <f t="shared" si="2"/>
        <v>9.6347943935233049E-2</v>
      </c>
      <c r="S30" s="8">
        <f t="shared" si="3"/>
        <v>48.223966377323521</v>
      </c>
      <c r="T30" s="8">
        <f t="shared" si="4"/>
        <v>45.943033907056055</v>
      </c>
      <c r="U30" s="8">
        <f t="shared" si="5"/>
        <v>11.265829588510123</v>
      </c>
      <c r="V30" s="8">
        <f t="shared" si="6"/>
        <v>42.79113650443383</v>
      </c>
      <c r="W30" s="6"/>
      <c r="X30" s="6">
        <v>3.6381000000000001</v>
      </c>
      <c r="Y30" s="6">
        <v>0.89219999999999999</v>
      </c>
      <c r="Z30" s="6">
        <v>2.5899999999999999E-2</v>
      </c>
      <c r="AA30" s="6">
        <v>7.8579999999999997</v>
      </c>
      <c r="AB30" s="6">
        <v>0</v>
      </c>
      <c r="AC30" s="6">
        <v>2.9999999999999997E-4</v>
      </c>
      <c r="AD30" s="6">
        <v>1.5900000000000001E-2</v>
      </c>
      <c r="AE30" s="6">
        <v>9.3200000000000005E-2</v>
      </c>
      <c r="AF30" s="6">
        <v>2.18E-2</v>
      </c>
      <c r="AG30" s="6">
        <v>0.1236</v>
      </c>
      <c r="AH30" s="6">
        <v>3.3883999999999999</v>
      </c>
      <c r="AI30" s="6">
        <v>16.057400000000001</v>
      </c>
    </row>
    <row r="31" spans="1:35" x14ac:dyDescent="0.25">
      <c r="A31" s="6" t="s">
        <v>327</v>
      </c>
      <c r="B31" s="31">
        <v>343.86795999999998</v>
      </c>
      <c r="C31" s="6">
        <v>28.605</v>
      </c>
      <c r="D31" s="6">
        <v>5.7530000000000001</v>
      </c>
      <c r="E31" s="6">
        <v>0.26500000000000001</v>
      </c>
      <c r="F31" s="6">
        <v>50.737000000000002</v>
      </c>
      <c r="G31" s="6">
        <v>3.4000000000000002E-2</v>
      </c>
      <c r="H31" s="6">
        <v>0</v>
      </c>
      <c r="I31" s="6">
        <v>0.14399999999999999</v>
      </c>
      <c r="J31" s="6">
        <v>0.84799999999999998</v>
      </c>
      <c r="K31" s="6">
        <v>4.2000000000000003E-2</v>
      </c>
      <c r="L31" s="6">
        <v>0.74199999999999999</v>
      </c>
      <c r="M31" s="6">
        <v>14.423999999999999</v>
      </c>
      <c r="N31" s="6">
        <v>101.59399999999999</v>
      </c>
      <c r="O31" s="6"/>
      <c r="P31" s="8">
        <f t="shared" si="0"/>
        <v>0.39814879253949476</v>
      </c>
      <c r="Q31" s="8">
        <f t="shared" si="1"/>
        <v>0.35787123185708969</v>
      </c>
      <c r="R31" s="8">
        <f t="shared" si="2"/>
        <v>0.10258925068654375</v>
      </c>
      <c r="S31" s="8">
        <f t="shared" si="3"/>
        <v>47.336210723085507</v>
      </c>
      <c r="T31" s="8">
        <f t="shared" si="4"/>
        <v>46.371359370762342</v>
      </c>
      <c r="U31" s="8">
        <f t="shared" si="5"/>
        <v>11.948304504002863</v>
      </c>
      <c r="V31" s="8">
        <f t="shared" si="6"/>
        <v>41.680336125234795</v>
      </c>
      <c r="W31" s="6"/>
      <c r="X31" s="6">
        <v>3.6858</v>
      </c>
      <c r="Y31" s="6">
        <v>0.94979999999999998</v>
      </c>
      <c r="Z31" s="6">
        <v>3.0700000000000002E-2</v>
      </c>
      <c r="AA31" s="6">
        <v>7.8170000000000002</v>
      </c>
      <c r="AB31" s="6">
        <v>4.4000000000000003E-3</v>
      </c>
      <c r="AC31" s="6">
        <v>0</v>
      </c>
      <c r="AD31" s="6">
        <v>1.7500000000000002E-2</v>
      </c>
      <c r="AE31" s="6">
        <v>0.11070000000000001</v>
      </c>
      <c r="AF31" s="6">
        <v>1.26E-2</v>
      </c>
      <c r="AG31" s="6">
        <v>0.13469999999999999</v>
      </c>
      <c r="AH31" s="6">
        <v>3.3127</v>
      </c>
      <c r="AI31" s="6">
        <v>16.075900000000001</v>
      </c>
    </row>
    <row r="32" spans="1:35" x14ac:dyDescent="0.25">
      <c r="A32" s="6" t="s">
        <v>285</v>
      </c>
      <c r="B32" s="31">
        <v>356.14895999999999</v>
      </c>
      <c r="C32" s="6">
        <v>29.768000000000001</v>
      </c>
      <c r="D32" s="6">
        <v>6.0190000000000001</v>
      </c>
      <c r="E32" s="6">
        <v>0.32200000000000001</v>
      </c>
      <c r="F32" s="6">
        <v>50.314999999999998</v>
      </c>
      <c r="G32" s="6">
        <v>2.1000000000000001E-2</v>
      </c>
      <c r="H32" s="6">
        <v>1.2999999999999999E-2</v>
      </c>
      <c r="I32" s="6">
        <v>0.151</v>
      </c>
      <c r="J32" s="6">
        <v>0.79900000000000004</v>
      </c>
      <c r="K32" s="6">
        <v>6.8000000000000005E-2</v>
      </c>
      <c r="L32" s="6">
        <v>0.72499999999999998</v>
      </c>
      <c r="M32" s="6">
        <v>13.351000000000001</v>
      </c>
      <c r="N32" s="6">
        <v>101.55200000000001</v>
      </c>
      <c r="O32" s="6"/>
      <c r="P32" s="8">
        <f t="shared" si="0"/>
        <v>0.41433641867910087</v>
      </c>
      <c r="Q32" s="8">
        <f t="shared" si="1"/>
        <v>0.33124922466195261</v>
      </c>
      <c r="R32" s="8">
        <f t="shared" si="2"/>
        <v>0.10733264381753985</v>
      </c>
      <c r="S32" s="8">
        <f t="shared" si="3"/>
        <v>44.428058348546976</v>
      </c>
      <c r="T32" s="8">
        <f t="shared" si="4"/>
        <v>48.578676869435952</v>
      </c>
      <c r="U32" s="8">
        <f t="shared" si="5"/>
        <v>12.584164911636162</v>
      </c>
      <c r="V32" s="8">
        <f t="shared" si="6"/>
        <v>38.83715821892789</v>
      </c>
      <c r="W32" s="6"/>
      <c r="X32" s="6">
        <v>3.8643999999999998</v>
      </c>
      <c r="Y32" s="6">
        <v>1.0011000000000001</v>
      </c>
      <c r="Z32" s="6">
        <v>3.7499999999999999E-2</v>
      </c>
      <c r="AA32" s="6">
        <v>7.81</v>
      </c>
      <c r="AB32" s="6">
        <v>2.7000000000000001E-3</v>
      </c>
      <c r="AC32" s="6">
        <v>2.7000000000000001E-3</v>
      </c>
      <c r="AD32" s="6">
        <v>1.8499999999999999E-2</v>
      </c>
      <c r="AE32" s="6">
        <v>0.1051</v>
      </c>
      <c r="AF32" s="6">
        <v>2.0500000000000001E-2</v>
      </c>
      <c r="AG32" s="6">
        <v>0.13270000000000001</v>
      </c>
      <c r="AH32" s="6">
        <v>3.0891999999999999</v>
      </c>
      <c r="AI32" s="6">
        <v>16.084399999999999</v>
      </c>
    </row>
    <row r="33" spans="1:35" x14ac:dyDescent="0.25">
      <c r="A33" s="6" t="s">
        <v>328</v>
      </c>
      <c r="B33" s="31">
        <v>368.42995999999999</v>
      </c>
      <c r="C33" s="6">
        <v>31.068000000000001</v>
      </c>
      <c r="D33" s="6">
        <v>5.9039999999999999</v>
      </c>
      <c r="E33" s="6">
        <v>0.35</v>
      </c>
      <c r="F33" s="6">
        <v>49.945999999999998</v>
      </c>
      <c r="G33" s="6">
        <v>0</v>
      </c>
      <c r="H33" s="6">
        <v>0</v>
      </c>
      <c r="I33" s="6">
        <v>0.13100000000000001</v>
      </c>
      <c r="J33" s="6">
        <v>0.84299999999999997</v>
      </c>
      <c r="K33" s="6">
        <v>8.5999999999999993E-2</v>
      </c>
      <c r="L33" s="6">
        <v>0.64200000000000002</v>
      </c>
      <c r="M33" s="6">
        <v>12.555</v>
      </c>
      <c r="N33" s="6">
        <v>101.52500000000001</v>
      </c>
      <c r="O33" s="6"/>
      <c r="P33" s="8">
        <f t="shared" si="0"/>
        <v>0.43243092769155822</v>
      </c>
      <c r="Q33" s="8">
        <f t="shared" si="1"/>
        <v>0.31149981391886861</v>
      </c>
      <c r="R33" s="8">
        <f t="shared" si="2"/>
        <v>0.1052819287421092</v>
      </c>
      <c r="S33" s="8">
        <f t="shared" si="3"/>
        <v>41.872152405551653</v>
      </c>
      <c r="T33" s="8">
        <f t="shared" si="4"/>
        <v>50.92139375547022</v>
      </c>
      <c r="U33" s="8">
        <f t="shared" si="5"/>
        <v>12.397592784196593</v>
      </c>
      <c r="V33" s="8">
        <f t="shared" si="6"/>
        <v>36.681013460333183</v>
      </c>
      <c r="W33" s="6"/>
      <c r="X33" s="6">
        <v>4.0617000000000001</v>
      </c>
      <c r="Y33" s="6">
        <v>0.98899999999999999</v>
      </c>
      <c r="Z33" s="6">
        <v>4.1200000000000001E-2</v>
      </c>
      <c r="AA33" s="6">
        <v>7.8075000000000001</v>
      </c>
      <c r="AB33" s="6">
        <v>0</v>
      </c>
      <c r="AC33" s="6">
        <v>0</v>
      </c>
      <c r="AD33" s="6">
        <v>1.6199999999999999E-2</v>
      </c>
      <c r="AE33" s="6">
        <v>0.11169999999999999</v>
      </c>
      <c r="AF33" s="6">
        <v>2.6100000000000002E-2</v>
      </c>
      <c r="AG33" s="6">
        <v>0.1182</v>
      </c>
      <c r="AH33" s="6">
        <v>2.9256000000000002</v>
      </c>
      <c r="AI33" s="6">
        <v>16.097200000000001</v>
      </c>
    </row>
    <row r="34" spans="1:35" x14ac:dyDescent="0.25">
      <c r="A34" s="6" t="s">
        <v>272</v>
      </c>
      <c r="B34" s="31">
        <v>380.71096</v>
      </c>
      <c r="C34" s="6">
        <v>32.604999999999997</v>
      </c>
      <c r="D34" s="6">
        <v>6.1820000000000004</v>
      </c>
      <c r="E34" s="6">
        <v>0.34699999999999998</v>
      </c>
      <c r="F34" s="6">
        <v>49.417999999999999</v>
      </c>
      <c r="G34" s="6">
        <v>0</v>
      </c>
      <c r="H34" s="6">
        <v>0</v>
      </c>
      <c r="I34" s="6">
        <v>0.108</v>
      </c>
      <c r="J34" s="6">
        <v>0.873</v>
      </c>
      <c r="K34" s="6">
        <v>7.0000000000000007E-2</v>
      </c>
      <c r="L34" s="6">
        <v>0.64300000000000002</v>
      </c>
      <c r="M34" s="6">
        <v>11.215</v>
      </c>
      <c r="N34" s="6">
        <v>101.461</v>
      </c>
      <c r="O34" s="6"/>
      <c r="P34" s="8">
        <f t="shared" si="0"/>
        <v>0.45382420488551739</v>
      </c>
      <c r="Q34" s="8">
        <f t="shared" si="1"/>
        <v>0.27825331844684281</v>
      </c>
      <c r="R34" s="8">
        <f t="shared" si="2"/>
        <v>0.11023930953315025</v>
      </c>
      <c r="S34" s="8">
        <f t="shared" si="3"/>
        <v>38.008723062587038</v>
      </c>
      <c r="T34" s="8">
        <f t="shared" si="4"/>
        <v>53.878088051693709</v>
      </c>
      <c r="U34" s="8">
        <f t="shared" si="5"/>
        <v>13.0876298836535</v>
      </c>
      <c r="V34" s="8">
        <f t="shared" si="6"/>
        <v>33.034282064652807</v>
      </c>
      <c r="W34" s="6"/>
      <c r="X34" s="6">
        <v>4.3044000000000002</v>
      </c>
      <c r="Y34" s="6">
        <v>1.0456000000000001</v>
      </c>
      <c r="Z34" s="6">
        <v>4.1099999999999998E-2</v>
      </c>
      <c r="AA34" s="6">
        <v>7.8007999999999997</v>
      </c>
      <c r="AB34" s="6">
        <v>0</v>
      </c>
      <c r="AC34" s="6">
        <v>0</v>
      </c>
      <c r="AD34" s="6">
        <v>1.35E-2</v>
      </c>
      <c r="AE34" s="6">
        <v>0.1167</v>
      </c>
      <c r="AF34" s="6">
        <v>2.1299999999999999E-2</v>
      </c>
      <c r="AG34" s="6">
        <v>0.1197</v>
      </c>
      <c r="AH34" s="6">
        <v>2.6389999999999998</v>
      </c>
      <c r="AI34" s="6">
        <v>16.1021</v>
      </c>
    </row>
    <row r="35" spans="1:35" x14ac:dyDescent="0.25">
      <c r="A35" s="6" t="s">
        <v>139</v>
      </c>
      <c r="B35" s="31">
        <v>392.99196000000001</v>
      </c>
      <c r="C35" s="6">
        <v>33.670999999999999</v>
      </c>
      <c r="D35" s="6">
        <v>6.9740000000000002</v>
      </c>
      <c r="E35" s="6">
        <v>0.52500000000000002</v>
      </c>
      <c r="F35" s="6">
        <v>49.051000000000002</v>
      </c>
      <c r="G35" s="6">
        <v>2.1999999999999999E-2</v>
      </c>
      <c r="H35" s="6">
        <v>1E-3</v>
      </c>
      <c r="I35" s="6">
        <v>4.1000000000000002E-2</v>
      </c>
      <c r="J35" s="6">
        <v>0.88400000000000001</v>
      </c>
      <c r="K35" s="6">
        <v>3.2000000000000001E-2</v>
      </c>
      <c r="L35" s="6">
        <v>0.57199999999999995</v>
      </c>
      <c r="M35" s="6">
        <v>9.8059999999999992</v>
      </c>
      <c r="N35" s="6">
        <v>101.57899999999999</v>
      </c>
      <c r="O35" s="6"/>
      <c r="P35" s="8">
        <f t="shared" si="0"/>
        <v>0.46866170227573251</v>
      </c>
      <c r="Q35" s="8">
        <f t="shared" si="1"/>
        <v>0.24329487656618284</v>
      </c>
      <c r="R35" s="8">
        <f t="shared" si="2"/>
        <v>0.12436249509611612</v>
      </c>
      <c r="S35" s="8">
        <f t="shared" si="3"/>
        <v>34.172712746321103</v>
      </c>
      <c r="T35" s="8">
        <f t="shared" si="4"/>
        <v>56.038624118533356</v>
      </c>
      <c r="U35" s="8">
        <f t="shared" si="5"/>
        <v>14.870221064135503</v>
      </c>
      <c r="V35" s="8">
        <f t="shared" si="6"/>
        <v>29.091154817331144</v>
      </c>
      <c r="W35" s="6"/>
      <c r="X35" s="6">
        <v>4.4748999999999999</v>
      </c>
      <c r="Y35" s="6">
        <v>1.1875</v>
      </c>
      <c r="Z35" s="6">
        <v>6.2799999999999995E-2</v>
      </c>
      <c r="AA35" s="6">
        <v>7.7946999999999997</v>
      </c>
      <c r="AB35" s="6">
        <v>2.8999999999999998E-3</v>
      </c>
      <c r="AC35" s="6">
        <v>1E-4</v>
      </c>
      <c r="AD35" s="6">
        <v>5.1000000000000004E-3</v>
      </c>
      <c r="AE35" s="6">
        <v>0.11899999999999999</v>
      </c>
      <c r="AF35" s="6">
        <v>9.9000000000000008E-3</v>
      </c>
      <c r="AG35" s="6">
        <v>0.1072</v>
      </c>
      <c r="AH35" s="6">
        <v>2.3229000000000002</v>
      </c>
      <c r="AI35" s="6">
        <v>16.087</v>
      </c>
    </row>
    <row r="36" spans="1:35" x14ac:dyDescent="0.25">
      <c r="A36" s="6" t="s">
        <v>294</v>
      </c>
      <c r="B36" s="31">
        <v>405.27296000000001</v>
      </c>
      <c r="C36" s="6">
        <v>34.31</v>
      </c>
      <c r="D36" s="6">
        <v>6.6669999999999998</v>
      </c>
      <c r="E36" s="6">
        <v>0.55100000000000005</v>
      </c>
      <c r="F36" s="6">
        <v>48.652000000000001</v>
      </c>
      <c r="G36" s="6">
        <v>0</v>
      </c>
      <c r="H36" s="6">
        <v>7.0000000000000001E-3</v>
      </c>
      <c r="I36" s="6">
        <v>1.2E-2</v>
      </c>
      <c r="J36" s="6">
        <v>0.87</v>
      </c>
      <c r="K36" s="6">
        <v>5.3999999999999999E-2</v>
      </c>
      <c r="L36" s="6">
        <v>0.69499999999999995</v>
      </c>
      <c r="M36" s="6">
        <v>9.5619999999999994</v>
      </c>
      <c r="N36" s="6">
        <v>101.38</v>
      </c>
      <c r="O36" s="6"/>
      <c r="P36" s="8">
        <f t="shared" si="0"/>
        <v>0.47755584939800966</v>
      </c>
      <c r="Q36" s="8">
        <f t="shared" si="1"/>
        <v>0.23724103709217217</v>
      </c>
      <c r="R36" s="8">
        <f t="shared" si="2"/>
        <v>0.11888797745996646</v>
      </c>
      <c r="S36" s="8">
        <f t="shared" si="3"/>
        <v>33.189993070210562</v>
      </c>
      <c r="T36" s="8">
        <f t="shared" si="4"/>
        <v>57.282538048641598</v>
      </c>
      <c r="U36" s="8">
        <f t="shared" si="5"/>
        <v>14.260541674782711</v>
      </c>
      <c r="V36" s="8">
        <f t="shared" si="6"/>
        <v>28.456920276575687</v>
      </c>
      <c r="W36" s="6"/>
      <c r="X36" s="6">
        <v>4.5831</v>
      </c>
      <c r="Y36" s="6">
        <v>1.141</v>
      </c>
      <c r="Z36" s="6">
        <v>6.6199999999999995E-2</v>
      </c>
      <c r="AA36" s="6">
        <v>7.7708000000000004</v>
      </c>
      <c r="AB36" s="6">
        <v>0</v>
      </c>
      <c r="AC36" s="6">
        <v>1.4E-3</v>
      </c>
      <c r="AD36" s="6">
        <v>1.5E-3</v>
      </c>
      <c r="AE36" s="6">
        <v>0.1177</v>
      </c>
      <c r="AF36" s="6">
        <v>1.6799999999999999E-2</v>
      </c>
      <c r="AG36" s="6">
        <v>0.1308</v>
      </c>
      <c r="AH36" s="6">
        <v>2.2768000000000002</v>
      </c>
      <c r="AI36" s="6">
        <v>16.106100000000001</v>
      </c>
    </row>
    <row r="37" spans="1:35" x14ac:dyDescent="0.25">
      <c r="A37" s="6" t="s">
        <v>329</v>
      </c>
      <c r="B37" s="31">
        <v>417.55396000000002</v>
      </c>
      <c r="C37" s="6">
        <v>34.427999999999997</v>
      </c>
      <c r="D37" s="6">
        <v>7.4160000000000004</v>
      </c>
      <c r="E37" s="6">
        <v>0.59299999999999997</v>
      </c>
      <c r="F37" s="6">
        <v>48.784999999999997</v>
      </c>
      <c r="G37" s="6">
        <v>0</v>
      </c>
      <c r="H37" s="6">
        <v>2E-3</v>
      </c>
      <c r="I37" s="6">
        <v>6.0000000000000001E-3</v>
      </c>
      <c r="J37" s="6">
        <v>0.9</v>
      </c>
      <c r="K37" s="6">
        <v>6.8000000000000005E-2</v>
      </c>
      <c r="L37" s="6">
        <v>0.67600000000000005</v>
      </c>
      <c r="M37" s="6">
        <v>8.9589999999999996</v>
      </c>
      <c r="N37" s="6">
        <v>101.833</v>
      </c>
      <c r="O37" s="6"/>
      <c r="P37" s="8">
        <f t="shared" si="0"/>
        <v>0.47919827406221727</v>
      </c>
      <c r="Q37" s="8">
        <f t="shared" si="1"/>
        <v>0.22228011412976056</v>
      </c>
      <c r="R37" s="8">
        <f t="shared" si="2"/>
        <v>0.13224437390777133</v>
      </c>
      <c r="S37" s="8">
        <f t="shared" si="3"/>
        <v>31.687378809014398</v>
      </c>
      <c r="T37" s="8">
        <f t="shared" si="4"/>
        <v>57.47693308208904</v>
      </c>
      <c r="U37" s="8">
        <f t="shared" si="5"/>
        <v>15.86191236697328</v>
      </c>
      <c r="V37" s="8">
        <f t="shared" si="6"/>
        <v>26.661154550937677</v>
      </c>
      <c r="W37" s="6"/>
      <c r="X37" s="6">
        <v>4.5888999999999998</v>
      </c>
      <c r="Y37" s="6">
        <v>1.2664</v>
      </c>
      <c r="Z37" s="6">
        <v>7.1099999999999997E-2</v>
      </c>
      <c r="AA37" s="6">
        <v>7.7751000000000001</v>
      </c>
      <c r="AB37" s="6">
        <v>0</v>
      </c>
      <c r="AC37" s="6">
        <v>4.0000000000000002E-4</v>
      </c>
      <c r="AD37" s="6">
        <v>8.0000000000000004E-4</v>
      </c>
      <c r="AE37" s="6">
        <v>0.12139999999999999</v>
      </c>
      <c r="AF37" s="6">
        <v>2.0899999999999998E-2</v>
      </c>
      <c r="AG37" s="6">
        <v>0.127</v>
      </c>
      <c r="AH37" s="6">
        <v>2.1286</v>
      </c>
      <c r="AI37" s="6">
        <v>16.1006</v>
      </c>
    </row>
    <row r="38" spans="1:35" x14ac:dyDescent="0.25">
      <c r="A38" s="6" t="s">
        <v>330</v>
      </c>
      <c r="B38" s="31">
        <v>429.83494999999999</v>
      </c>
      <c r="C38" s="6">
        <v>37.026000000000003</v>
      </c>
      <c r="D38" s="6">
        <v>6.8339999999999996</v>
      </c>
      <c r="E38" s="6">
        <v>0.50700000000000001</v>
      </c>
      <c r="F38" s="6">
        <v>48.137</v>
      </c>
      <c r="G38" s="6">
        <v>0</v>
      </c>
      <c r="H38" s="6">
        <v>2E-3</v>
      </c>
      <c r="I38" s="6">
        <v>0</v>
      </c>
      <c r="J38" s="6">
        <v>0.92700000000000005</v>
      </c>
      <c r="K38" s="6">
        <v>6.4000000000000001E-2</v>
      </c>
      <c r="L38" s="6">
        <v>0.56999999999999995</v>
      </c>
      <c r="M38" s="6">
        <v>7.54</v>
      </c>
      <c r="N38" s="6">
        <v>101.607</v>
      </c>
      <c r="O38" s="6"/>
      <c r="P38" s="8">
        <f t="shared" si="0"/>
        <v>0.51535945438095909</v>
      </c>
      <c r="Q38" s="8">
        <f t="shared" si="1"/>
        <v>0.18707356407393624</v>
      </c>
      <c r="R38" s="8">
        <f t="shared" si="2"/>
        <v>0.12186597239559184</v>
      </c>
      <c r="S38" s="8">
        <f t="shared" si="3"/>
        <v>26.63222814972907</v>
      </c>
      <c r="T38" s="8">
        <f t="shared" si="4"/>
        <v>62.520937196493051</v>
      </c>
      <c r="U38" s="8">
        <f t="shared" si="5"/>
        <v>14.784195267527156</v>
      </c>
      <c r="V38" s="8">
        <f t="shared" si="6"/>
        <v>22.694867535979789</v>
      </c>
      <c r="W38" s="6"/>
      <c r="X38" s="6">
        <v>5.0072000000000001</v>
      </c>
      <c r="Y38" s="6">
        <v>1.1839999999999999</v>
      </c>
      <c r="Z38" s="6">
        <v>6.1699999999999998E-2</v>
      </c>
      <c r="AA38" s="6">
        <v>7.7838000000000003</v>
      </c>
      <c r="AB38" s="6">
        <v>0</v>
      </c>
      <c r="AC38" s="6">
        <v>4.0000000000000002E-4</v>
      </c>
      <c r="AD38" s="6">
        <v>0</v>
      </c>
      <c r="AE38" s="6">
        <v>0.127</v>
      </c>
      <c r="AF38" s="6">
        <v>2.0199999999999999E-2</v>
      </c>
      <c r="AG38" s="6">
        <v>0.1087</v>
      </c>
      <c r="AH38" s="6">
        <v>1.8174999999999999</v>
      </c>
      <c r="AI38" s="6">
        <v>16.110499999999998</v>
      </c>
    </row>
    <row r="39" spans="1:35" x14ac:dyDescent="0.25">
      <c r="A39" s="6" t="s">
        <v>82</v>
      </c>
      <c r="B39" s="31">
        <v>441.24999000000003</v>
      </c>
      <c r="C39" s="6">
        <v>37.753</v>
      </c>
      <c r="D39" s="6">
        <v>7.43</v>
      </c>
      <c r="E39" s="6">
        <v>0.49</v>
      </c>
      <c r="F39" s="6">
        <v>47.972000000000001</v>
      </c>
      <c r="G39" s="6">
        <v>2.1000000000000001E-2</v>
      </c>
      <c r="H39" s="6">
        <v>0</v>
      </c>
      <c r="I39" s="6">
        <v>0</v>
      </c>
      <c r="J39" s="6">
        <v>0.92200000000000004</v>
      </c>
      <c r="K39" s="6">
        <v>6.3E-2</v>
      </c>
      <c r="L39" s="6">
        <v>0.58899999999999997</v>
      </c>
      <c r="M39" s="6">
        <v>6.7270000000000003</v>
      </c>
      <c r="N39" s="6">
        <v>101.967</v>
      </c>
      <c r="O39" s="6"/>
      <c r="P39" s="8">
        <f t="shared" si="0"/>
        <v>0.52547846057484859</v>
      </c>
      <c r="Q39" s="8">
        <f t="shared" si="1"/>
        <v>0.16690236943307282</v>
      </c>
      <c r="R39" s="8">
        <f t="shared" si="2"/>
        <v>0.13249402617782374</v>
      </c>
      <c r="S39" s="8">
        <f t="shared" si="3"/>
        <v>24.105573435816144</v>
      </c>
      <c r="T39" s="8">
        <f t="shared" si="4"/>
        <v>63.704022087020853</v>
      </c>
      <c r="U39" s="8">
        <f t="shared" si="5"/>
        <v>16.062318445549607</v>
      </c>
      <c r="V39" s="8">
        <f t="shared" si="6"/>
        <v>20.23365946742954</v>
      </c>
      <c r="W39" s="6"/>
      <c r="X39" s="6">
        <v>5.1142000000000003</v>
      </c>
      <c r="Y39" s="6">
        <v>1.2895000000000001</v>
      </c>
      <c r="Z39" s="6">
        <v>5.96E-2</v>
      </c>
      <c r="AA39" s="6">
        <v>7.7702</v>
      </c>
      <c r="AB39" s="6">
        <v>2.8E-3</v>
      </c>
      <c r="AC39" s="6">
        <v>0</v>
      </c>
      <c r="AD39" s="6">
        <v>0</v>
      </c>
      <c r="AE39" s="6">
        <v>0.1265</v>
      </c>
      <c r="AF39" s="6">
        <v>1.9900000000000001E-2</v>
      </c>
      <c r="AG39" s="6">
        <v>0.1125</v>
      </c>
      <c r="AH39" s="6">
        <v>1.6243000000000001</v>
      </c>
      <c r="AI39" s="6">
        <v>16.119499999999999</v>
      </c>
    </row>
    <row r="40" spans="1:35" x14ac:dyDescent="0.25">
      <c r="A40" s="39" t="s">
        <v>452</v>
      </c>
      <c r="B40" s="39"/>
      <c r="P40" s="9"/>
      <c r="Q40" s="9"/>
      <c r="R40" s="9"/>
      <c r="S40" s="9"/>
      <c r="T40" s="9"/>
      <c r="U40" s="9"/>
      <c r="V40" s="9"/>
    </row>
    <row r="41" spans="1:35" x14ac:dyDescent="0.25">
      <c r="A41" s="2" t="s">
        <v>353</v>
      </c>
      <c r="B41" s="10">
        <v>0</v>
      </c>
      <c r="C41" s="2">
        <v>34.524999999999999</v>
      </c>
      <c r="D41" s="2">
        <v>7.4989999999999997</v>
      </c>
      <c r="E41" s="2">
        <v>0.13800000000000001</v>
      </c>
      <c r="F41" s="2">
        <v>49.149000000000001</v>
      </c>
      <c r="H41" s="2">
        <v>0</v>
      </c>
      <c r="I41" s="2">
        <v>4.8000000000000001E-2</v>
      </c>
      <c r="J41" s="2">
        <v>0.94299999999999995</v>
      </c>
      <c r="K41" s="2">
        <v>5.2999999999999999E-2</v>
      </c>
      <c r="L41" s="2">
        <v>0.57199999999999995</v>
      </c>
      <c r="M41" s="2">
        <v>8.4139999999999997</v>
      </c>
      <c r="N41" s="2">
        <v>101.34099999999999</v>
      </c>
      <c r="P41" s="9">
        <f t="shared" ref="P41:P72" si="7">C41/(55.845+16)</f>
        <v>0.48054840281160832</v>
      </c>
      <c r="Q41" s="9">
        <f t="shared" ref="Q41:Q72" si="8">M41/(24.305+16)</f>
        <v>0.20875821858330232</v>
      </c>
      <c r="R41" s="9">
        <f t="shared" ref="R41:R72" si="9">D41/(40.078+16)</f>
        <v>0.13372445522308213</v>
      </c>
      <c r="S41" s="9">
        <f>Q41/(P41+Q41)*100</f>
        <v>30.285247827860722</v>
      </c>
      <c r="T41" s="9">
        <f>P41/(P41+R41+Q41)*100</f>
        <v>58.387637655953704</v>
      </c>
      <c r="U41" s="9">
        <f>R41/(P41+R41+Q41)*100</f>
        <v>16.247801452720832</v>
      </c>
      <c r="V41" s="9">
        <f>Q41/(P41+Q41+R41)*100</f>
        <v>25.364560891325468</v>
      </c>
      <c r="X41" s="2">
        <v>4.6238000000000001</v>
      </c>
      <c r="Y41" s="2">
        <v>1.2867</v>
      </c>
      <c r="Z41" s="2">
        <v>1.66E-2</v>
      </c>
      <c r="AA41" s="2">
        <v>7.8703000000000003</v>
      </c>
      <c r="AC41" s="2">
        <v>1E-4</v>
      </c>
      <c r="AD41" s="2">
        <v>6.1000000000000004E-3</v>
      </c>
      <c r="AE41" s="2">
        <v>0.12790000000000001</v>
      </c>
      <c r="AF41" s="2">
        <v>1.6400000000000001E-2</v>
      </c>
      <c r="AG41" s="2">
        <v>0.1079</v>
      </c>
      <c r="AH41" s="2">
        <v>2.0084</v>
      </c>
      <c r="AI41" s="2">
        <v>16.0642</v>
      </c>
    </row>
    <row r="42" spans="1:35" x14ac:dyDescent="0.25">
      <c r="A42" s="2" t="s">
        <v>354</v>
      </c>
      <c r="B42" s="10">
        <v>4.8372900000000003</v>
      </c>
      <c r="C42" s="2">
        <v>35.668999999999997</v>
      </c>
      <c r="D42" s="2">
        <v>6.2409999999999997</v>
      </c>
      <c r="E42" s="2">
        <v>0.188</v>
      </c>
      <c r="F42" s="2">
        <v>48.718000000000004</v>
      </c>
      <c r="H42" s="2">
        <v>6.0000000000000001E-3</v>
      </c>
      <c r="I42" s="2">
        <v>3.9E-2</v>
      </c>
      <c r="J42" s="2">
        <v>0.83599999999999997</v>
      </c>
      <c r="K42" s="2">
        <v>7.1999999999999995E-2</v>
      </c>
      <c r="L42" s="2">
        <v>0.53</v>
      </c>
      <c r="M42" s="2">
        <v>8.5410000000000004</v>
      </c>
      <c r="N42" s="2">
        <v>100.84</v>
      </c>
      <c r="P42" s="9">
        <f t="shared" si="7"/>
        <v>0.49647157074257076</v>
      </c>
      <c r="Q42" s="9">
        <f t="shared" si="8"/>
        <v>0.21190919240788986</v>
      </c>
      <c r="R42" s="9">
        <f t="shared" si="9"/>
        <v>0.11129141552837118</v>
      </c>
      <c r="S42" s="9">
        <f t="shared" ref="S42:S93" si="10">Q42/(P42+Q42)*100</f>
        <v>29.914588796206509</v>
      </c>
      <c r="T42" s="9">
        <f t="shared" ref="T42:T93" si="11">P42/(P42+R42+Q42)*100</f>
        <v>60.569528118277248</v>
      </c>
      <c r="U42" s="9">
        <f t="shared" ref="U42:U93" si="12">R42/(P42+R42+Q42)*100</f>
        <v>13.57755190712383</v>
      </c>
      <c r="V42" s="9">
        <f t="shared" ref="V42:V93" si="13">Q42/(P42+Q42+R42)*100</f>
        <v>25.852919974598919</v>
      </c>
      <c r="X42" s="2">
        <v>4.8135000000000003</v>
      </c>
      <c r="Y42" s="2">
        <v>1.0790999999999999</v>
      </c>
      <c r="Z42" s="2">
        <v>2.2800000000000001E-2</v>
      </c>
      <c r="AA42" s="2">
        <v>7.8612000000000002</v>
      </c>
      <c r="AC42" s="2">
        <v>1.1999999999999999E-3</v>
      </c>
      <c r="AD42" s="2">
        <v>4.8999999999999998E-3</v>
      </c>
      <c r="AE42" s="2">
        <v>0.1142</v>
      </c>
      <c r="AF42" s="2">
        <v>2.2499999999999999E-2</v>
      </c>
      <c r="AG42" s="2">
        <v>0.1009</v>
      </c>
      <c r="AH42" s="2">
        <v>2.0545</v>
      </c>
      <c r="AI42" s="2">
        <v>16.0748</v>
      </c>
    </row>
    <row r="43" spans="1:35" x14ac:dyDescent="0.25">
      <c r="A43" s="2" t="s">
        <v>103</v>
      </c>
      <c r="B43" s="10">
        <v>9.6745800000000006</v>
      </c>
      <c r="C43" s="2">
        <v>36.255000000000003</v>
      </c>
      <c r="D43" s="2">
        <v>6.2080000000000002</v>
      </c>
      <c r="E43" s="2">
        <v>0.13700000000000001</v>
      </c>
      <c r="F43" s="2">
        <v>48.731000000000002</v>
      </c>
      <c r="H43" s="2">
        <v>3.0000000000000001E-3</v>
      </c>
      <c r="I43" s="2">
        <v>4.5999999999999999E-2</v>
      </c>
      <c r="J43" s="2">
        <v>0.90400000000000003</v>
      </c>
      <c r="K43" s="2">
        <v>7.6999999999999999E-2</v>
      </c>
      <c r="L43" s="2">
        <v>0.56399999999999995</v>
      </c>
      <c r="M43" s="2">
        <v>8.3539999999999992</v>
      </c>
      <c r="N43" s="2">
        <v>101.279</v>
      </c>
      <c r="P43" s="9">
        <f t="shared" si="7"/>
        <v>0.50462801865126317</v>
      </c>
      <c r="Q43" s="9">
        <f t="shared" si="8"/>
        <v>0.20726956953231607</v>
      </c>
      <c r="R43" s="9">
        <f t="shared" si="9"/>
        <v>0.11070294946324762</v>
      </c>
      <c r="S43" s="9">
        <f t="shared" si="10"/>
        <v>29.115082418128214</v>
      </c>
      <c r="T43" s="9">
        <f t="shared" si="11"/>
        <v>61.34545208234703</v>
      </c>
      <c r="U43" s="9">
        <f t="shared" si="12"/>
        <v>13.457680173651495</v>
      </c>
      <c r="V43" s="9">
        <f t="shared" si="13"/>
        <v>25.196867744001484</v>
      </c>
      <c r="X43" s="2">
        <v>4.8841999999999999</v>
      </c>
      <c r="Y43" s="2">
        <v>1.0714999999999999</v>
      </c>
      <c r="Z43" s="2">
        <v>1.66E-2</v>
      </c>
      <c r="AA43" s="2">
        <v>7.8498000000000001</v>
      </c>
      <c r="AC43" s="2">
        <v>5.9999999999999995E-4</v>
      </c>
      <c r="AD43" s="2">
        <v>5.8999999999999999E-3</v>
      </c>
      <c r="AE43" s="2">
        <v>0.1234</v>
      </c>
      <c r="AF43" s="2">
        <v>2.4E-2</v>
      </c>
      <c r="AG43" s="2">
        <v>0.1071</v>
      </c>
      <c r="AH43" s="2">
        <v>2.0061</v>
      </c>
      <c r="AI43" s="2">
        <v>16.089200000000002</v>
      </c>
    </row>
    <row r="44" spans="1:35" x14ac:dyDescent="0.25">
      <c r="A44" s="2" t="s">
        <v>355</v>
      </c>
      <c r="B44" s="10">
        <v>14.51187</v>
      </c>
      <c r="C44" s="2">
        <v>27.291</v>
      </c>
      <c r="D44" s="2">
        <v>13.237</v>
      </c>
      <c r="E44" s="2">
        <v>9.6000000000000002E-2</v>
      </c>
      <c r="F44" s="2">
        <v>49.276000000000003</v>
      </c>
      <c r="H44" s="2">
        <v>0</v>
      </c>
      <c r="I44" s="2">
        <v>0.16400000000000001</v>
      </c>
      <c r="J44" s="2">
        <v>0.749</v>
      </c>
      <c r="K44" s="2">
        <v>0.126</v>
      </c>
      <c r="L44" s="2">
        <v>1.0129999999999999</v>
      </c>
      <c r="M44" s="2">
        <v>8.4130000000000003</v>
      </c>
      <c r="N44" s="2">
        <v>100.36499999999999</v>
      </c>
      <c r="P44" s="9">
        <f t="shared" si="7"/>
        <v>0.3798594195838263</v>
      </c>
      <c r="Q44" s="9">
        <f t="shared" si="8"/>
        <v>0.20873340776578589</v>
      </c>
      <c r="R44" s="9">
        <f t="shared" si="9"/>
        <v>0.23604622133456971</v>
      </c>
      <c r="S44" s="9">
        <f t="shared" si="10"/>
        <v>35.463124602740443</v>
      </c>
      <c r="T44" s="9">
        <f t="shared" si="11"/>
        <v>46.06371965891514</v>
      </c>
      <c r="U44" s="9">
        <f t="shared" si="12"/>
        <v>28.624186753126953</v>
      </c>
      <c r="V44" s="9">
        <f t="shared" si="13"/>
        <v>25.312093587957907</v>
      </c>
      <c r="X44" s="2">
        <v>3.6280000000000001</v>
      </c>
      <c r="Y44" s="2">
        <v>2.2545000000000002</v>
      </c>
      <c r="Z44" s="2">
        <v>1.15E-2</v>
      </c>
      <c r="AA44" s="2">
        <v>7.8326000000000002</v>
      </c>
      <c r="AC44" s="2">
        <v>0</v>
      </c>
      <c r="AD44" s="2">
        <v>2.06E-2</v>
      </c>
      <c r="AE44" s="2">
        <v>0.1009</v>
      </c>
      <c r="AF44" s="2">
        <v>3.9E-2</v>
      </c>
      <c r="AG44" s="2">
        <v>0.1898</v>
      </c>
      <c r="AH44" s="2">
        <v>1.9934000000000001</v>
      </c>
      <c r="AI44" s="2">
        <v>16.0703</v>
      </c>
    </row>
    <row r="45" spans="1:35" x14ac:dyDescent="0.25">
      <c r="A45" s="2" t="s">
        <v>71</v>
      </c>
      <c r="B45" s="10">
        <v>19.349160000000001</v>
      </c>
      <c r="C45" s="2">
        <v>23.829000000000001</v>
      </c>
      <c r="D45" s="2">
        <v>14.164</v>
      </c>
      <c r="E45" s="2">
        <v>0.105</v>
      </c>
      <c r="F45" s="2">
        <v>50.225999999999999</v>
      </c>
      <c r="H45" s="2">
        <v>1E-3</v>
      </c>
      <c r="I45" s="2">
        <v>0.22900000000000001</v>
      </c>
      <c r="J45" s="2">
        <v>0.64300000000000002</v>
      </c>
      <c r="K45" s="2">
        <v>0.16</v>
      </c>
      <c r="L45" s="2">
        <v>1.226</v>
      </c>
      <c r="M45" s="2">
        <v>10.272</v>
      </c>
      <c r="N45" s="2">
        <v>100.855</v>
      </c>
      <c r="P45" s="9">
        <f t="shared" si="7"/>
        <v>0.33167235019834368</v>
      </c>
      <c r="Q45" s="9">
        <f t="shared" si="8"/>
        <v>0.25485671752884259</v>
      </c>
      <c r="R45" s="9">
        <f t="shared" si="9"/>
        <v>0.25257676807304108</v>
      </c>
      <c r="S45" s="9">
        <f t="shared" si="10"/>
        <v>43.45167725726165</v>
      </c>
      <c r="T45" s="9">
        <f t="shared" si="11"/>
        <v>39.526879214472252</v>
      </c>
      <c r="U45" s="9">
        <f t="shared" si="12"/>
        <v>30.100704499589977</v>
      </c>
      <c r="V45" s="9">
        <f t="shared" si="13"/>
        <v>30.372416285937781</v>
      </c>
      <c r="X45" s="2">
        <v>3.1023000000000001</v>
      </c>
      <c r="Y45" s="2">
        <v>2.3626999999999998</v>
      </c>
      <c r="Z45" s="2">
        <v>1.23E-2</v>
      </c>
      <c r="AA45" s="2">
        <v>7.8189000000000002</v>
      </c>
      <c r="AC45" s="2">
        <v>2.0000000000000001E-4</v>
      </c>
      <c r="AD45" s="2">
        <v>2.8199999999999999E-2</v>
      </c>
      <c r="AE45" s="2">
        <v>8.48E-2</v>
      </c>
      <c r="AF45" s="2">
        <v>4.8399999999999999E-2</v>
      </c>
      <c r="AG45" s="2">
        <v>0.22500000000000001</v>
      </c>
      <c r="AH45" s="2">
        <v>2.3837000000000002</v>
      </c>
      <c r="AI45" s="2">
        <v>16.066500000000001</v>
      </c>
    </row>
    <row r="46" spans="1:35" x14ac:dyDescent="0.25">
      <c r="A46" s="2" t="s">
        <v>74</v>
      </c>
      <c r="B46" s="10">
        <v>24.186450000000001</v>
      </c>
      <c r="C46" s="2">
        <v>22.831</v>
      </c>
      <c r="D46" s="2">
        <v>13.706</v>
      </c>
      <c r="E46" s="2">
        <v>0.13</v>
      </c>
      <c r="F46" s="2">
        <v>50.612000000000002</v>
      </c>
      <c r="H46" s="2">
        <v>2.5000000000000001E-2</v>
      </c>
      <c r="I46" s="2">
        <v>0.25</v>
      </c>
      <c r="J46" s="2">
        <v>0.65100000000000002</v>
      </c>
      <c r="K46" s="2">
        <v>0.16700000000000001</v>
      </c>
      <c r="L46" s="2">
        <v>1.1000000000000001</v>
      </c>
      <c r="M46" s="2">
        <v>10.867000000000001</v>
      </c>
      <c r="N46" s="2">
        <v>100.339</v>
      </c>
      <c r="P46" s="9">
        <f t="shared" si="7"/>
        <v>0.31778133481801102</v>
      </c>
      <c r="Q46" s="9">
        <f t="shared" si="8"/>
        <v>0.26961915395112274</v>
      </c>
      <c r="R46" s="9">
        <f t="shared" si="9"/>
        <v>0.24440957238132599</v>
      </c>
      <c r="S46" s="9">
        <f t="shared" si="10"/>
        <v>45.90039659587196</v>
      </c>
      <c r="T46" s="9">
        <f t="shared" si="11"/>
        <v>38.203593543758544</v>
      </c>
      <c r="U46" s="9">
        <f t="shared" si="12"/>
        <v>29.382858394774409</v>
      </c>
      <c r="V46" s="9">
        <f t="shared" si="13"/>
        <v>32.413548061467054</v>
      </c>
      <c r="X46" s="2">
        <v>2.9685999999999999</v>
      </c>
      <c r="Y46" s="2">
        <v>2.2831999999999999</v>
      </c>
      <c r="Z46" s="2">
        <v>1.52E-2</v>
      </c>
      <c r="AA46" s="2">
        <v>7.8688000000000002</v>
      </c>
      <c r="AC46" s="2">
        <v>4.8999999999999998E-3</v>
      </c>
      <c r="AD46" s="2">
        <v>3.0700000000000002E-2</v>
      </c>
      <c r="AE46" s="2">
        <v>8.5800000000000001E-2</v>
      </c>
      <c r="AF46" s="2">
        <v>5.0200000000000002E-2</v>
      </c>
      <c r="AG46" s="2">
        <v>0.20150000000000001</v>
      </c>
      <c r="AH46" s="2">
        <v>2.5186000000000002</v>
      </c>
      <c r="AI46" s="2">
        <v>16.0275</v>
      </c>
    </row>
    <row r="47" spans="1:35" x14ac:dyDescent="0.25">
      <c r="A47" s="2" t="s">
        <v>75</v>
      </c>
      <c r="B47" s="10">
        <v>29.02374</v>
      </c>
      <c r="C47" s="2">
        <v>20.241</v>
      </c>
      <c r="D47" s="2">
        <v>14.657</v>
      </c>
      <c r="E47" s="2">
        <v>8.5000000000000006E-2</v>
      </c>
      <c r="F47" s="2">
        <v>51.542000000000002</v>
      </c>
      <c r="H47" s="2">
        <v>4.0000000000000001E-3</v>
      </c>
      <c r="I47" s="2">
        <v>0.22700000000000001</v>
      </c>
      <c r="J47" s="2">
        <v>0.61699999999999999</v>
      </c>
      <c r="K47" s="2">
        <v>0.156</v>
      </c>
      <c r="L47" s="2">
        <v>1.046</v>
      </c>
      <c r="M47" s="2">
        <v>12.586</v>
      </c>
      <c r="N47" s="2">
        <v>101.161</v>
      </c>
      <c r="P47" s="9">
        <f t="shared" si="7"/>
        <v>0.2817315053239613</v>
      </c>
      <c r="Q47" s="9">
        <f t="shared" si="8"/>
        <v>0.3122689492618782</v>
      </c>
      <c r="R47" s="9">
        <f t="shared" si="9"/>
        <v>0.26136809443988729</v>
      </c>
      <c r="S47" s="9">
        <f t="shared" si="10"/>
        <v>52.570489946780327</v>
      </c>
      <c r="T47" s="9">
        <f t="shared" si="11"/>
        <v>32.936855773438978</v>
      </c>
      <c r="U47" s="9">
        <f t="shared" si="12"/>
        <v>30.556196476663555</v>
      </c>
      <c r="V47" s="9">
        <f t="shared" si="13"/>
        <v>36.506947749897471</v>
      </c>
      <c r="X47" s="2">
        <v>2.5811000000000002</v>
      </c>
      <c r="Y47" s="2">
        <v>2.3946000000000001</v>
      </c>
      <c r="Z47" s="2">
        <v>9.7999999999999997E-3</v>
      </c>
      <c r="AA47" s="2">
        <v>7.8589000000000002</v>
      </c>
      <c r="AC47" s="2">
        <v>8.9999999999999998E-4</v>
      </c>
      <c r="AD47" s="2">
        <v>2.7400000000000001E-2</v>
      </c>
      <c r="AE47" s="2">
        <v>7.9600000000000004E-2</v>
      </c>
      <c r="AF47" s="2">
        <v>4.6199999999999998E-2</v>
      </c>
      <c r="AG47" s="2">
        <v>0.188</v>
      </c>
      <c r="AH47" s="2">
        <v>2.8607</v>
      </c>
      <c r="AI47" s="2">
        <v>16.0472</v>
      </c>
    </row>
    <row r="48" spans="1:35" x14ac:dyDescent="0.25">
      <c r="A48" s="2" t="s">
        <v>73</v>
      </c>
      <c r="B48" s="10">
        <v>40.310749999999999</v>
      </c>
      <c r="C48" s="2">
        <v>22.78</v>
      </c>
      <c r="D48" s="2">
        <v>14.964</v>
      </c>
      <c r="E48" s="2">
        <v>0.158</v>
      </c>
      <c r="F48" s="2">
        <v>50.106000000000002</v>
      </c>
      <c r="H48" s="2">
        <v>5.0000000000000001E-3</v>
      </c>
      <c r="I48" s="2">
        <v>0.217</v>
      </c>
      <c r="J48" s="2">
        <v>0.63400000000000001</v>
      </c>
      <c r="K48" s="2">
        <v>0.157</v>
      </c>
      <c r="L48" s="2">
        <v>1.208</v>
      </c>
      <c r="M48" s="2">
        <v>10.116</v>
      </c>
      <c r="N48" s="2">
        <v>100.345</v>
      </c>
      <c r="P48" s="9">
        <f t="shared" si="7"/>
        <v>0.31707147331059921</v>
      </c>
      <c r="Q48" s="9">
        <f t="shared" si="8"/>
        <v>0.2509862299962784</v>
      </c>
      <c r="R48" s="9">
        <f t="shared" si="9"/>
        <v>0.26684261207603693</v>
      </c>
      <c r="S48" s="9">
        <f t="shared" si="10"/>
        <v>44.183227959975383</v>
      </c>
      <c r="T48" s="9">
        <f t="shared" si="11"/>
        <v>37.977165353588241</v>
      </c>
      <c r="U48" s="9">
        <f t="shared" si="12"/>
        <v>31.961014645641082</v>
      </c>
      <c r="V48" s="9">
        <f t="shared" si="13"/>
        <v>30.061820000770666</v>
      </c>
      <c r="X48" s="2">
        <v>2.9748999999999999</v>
      </c>
      <c r="Y48" s="2">
        <v>2.5036999999999998</v>
      </c>
      <c r="Z48" s="2">
        <v>1.8599999999999998E-2</v>
      </c>
      <c r="AA48" s="2">
        <v>7.8239999999999998</v>
      </c>
      <c r="AC48" s="2">
        <v>1E-3</v>
      </c>
      <c r="AD48" s="2">
        <v>2.6800000000000001E-2</v>
      </c>
      <c r="AE48" s="2">
        <v>8.3799999999999999E-2</v>
      </c>
      <c r="AF48" s="2">
        <v>4.7399999999999998E-2</v>
      </c>
      <c r="AG48" s="2">
        <v>0.22239999999999999</v>
      </c>
      <c r="AH48" s="2">
        <v>2.3546999999999998</v>
      </c>
      <c r="AI48" s="2">
        <v>16.057300000000001</v>
      </c>
    </row>
    <row r="49" spans="1:35" x14ac:dyDescent="0.25">
      <c r="A49" s="2" t="s">
        <v>88</v>
      </c>
      <c r="B49" s="10">
        <v>47.566679999999998</v>
      </c>
      <c r="C49" s="2">
        <v>22.439</v>
      </c>
      <c r="D49" s="2">
        <v>15.669</v>
      </c>
      <c r="E49" s="2">
        <v>0.223</v>
      </c>
      <c r="F49" s="2">
        <v>50.16</v>
      </c>
      <c r="H49" s="2">
        <v>0</v>
      </c>
      <c r="I49" s="2">
        <v>0.248</v>
      </c>
      <c r="J49" s="2">
        <v>0.63200000000000001</v>
      </c>
      <c r="K49" s="2">
        <v>0.17100000000000001</v>
      </c>
      <c r="L49" s="2">
        <v>1.2669999999999999</v>
      </c>
      <c r="M49" s="2">
        <v>9.98</v>
      </c>
      <c r="N49" s="2">
        <v>100.789</v>
      </c>
      <c r="P49" s="9">
        <f t="shared" si="7"/>
        <v>0.31232514440810077</v>
      </c>
      <c r="Q49" s="9">
        <f t="shared" si="8"/>
        <v>0.24761195881404294</v>
      </c>
      <c r="R49" s="9">
        <f t="shared" si="9"/>
        <v>0.279414387103677</v>
      </c>
      <c r="S49" s="9">
        <f t="shared" si="10"/>
        <v>44.221387971821521</v>
      </c>
      <c r="T49" s="9">
        <f t="shared" si="11"/>
        <v>37.210292470781454</v>
      </c>
      <c r="U49" s="9">
        <f t="shared" si="12"/>
        <v>33.289318041862714</v>
      </c>
      <c r="V49" s="9">
        <f t="shared" si="13"/>
        <v>29.500389487355832</v>
      </c>
      <c r="X49" s="2">
        <v>2.9184000000000001</v>
      </c>
      <c r="Y49" s="2">
        <v>2.6110000000000002</v>
      </c>
      <c r="Z49" s="2">
        <v>2.6100000000000002E-2</v>
      </c>
      <c r="AA49" s="2">
        <v>7.8007999999999997</v>
      </c>
      <c r="AC49" s="2">
        <v>0</v>
      </c>
      <c r="AD49" s="2">
        <v>3.0499999999999999E-2</v>
      </c>
      <c r="AE49" s="2">
        <v>8.3299999999999999E-2</v>
      </c>
      <c r="AF49" s="2">
        <v>5.16E-2</v>
      </c>
      <c r="AG49" s="2">
        <v>0.23219999999999999</v>
      </c>
      <c r="AH49" s="2">
        <v>2.3136999999999999</v>
      </c>
      <c r="AI49" s="2">
        <v>16.067599999999999</v>
      </c>
    </row>
    <row r="50" spans="1:35" x14ac:dyDescent="0.25">
      <c r="A50" s="2" t="s">
        <v>72</v>
      </c>
      <c r="B50" s="10">
        <v>54.822620000000001</v>
      </c>
      <c r="C50" s="2">
        <v>22.558</v>
      </c>
      <c r="D50" s="2">
        <v>14.02</v>
      </c>
      <c r="E50" s="2">
        <v>0.27500000000000002</v>
      </c>
      <c r="F50" s="2">
        <v>49.593000000000004</v>
      </c>
      <c r="H50" s="2">
        <v>0.02</v>
      </c>
      <c r="I50" s="2">
        <v>0.23699999999999999</v>
      </c>
      <c r="J50" s="2">
        <v>0.59899999999999998</v>
      </c>
      <c r="K50" s="2">
        <v>0.16500000000000001</v>
      </c>
      <c r="L50" s="2">
        <v>1.377</v>
      </c>
      <c r="M50" s="2">
        <v>10.269</v>
      </c>
      <c r="N50" s="2">
        <v>99.113</v>
      </c>
      <c r="P50" s="9">
        <f t="shared" si="7"/>
        <v>0.31398148792539493</v>
      </c>
      <c r="Q50" s="9">
        <f t="shared" si="8"/>
        <v>0.25478228507629325</v>
      </c>
      <c r="R50" s="9">
        <f t="shared" si="9"/>
        <v>0.25000891615250187</v>
      </c>
      <c r="S50" s="9">
        <f t="shared" si="10"/>
        <v>44.795800501087299</v>
      </c>
      <c r="T50" s="9">
        <f t="shared" si="11"/>
        <v>38.347821328743223</v>
      </c>
      <c r="U50" s="9">
        <f t="shared" si="12"/>
        <v>30.534593967803996</v>
      </c>
      <c r="V50" s="9">
        <f t="shared" si="13"/>
        <v>31.117584703452785</v>
      </c>
      <c r="X50" s="2">
        <v>2.9750000000000001</v>
      </c>
      <c r="Y50" s="2">
        <v>2.3690000000000002</v>
      </c>
      <c r="Z50" s="2">
        <v>3.2599999999999997E-2</v>
      </c>
      <c r="AA50" s="2">
        <v>7.8205999999999998</v>
      </c>
      <c r="AC50" s="2">
        <v>3.8999999999999998E-3</v>
      </c>
      <c r="AD50" s="2">
        <v>2.9600000000000001E-2</v>
      </c>
      <c r="AE50" s="2">
        <v>8.0100000000000005E-2</v>
      </c>
      <c r="AF50" s="2">
        <v>5.0500000000000003E-2</v>
      </c>
      <c r="AG50" s="2">
        <v>0.25600000000000001</v>
      </c>
      <c r="AH50" s="2">
        <v>2.4138999999999999</v>
      </c>
      <c r="AI50" s="2">
        <v>16.031199999999998</v>
      </c>
    </row>
    <row r="51" spans="1:35" x14ac:dyDescent="0.25">
      <c r="A51" s="2" t="s">
        <v>106</v>
      </c>
      <c r="B51" s="10">
        <v>62.07855</v>
      </c>
      <c r="C51" s="2">
        <v>22.937000000000001</v>
      </c>
      <c r="D51" s="2">
        <v>14.11</v>
      </c>
      <c r="E51" s="2">
        <v>0.158</v>
      </c>
      <c r="F51" s="2">
        <v>50.218000000000004</v>
      </c>
      <c r="H51" s="2">
        <v>0</v>
      </c>
      <c r="I51" s="2">
        <v>0.22500000000000001</v>
      </c>
      <c r="J51" s="2">
        <v>0.64200000000000002</v>
      </c>
      <c r="K51" s="2">
        <v>0.14899999999999999</v>
      </c>
      <c r="L51" s="2">
        <v>1.18</v>
      </c>
      <c r="M51" s="2">
        <v>10.210000000000001</v>
      </c>
      <c r="N51" s="2">
        <v>99.828999999999994</v>
      </c>
      <c r="P51" s="9">
        <f t="shared" si="7"/>
        <v>0.31925673324518061</v>
      </c>
      <c r="Q51" s="9">
        <f t="shared" si="8"/>
        <v>0.25331844684282351</v>
      </c>
      <c r="R51" s="9">
        <f t="shared" si="9"/>
        <v>0.2516138236028389</v>
      </c>
      <c r="S51" s="9">
        <f t="shared" si="10"/>
        <v>44.241953834584443</v>
      </c>
      <c r="T51" s="9">
        <f t="shared" si="11"/>
        <v>38.735864202931694</v>
      </c>
      <c r="U51" s="9">
        <f t="shared" si="12"/>
        <v>30.528655742320527</v>
      </c>
      <c r="V51" s="9">
        <f t="shared" si="13"/>
        <v>30.735480054747782</v>
      </c>
      <c r="X51" s="2">
        <v>3.0044</v>
      </c>
      <c r="Y51" s="2">
        <v>2.3679000000000001</v>
      </c>
      <c r="Z51" s="2">
        <v>1.8599999999999998E-2</v>
      </c>
      <c r="AA51" s="2">
        <v>7.8651999999999997</v>
      </c>
      <c r="AC51" s="2">
        <v>0</v>
      </c>
      <c r="AD51" s="2">
        <v>2.7799999999999998E-2</v>
      </c>
      <c r="AE51" s="2">
        <v>8.5099999999999995E-2</v>
      </c>
      <c r="AF51" s="2">
        <v>4.53E-2</v>
      </c>
      <c r="AG51" s="2">
        <v>0.21790000000000001</v>
      </c>
      <c r="AH51" s="2">
        <v>2.3837999999999999</v>
      </c>
      <c r="AI51" s="2">
        <v>16.015999999999998</v>
      </c>
    </row>
    <row r="52" spans="1:35" x14ac:dyDescent="0.25">
      <c r="A52" s="2" t="s">
        <v>298</v>
      </c>
      <c r="B52" s="10">
        <v>67.722059999999999</v>
      </c>
      <c r="C52" s="2">
        <v>23.073</v>
      </c>
      <c r="D52" s="2">
        <v>13.458</v>
      </c>
      <c r="E52" s="2">
        <v>0.19800000000000001</v>
      </c>
      <c r="F52" s="2">
        <v>49.469000000000001</v>
      </c>
      <c r="H52" s="2">
        <v>2.7E-2</v>
      </c>
      <c r="I52" s="2">
        <v>0.222</v>
      </c>
      <c r="J52" s="2">
        <v>0.64900000000000002</v>
      </c>
      <c r="K52" s="2">
        <v>0.17</v>
      </c>
      <c r="L52" s="2">
        <v>1.3440000000000001</v>
      </c>
      <c r="M52" s="2">
        <v>10.537000000000001</v>
      </c>
      <c r="N52" s="2">
        <v>99.147000000000006</v>
      </c>
      <c r="P52" s="9">
        <f t="shared" si="7"/>
        <v>0.32114969726494536</v>
      </c>
      <c r="Q52" s="9">
        <f t="shared" si="8"/>
        <v>0.26143158417069845</v>
      </c>
      <c r="R52" s="9">
        <f t="shared" si="9"/>
        <v>0.2399871607403973</v>
      </c>
      <c r="S52" s="9">
        <f t="shared" si="10"/>
        <v>44.874696888038976</v>
      </c>
      <c r="T52" s="9">
        <f t="shared" si="11"/>
        <v>39.042307095488461</v>
      </c>
      <c r="U52" s="9">
        <f t="shared" si="12"/>
        <v>29.175342553323567</v>
      </c>
      <c r="V52" s="9">
        <f t="shared" si="13"/>
        <v>31.782350351187976</v>
      </c>
      <c r="X52" s="2">
        <v>3.0461999999999998</v>
      </c>
      <c r="Y52" s="2">
        <v>2.2763</v>
      </c>
      <c r="Z52" s="2">
        <v>2.35E-2</v>
      </c>
      <c r="AA52" s="2">
        <v>7.8093000000000004</v>
      </c>
      <c r="AC52" s="2">
        <v>5.4999999999999997E-3</v>
      </c>
      <c r="AD52" s="2">
        <v>2.7699999999999999E-2</v>
      </c>
      <c r="AE52" s="2">
        <v>8.6800000000000002E-2</v>
      </c>
      <c r="AF52" s="2">
        <v>5.1900000000000002E-2</v>
      </c>
      <c r="AG52" s="2">
        <v>0.25019999999999998</v>
      </c>
      <c r="AH52" s="2">
        <v>2.4796</v>
      </c>
      <c r="AI52" s="2">
        <v>16.056999999999999</v>
      </c>
    </row>
    <row r="53" spans="1:35" x14ac:dyDescent="0.25">
      <c r="A53" s="2" t="s">
        <v>293</v>
      </c>
      <c r="B53" s="10">
        <v>68.528270000000006</v>
      </c>
      <c r="C53" s="2">
        <v>28.893999999999998</v>
      </c>
      <c r="D53" s="2">
        <v>8.6780000000000008</v>
      </c>
      <c r="E53" s="2">
        <v>0.16700000000000001</v>
      </c>
      <c r="F53" s="2">
        <v>49.704999999999998</v>
      </c>
      <c r="H53" s="2">
        <v>0</v>
      </c>
      <c r="I53" s="2">
        <v>0.17799999999999999</v>
      </c>
      <c r="J53" s="2">
        <v>0.76400000000000001</v>
      </c>
      <c r="K53" s="2">
        <v>0.11600000000000001</v>
      </c>
      <c r="L53" s="2">
        <v>1.0649999999999999</v>
      </c>
      <c r="M53" s="2">
        <v>10.725</v>
      </c>
      <c r="N53" s="2">
        <v>100.292</v>
      </c>
      <c r="P53" s="9">
        <f t="shared" si="7"/>
        <v>0.40217134108149488</v>
      </c>
      <c r="Q53" s="9">
        <f t="shared" si="8"/>
        <v>0.26609601786378861</v>
      </c>
      <c r="R53" s="9">
        <f t="shared" si="9"/>
        <v>0.15474874282249723</v>
      </c>
      <c r="S53" s="9">
        <f t="shared" si="10"/>
        <v>39.818796220088323</v>
      </c>
      <c r="T53" s="9">
        <f t="shared" si="11"/>
        <v>48.865549558223606</v>
      </c>
      <c r="U53" s="9">
        <f t="shared" si="12"/>
        <v>18.80263854985435</v>
      </c>
      <c r="V53" s="9">
        <f t="shared" si="13"/>
        <v>32.331811891922051</v>
      </c>
      <c r="X53" s="2">
        <v>3.8163999999999998</v>
      </c>
      <c r="Y53" s="2">
        <v>1.4684999999999999</v>
      </c>
      <c r="Z53" s="2">
        <v>1.9800000000000002E-2</v>
      </c>
      <c r="AA53" s="2">
        <v>7.85</v>
      </c>
      <c r="AC53" s="2">
        <v>0</v>
      </c>
      <c r="AD53" s="2">
        <v>2.2200000000000001E-2</v>
      </c>
      <c r="AE53" s="2">
        <v>0.1022</v>
      </c>
      <c r="AF53" s="2">
        <v>3.5400000000000001E-2</v>
      </c>
      <c r="AG53" s="2">
        <v>0.19819999999999999</v>
      </c>
      <c r="AH53" s="2">
        <v>2.5249000000000001</v>
      </c>
      <c r="AI53" s="2">
        <v>16.037600000000001</v>
      </c>
    </row>
    <row r="54" spans="1:35" x14ac:dyDescent="0.25">
      <c r="A54" s="2" t="s">
        <v>356</v>
      </c>
      <c r="B54" s="10">
        <v>74.574879999999993</v>
      </c>
      <c r="C54" s="2">
        <v>28.358000000000001</v>
      </c>
      <c r="D54" s="2">
        <v>8.8550000000000004</v>
      </c>
      <c r="E54" s="2">
        <v>0.159</v>
      </c>
      <c r="F54" s="2">
        <v>49.74</v>
      </c>
      <c r="H54" s="2">
        <v>2.1999999999999999E-2</v>
      </c>
      <c r="I54" s="2">
        <v>0.14899999999999999</v>
      </c>
      <c r="J54" s="2">
        <v>0.72799999999999998</v>
      </c>
      <c r="K54" s="2">
        <v>0.121</v>
      </c>
      <c r="L54" s="2">
        <v>1.1850000000000001</v>
      </c>
      <c r="M54" s="2">
        <v>11.074999999999999</v>
      </c>
      <c r="N54" s="2">
        <v>100.392</v>
      </c>
      <c r="P54" s="9">
        <f t="shared" si="7"/>
        <v>0.39471083582712785</v>
      </c>
      <c r="Q54" s="9">
        <f t="shared" si="8"/>
        <v>0.2747798039945416</v>
      </c>
      <c r="R54" s="9">
        <f t="shared" si="9"/>
        <v>0.15790506080816005</v>
      </c>
      <c r="S54" s="9">
        <f t="shared" si="10"/>
        <v>41.043113622579405</v>
      </c>
      <c r="T54" s="9">
        <f t="shared" si="11"/>
        <v>47.705207499466866</v>
      </c>
      <c r="U54" s="9">
        <f t="shared" si="12"/>
        <v>19.084588025772877</v>
      </c>
      <c r="V54" s="9">
        <f t="shared" si="13"/>
        <v>33.21020447476026</v>
      </c>
      <c r="X54" s="2">
        <v>3.7336</v>
      </c>
      <c r="Y54" s="2">
        <v>1.4937</v>
      </c>
      <c r="Z54" s="2">
        <v>1.89E-2</v>
      </c>
      <c r="AA54" s="2">
        <v>7.8303000000000003</v>
      </c>
      <c r="AC54" s="2">
        <v>4.4000000000000003E-3</v>
      </c>
      <c r="AD54" s="2">
        <v>1.8599999999999998E-2</v>
      </c>
      <c r="AE54" s="2">
        <v>9.7000000000000003E-2</v>
      </c>
      <c r="AF54" s="2">
        <v>3.6999999999999998E-2</v>
      </c>
      <c r="AG54" s="2">
        <v>0.21990000000000001</v>
      </c>
      <c r="AH54" s="2">
        <v>2.5990000000000002</v>
      </c>
      <c r="AI54" s="2">
        <v>16.052399999999999</v>
      </c>
    </row>
    <row r="55" spans="1:35" x14ac:dyDescent="0.25">
      <c r="A55" s="2" t="s">
        <v>357</v>
      </c>
      <c r="B55" s="10">
        <v>74.977990000000005</v>
      </c>
      <c r="C55" s="2">
        <v>25.187999999999999</v>
      </c>
      <c r="D55" s="2">
        <v>11.821</v>
      </c>
      <c r="E55" s="2">
        <v>9.6000000000000002E-2</v>
      </c>
      <c r="F55" s="2">
        <v>49.502000000000002</v>
      </c>
      <c r="H55" s="2">
        <v>7.5999999999999998E-2</v>
      </c>
      <c r="I55" s="2">
        <v>0.14299999999999999</v>
      </c>
      <c r="J55" s="2">
        <v>0.73099999999999998</v>
      </c>
      <c r="K55" s="2">
        <v>0.186</v>
      </c>
      <c r="L55" s="2">
        <v>1.3160000000000001</v>
      </c>
      <c r="M55" s="2">
        <v>10.67</v>
      </c>
      <c r="N55" s="2">
        <v>99.728999999999999</v>
      </c>
      <c r="P55" s="9">
        <f t="shared" si="7"/>
        <v>0.35058807154290483</v>
      </c>
      <c r="Q55" s="9">
        <f t="shared" si="8"/>
        <v>0.26473142290038459</v>
      </c>
      <c r="R55" s="9">
        <f t="shared" si="9"/>
        <v>0.21079567744926708</v>
      </c>
      <c r="S55" s="9">
        <f t="shared" si="10"/>
        <v>43.023409024266407</v>
      </c>
      <c r="T55" s="9">
        <f t="shared" si="11"/>
        <v>42.438159166080766</v>
      </c>
      <c r="U55" s="9">
        <f t="shared" si="12"/>
        <v>25.516499953190895</v>
      </c>
      <c r="V55" s="9">
        <f t="shared" si="13"/>
        <v>32.04534088072834</v>
      </c>
      <c r="X55" s="2">
        <v>3.3231999999999999</v>
      </c>
      <c r="Y55" s="2">
        <v>1.9982</v>
      </c>
      <c r="Z55" s="2">
        <v>1.14E-2</v>
      </c>
      <c r="AA55" s="2">
        <v>7.8094999999999999</v>
      </c>
      <c r="AC55" s="2">
        <v>1.5299999999999999E-2</v>
      </c>
      <c r="AD55" s="2">
        <v>1.78E-2</v>
      </c>
      <c r="AE55" s="2">
        <v>9.7699999999999995E-2</v>
      </c>
      <c r="AF55" s="2">
        <v>5.6899999999999999E-2</v>
      </c>
      <c r="AG55" s="2">
        <v>0.2447</v>
      </c>
      <c r="AH55" s="2">
        <v>2.5091999999999999</v>
      </c>
      <c r="AI55" s="2">
        <v>16.0839</v>
      </c>
    </row>
    <row r="56" spans="1:35" x14ac:dyDescent="0.25">
      <c r="A56" s="2" t="s">
        <v>282</v>
      </c>
      <c r="B56" s="10">
        <v>80.621489999999994</v>
      </c>
      <c r="C56" s="2">
        <v>25.556999999999999</v>
      </c>
      <c r="D56" s="2">
        <v>12.135999999999999</v>
      </c>
      <c r="E56" s="2">
        <v>0.20100000000000001</v>
      </c>
      <c r="F56" s="2">
        <v>49.756999999999998</v>
      </c>
      <c r="H56" s="2">
        <v>1.0999999999999999E-2</v>
      </c>
      <c r="I56" s="2">
        <v>0.159</v>
      </c>
      <c r="J56" s="2">
        <v>0.67400000000000004</v>
      </c>
      <c r="K56" s="2">
        <v>0.14899999999999999</v>
      </c>
      <c r="L56" s="2">
        <v>0.97099999999999997</v>
      </c>
      <c r="M56" s="2">
        <v>10.401999999999999</v>
      </c>
      <c r="N56" s="2">
        <v>100.017</v>
      </c>
      <c r="P56" s="9">
        <f t="shared" si="7"/>
        <v>0.35572412833182543</v>
      </c>
      <c r="Q56" s="9">
        <f t="shared" si="8"/>
        <v>0.25808212380597939</v>
      </c>
      <c r="R56" s="9">
        <f t="shared" si="9"/>
        <v>0.21641285352544667</v>
      </c>
      <c r="S56" s="9">
        <f t="shared" si="10"/>
        <v>42.046186872016044</v>
      </c>
      <c r="T56" s="9">
        <f t="shared" si="11"/>
        <v>42.847017842072177</v>
      </c>
      <c r="U56" s="9">
        <f t="shared" si="12"/>
        <v>26.066956547881077</v>
      </c>
      <c r="V56" s="9">
        <f t="shared" si="13"/>
        <v>31.08602561004674</v>
      </c>
      <c r="X56" s="2">
        <v>3.3675999999999999</v>
      </c>
      <c r="Y56" s="2">
        <v>2.0488</v>
      </c>
      <c r="Z56" s="2">
        <v>2.3800000000000002E-2</v>
      </c>
      <c r="AA56" s="2">
        <v>7.8395000000000001</v>
      </c>
      <c r="AC56" s="2">
        <v>2.0999999999999999E-3</v>
      </c>
      <c r="AD56" s="2">
        <v>1.9800000000000002E-2</v>
      </c>
      <c r="AE56" s="2">
        <v>0.09</v>
      </c>
      <c r="AF56" s="2">
        <v>4.5699999999999998E-2</v>
      </c>
      <c r="AG56" s="2">
        <v>0.18029999999999999</v>
      </c>
      <c r="AH56" s="2">
        <v>2.4430999999999998</v>
      </c>
      <c r="AI56" s="2">
        <v>16.060700000000001</v>
      </c>
    </row>
    <row r="57" spans="1:35" x14ac:dyDescent="0.25">
      <c r="A57" s="2" t="s">
        <v>358</v>
      </c>
      <c r="B57" s="10">
        <v>87.071209999999994</v>
      </c>
      <c r="C57" s="2">
        <v>24.899000000000001</v>
      </c>
      <c r="D57" s="2">
        <v>12.804</v>
      </c>
      <c r="E57" s="2">
        <v>0.22900000000000001</v>
      </c>
      <c r="F57" s="2">
        <v>49.686999999999998</v>
      </c>
      <c r="H57" s="2">
        <v>2E-3</v>
      </c>
      <c r="I57" s="2">
        <v>0.26200000000000001</v>
      </c>
      <c r="J57" s="2">
        <v>0.69</v>
      </c>
      <c r="K57" s="2">
        <v>0.17299999999999999</v>
      </c>
      <c r="L57" s="2">
        <v>1.129</v>
      </c>
      <c r="M57" s="2">
        <v>10.49</v>
      </c>
      <c r="N57" s="2">
        <v>100.36499999999999</v>
      </c>
      <c r="P57" s="9">
        <f t="shared" si="7"/>
        <v>0.34656552300090476</v>
      </c>
      <c r="Q57" s="9">
        <f t="shared" si="8"/>
        <v>0.26026547574742587</v>
      </c>
      <c r="R57" s="9">
        <f t="shared" si="9"/>
        <v>0.2283248332679482</v>
      </c>
      <c r="S57" s="9">
        <f t="shared" si="10"/>
        <v>42.889284872436953</v>
      </c>
      <c r="T57" s="9">
        <f t="shared" si="11"/>
        <v>41.497108649077781</v>
      </c>
      <c r="U57" s="9">
        <f t="shared" si="12"/>
        <v>27.33918922851965</v>
      </c>
      <c r="V57" s="9">
        <f t="shared" si="13"/>
        <v>31.163702122402565</v>
      </c>
      <c r="X57" s="2">
        <v>3.2673000000000001</v>
      </c>
      <c r="Y57" s="2">
        <v>2.1526999999999998</v>
      </c>
      <c r="Z57" s="2">
        <v>2.7E-2</v>
      </c>
      <c r="AA57" s="2">
        <v>7.7961</v>
      </c>
      <c r="AC57" s="2">
        <v>2.9999999999999997E-4</v>
      </c>
      <c r="AD57" s="2">
        <v>3.2500000000000001E-2</v>
      </c>
      <c r="AE57" s="2">
        <v>9.1700000000000004E-2</v>
      </c>
      <c r="AF57" s="2">
        <v>5.2499999999999998E-2</v>
      </c>
      <c r="AG57" s="2">
        <v>0.2089</v>
      </c>
      <c r="AH57" s="2">
        <v>2.4535999999999998</v>
      </c>
      <c r="AI57" s="2">
        <v>16.082599999999999</v>
      </c>
    </row>
    <row r="58" spans="1:35" x14ac:dyDescent="0.25">
      <c r="A58" s="2" t="s">
        <v>359</v>
      </c>
      <c r="B58" s="10">
        <v>95.133359999999996</v>
      </c>
      <c r="C58" s="2">
        <v>30.064</v>
      </c>
      <c r="D58" s="2">
        <v>6.577</v>
      </c>
      <c r="E58" s="2">
        <v>0.13400000000000001</v>
      </c>
      <c r="F58" s="2">
        <v>49.91</v>
      </c>
      <c r="H58" s="2">
        <v>0.01</v>
      </c>
      <c r="I58" s="2">
        <v>0.13100000000000001</v>
      </c>
      <c r="J58" s="2">
        <v>0.85699999999999998</v>
      </c>
      <c r="K58" s="2">
        <v>7.0999999999999994E-2</v>
      </c>
      <c r="L58" s="2">
        <v>0.67300000000000004</v>
      </c>
      <c r="M58" s="2">
        <v>11.887</v>
      </c>
      <c r="N58" s="2">
        <v>100.31399999999999</v>
      </c>
      <c r="P58" s="9">
        <f t="shared" si="7"/>
        <v>0.41845639919270655</v>
      </c>
      <c r="Q58" s="9">
        <f t="shared" si="8"/>
        <v>0.2949261878178886</v>
      </c>
      <c r="R58" s="9">
        <f t="shared" si="9"/>
        <v>0.11728307000962944</v>
      </c>
      <c r="S58" s="9">
        <f t="shared" si="10"/>
        <v>41.341938139220147</v>
      </c>
      <c r="T58" s="9">
        <f t="shared" si="11"/>
        <v>50.376032240673005</v>
      </c>
      <c r="U58" s="9">
        <f t="shared" si="12"/>
        <v>14.119166841488177</v>
      </c>
      <c r="V58" s="9">
        <f t="shared" si="13"/>
        <v>35.504800917838821</v>
      </c>
      <c r="X58" s="2">
        <v>3.9679000000000002</v>
      </c>
      <c r="Y58" s="2">
        <v>1.1122000000000001</v>
      </c>
      <c r="Z58" s="2">
        <v>1.6E-2</v>
      </c>
      <c r="AA58" s="2">
        <v>7.8765000000000001</v>
      </c>
      <c r="AC58" s="2">
        <v>2.0999999999999999E-3</v>
      </c>
      <c r="AD58" s="2">
        <v>1.6299999999999999E-2</v>
      </c>
      <c r="AE58" s="2">
        <v>0.11459999999999999</v>
      </c>
      <c r="AF58" s="2">
        <v>2.1600000000000001E-2</v>
      </c>
      <c r="AG58" s="2">
        <v>0.12509999999999999</v>
      </c>
      <c r="AH58" s="2">
        <v>2.7964000000000002</v>
      </c>
      <c r="AI58" s="2">
        <v>16.0487</v>
      </c>
    </row>
    <row r="59" spans="1:35" x14ac:dyDescent="0.25">
      <c r="A59" s="2" t="s">
        <v>360</v>
      </c>
      <c r="B59" s="10">
        <v>96.74579</v>
      </c>
      <c r="C59" s="2">
        <v>30.751000000000001</v>
      </c>
      <c r="D59" s="2">
        <v>5.9770000000000003</v>
      </c>
      <c r="E59" s="2">
        <v>0.13400000000000001</v>
      </c>
      <c r="F59" s="2">
        <v>50.03</v>
      </c>
      <c r="H59" s="2">
        <v>1.4E-2</v>
      </c>
      <c r="I59" s="2">
        <v>0.16200000000000001</v>
      </c>
      <c r="J59" s="2">
        <v>0.83</v>
      </c>
      <c r="K59" s="2">
        <v>0.105</v>
      </c>
      <c r="L59" s="2">
        <v>0.91700000000000004</v>
      </c>
      <c r="M59" s="2">
        <v>12.291</v>
      </c>
      <c r="N59" s="2">
        <v>101.211</v>
      </c>
      <c r="P59" s="9">
        <f t="shared" si="7"/>
        <v>0.42801865126313593</v>
      </c>
      <c r="Q59" s="9">
        <f t="shared" si="8"/>
        <v>0.30494975809452923</v>
      </c>
      <c r="R59" s="9">
        <f t="shared" si="9"/>
        <v>0.10658368700738258</v>
      </c>
      <c r="S59" s="9">
        <f t="shared" si="10"/>
        <v>41.604761433275286</v>
      </c>
      <c r="T59" s="9">
        <f t="shared" si="11"/>
        <v>50.981785777952247</v>
      </c>
      <c r="U59" s="9">
        <f t="shared" si="12"/>
        <v>12.69530353969108</v>
      </c>
      <c r="V59" s="9">
        <f t="shared" si="13"/>
        <v>36.322910682356664</v>
      </c>
      <c r="X59" s="2">
        <v>4.0252999999999997</v>
      </c>
      <c r="Y59" s="2">
        <v>1.0023</v>
      </c>
      <c r="Z59" s="2">
        <v>1.5800000000000002E-2</v>
      </c>
      <c r="AA59" s="2">
        <v>7.8307000000000002</v>
      </c>
      <c r="AC59" s="2">
        <v>2.8E-3</v>
      </c>
      <c r="AD59" s="2">
        <v>2.01E-2</v>
      </c>
      <c r="AE59" s="2">
        <v>0.1101</v>
      </c>
      <c r="AF59" s="2">
        <v>3.2000000000000001E-2</v>
      </c>
      <c r="AG59" s="2">
        <v>0.16930000000000001</v>
      </c>
      <c r="AH59" s="2">
        <v>2.8679000000000001</v>
      </c>
      <c r="AI59" s="2">
        <v>16.0763</v>
      </c>
    </row>
    <row r="60" spans="1:35" x14ac:dyDescent="0.25">
      <c r="A60" s="2" t="s">
        <v>314</v>
      </c>
      <c r="B60" s="10">
        <v>124.1571</v>
      </c>
      <c r="C60" s="2">
        <v>22.277999999999999</v>
      </c>
      <c r="D60" s="2">
        <v>12.909000000000001</v>
      </c>
      <c r="E60" s="2">
        <v>0.161</v>
      </c>
      <c r="F60" s="2">
        <v>50.192</v>
      </c>
      <c r="H60" s="2">
        <v>2.9000000000000001E-2</v>
      </c>
      <c r="I60" s="2">
        <v>0.24</v>
      </c>
      <c r="J60" s="2">
        <v>0.64</v>
      </c>
      <c r="K60" s="2">
        <v>0.123</v>
      </c>
      <c r="L60" s="2">
        <v>1.585</v>
      </c>
      <c r="M60" s="2">
        <v>11.659000000000001</v>
      </c>
      <c r="N60" s="2">
        <v>99.816000000000003</v>
      </c>
      <c r="P60" s="9">
        <f t="shared" si="7"/>
        <v>0.31008420906117334</v>
      </c>
      <c r="Q60" s="9">
        <f t="shared" si="8"/>
        <v>0.28926932142414097</v>
      </c>
      <c r="R60" s="9">
        <f t="shared" si="9"/>
        <v>0.23019722529334141</v>
      </c>
      <c r="S60" s="9">
        <f t="shared" si="10"/>
        <v>48.263555099093352</v>
      </c>
      <c r="T60" s="9">
        <f t="shared" si="11"/>
        <v>37.379775366501065</v>
      </c>
      <c r="U60" s="9">
        <f t="shared" si="12"/>
        <v>27.749625166366986</v>
      </c>
      <c r="V60" s="9">
        <f t="shared" si="13"/>
        <v>34.870599467131946</v>
      </c>
      <c r="X60" s="2">
        <v>2.8990999999999998</v>
      </c>
      <c r="Y60" s="2">
        <v>2.1522999999999999</v>
      </c>
      <c r="Z60" s="2">
        <v>1.89E-2</v>
      </c>
      <c r="AA60" s="2">
        <v>7.8101000000000003</v>
      </c>
      <c r="AC60" s="2">
        <v>5.7000000000000002E-3</v>
      </c>
      <c r="AD60" s="2">
        <v>2.9600000000000001E-2</v>
      </c>
      <c r="AE60" s="2">
        <v>8.43E-2</v>
      </c>
      <c r="AF60" s="2">
        <v>3.7100000000000001E-2</v>
      </c>
      <c r="AG60" s="2">
        <v>0.29060000000000002</v>
      </c>
      <c r="AH60" s="2">
        <v>2.7044999999999999</v>
      </c>
      <c r="AI60" s="2">
        <v>16.0322</v>
      </c>
    </row>
    <row r="61" spans="1:35" x14ac:dyDescent="0.25">
      <c r="A61" s="2" t="s">
        <v>291</v>
      </c>
      <c r="B61" s="10">
        <v>124.96332</v>
      </c>
      <c r="C61" s="2">
        <v>20.146000000000001</v>
      </c>
      <c r="D61" s="2">
        <v>15.023</v>
      </c>
      <c r="E61" s="2">
        <v>0.23499999999999999</v>
      </c>
      <c r="F61" s="2">
        <v>50.393000000000001</v>
      </c>
      <c r="H61" s="2">
        <v>1.7000000000000001E-2</v>
      </c>
      <c r="I61" s="2">
        <v>0.33300000000000002</v>
      </c>
      <c r="J61" s="2">
        <v>0.59799999999999998</v>
      </c>
      <c r="K61" s="2">
        <v>0.21</v>
      </c>
      <c r="L61" s="2">
        <v>1.429</v>
      </c>
      <c r="M61" s="2">
        <v>11.446</v>
      </c>
      <c r="N61" s="2">
        <v>99.83</v>
      </c>
      <c r="P61" s="9">
        <f t="shared" si="7"/>
        <v>0.28040921428074328</v>
      </c>
      <c r="Q61" s="9">
        <f t="shared" si="8"/>
        <v>0.28398461729313978</v>
      </c>
      <c r="R61" s="9">
        <f t="shared" si="9"/>
        <v>0.26789471807125786</v>
      </c>
      <c r="S61" s="9">
        <f t="shared" si="10"/>
        <v>50.316747173018008</v>
      </c>
      <c r="T61" s="9">
        <f t="shared" si="11"/>
        <v>33.691345916064819</v>
      </c>
      <c r="U61" s="9">
        <f t="shared" si="12"/>
        <v>32.187721215854637</v>
      </c>
      <c r="V61" s="9">
        <f t="shared" si="13"/>
        <v>34.120932868080551</v>
      </c>
      <c r="X61" s="2">
        <v>2.6122999999999998</v>
      </c>
      <c r="Y61" s="2">
        <v>2.4958</v>
      </c>
      <c r="Z61" s="2">
        <v>2.75E-2</v>
      </c>
      <c r="AA61" s="2">
        <v>7.8135000000000003</v>
      </c>
      <c r="AC61" s="2">
        <v>3.3999999999999998E-3</v>
      </c>
      <c r="AD61" s="2">
        <v>4.0800000000000003E-2</v>
      </c>
      <c r="AE61" s="2">
        <v>7.85E-2</v>
      </c>
      <c r="AF61" s="2">
        <v>6.3E-2</v>
      </c>
      <c r="AG61" s="2">
        <v>0.2611</v>
      </c>
      <c r="AH61" s="2">
        <v>2.6455000000000002</v>
      </c>
      <c r="AI61" s="2">
        <v>16.041399999999999</v>
      </c>
    </row>
    <row r="62" spans="1:35" x14ac:dyDescent="0.25">
      <c r="A62" s="2" t="s">
        <v>310</v>
      </c>
      <c r="B62" s="10">
        <v>130.52619999999999</v>
      </c>
      <c r="C62" s="2">
        <v>16.71</v>
      </c>
      <c r="D62" s="2">
        <v>15.664</v>
      </c>
      <c r="E62" s="2">
        <v>0.16700000000000001</v>
      </c>
      <c r="F62" s="2">
        <v>51.317</v>
      </c>
      <c r="H62" s="2">
        <v>4.1000000000000002E-2</v>
      </c>
      <c r="I62" s="2">
        <v>0.56399999999999995</v>
      </c>
      <c r="J62" s="2">
        <v>0.53500000000000003</v>
      </c>
      <c r="K62" s="2">
        <v>0.17899999999999999</v>
      </c>
      <c r="L62" s="2">
        <v>2.081</v>
      </c>
      <c r="M62" s="2">
        <v>13.225</v>
      </c>
      <c r="N62" s="2">
        <v>100.483</v>
      </c>
      <c r="P62" s="9">
        <f t="shared" si="7"/>
        <v>0.23258403507550979</v>
      </c>
      <c r="Q62" s="9">
        <f t="shared" si="8"/>
        <v>0.32812306165488153</v>
      </c>
      <c r="R62" s="9">
        <f t="shared" si="9"/>
        <v>0.2793252255786583</v>
      </c>
      <c r="S62" s="9">
        <f t="shared" si="10"/>
        <v>58.519512873698332</v>
      </c>
      <c r="T62" s="9">
        <f t="shared" si="11"/>
        <v>27.687510218201062</v>
      </c>
      <c r="U62" s="9">
        <f t="shared" si="12"/>
        <v>33.251723554024629</v>
      </c>
      <c r="V62" s="9">
        <f t="shared" si="13"/>
        <v>39.060766227774316</v>
      </c>
      <c r="X62" s="2">
        <v>2.1179000000000001</v>
      </c>
      <c r="Y62" s="2">
        <v>2.5436999999999999</v>
      </c>
      <c r="Z62" s="2">
        <v>1.9099999999999999E-2</v>
      </c>
      <c r="AA62" s="2">
        <v>7.7773000000000003</v>
      </c>
      <c r="AC62" s="2">
        <v>7.7999999999999996E-3</v>
      </c>
      <c r="AD62" s="2">
        <v>6.7599999999999993E-2</v>
      </c>
      <c r="AE62" s="2">
        <v>6.8699999999999997E-2</v>
      </c>
      <c r="AF62" s="2">
        <v>5.2600000000000001E-2</v>
      </c>
      <c r="AG62" s="2">
        <v>0.37169999999999997</v>
      </c>
      <c r="AH62" s="2">
        <v>2.9876999999999998</v>
      </c>
      <c r="AI62" s="2">
        <v>16.014099999999999</v>
      </c>
    </row>
    <row r="63" spans="1:35" x14ac:dyDescent="0.25">
      <c r="A63" s="2" t="s">
        <v>319</v>
      </c>
      <c r="B63" s="10">
        <v>136.08908</v>
      </c>
      <c r="C63" s="2">
        <v>15.121</v>
      </c>
      <c r="D63" s="2">
        <v>17.321000000000002</v>
      </c>
      <c r="E63" s="2">
        <v>0.20899999999999999</v>
      </c>
      <c r="F63" s="2">
        <v>50.42</v>
      </c>
      <c r="H63" s="2">
        <v>6.4000000000000001E-2</v>
      </c>
      <c r="I63" s="2">
        <v>0.65100000000000002</v>
      </c>
      <c r="J63" s="2">
        <v>0.45400000000000001</v>
      </c>
      <c r="K63" s="2">
        <v>0.29299999999999998</v>
      </c>
      <c r="L63" s="2">
        <v>2.5960000000000001</v>
      </c>
      <c r="M63" s="2">
        <v>12.145</v>
      </c>
      <c r="N63" s="2">
        <v>99.274000000000001</v>
      </c>
      <c r="P63" s="9">
        <f t="shared" si="7"/>
        <v>0.21046697752105228</v>
      </c>
      <c r="Q63" s="9">
        <f t="shared" si="8"/>
        <v>0.30132737873712939</v>
      </c>
      <c r="R63" s="9">
        <f t="shared" si="9"/>
        <v>0.3088733549698634</v>
      </c>
      <c r="S63" s="9">
        <f t="shared" si="10"/>
        <v>58.876651344924305</v>
      </c>
      <c r="T63" s="9">
        <f t="shared" si="11"/>
        <v>25.6458216451711</v>
      </c>
      <c r="U63" s="9">
        <f t="shared" si="12"/>
        <v>37.636835316411563</v>
      </c>
      <c r="V63" s="9">
        <f t="shared" si="13"/>
        <v>36.717343038417319</v>
      </c>
      <c r="X63" s="2">
        <v>1.9389000000000001</v>
      </c>
      <c r="Y63" s="2">
        <v>2.8454999999999999</v>
      </c>
      <c r="Z63" s="2">
        <v>2.41E-2</v>
      </c>
      <c r="AA63" s="2">
        <v>7.7304000000000004</v>
      </c>
      <c r="AC63" s="2">
        <v>1.2500000000000001E-2</v>
      </c>
      <c r="AD63" s="2">
        <v>7.8899999999999998E-2</v>
      </c>
      <c r="AE63" s="2">
        <v>5.8999999999999997E-2</v>
      </c>
      <c r="AF63" s="2">
        <v>8.72E-2</v>
      </c>
      <c r="AG63" s="2">
        <v>0.46920000000000001</v>
      </c>
      <c r="AH63" s="2">
        <v>2.7757000000000001</v>
      </c>
      <c r="AI63" s="2">
        <v>16.0214</v>
      </c>
    </row>
    <row r="64" spans="1:35" x14ac:dyDescent="0.25">
      <c r="A64" s="2" t="s">
        <v>280</v>
      </c>
      <c r="B64" s="10">
        <v>141.65197000000001</v>
      </c>
      <c r="C64" s="2">
        <v>16.097999999999999</v>
      </c>
      <c r="D64" s="2">
        <v>16.545000000000002</v>
      </c>
      <c r="E64" s="2">
        <v>0.13500000000000001</v>
      </c>
      <c r="F64" s="2">
        <v>51.223999999999997</v>
      </c>
      <c r="H64" s="2">
        <v>0.02</v>
      </c>
      <c r="I64" s="2">
        <v>0.57199999999999995</v>
      </c>
      <c r="J64" s="2">
        <v>0.48</v>
      </c>
      <c r="K64" s="2">
        <v>0.20399999999999999</v>
      </c>
      <c r="L64" s="2">
        <v>1.8680000000000001</v>
      </c>
      <c r="M64" s="2">
        <v>12.98</v>
      </c>
      <c r="N64" s="2">
        <v>100.126</v>
      </c>
      <c r="P64" s="9">
        <f t="shared" si="7"/>
        <v>0.22406569698656831</v>
      </c>
      <c r="Q64" s="9">
        <f t="shared" si="8"/>
        <v>0.32204441136335443</v>
      </c>
      <c r="R64" s="9">
        <f t="shared" si="9"/>
        <v>0.29503548628695747</v>
      </c>
      <c r="S64" s="9">
        <f t="shared" si="10"/>
        <v>58.970600697433518</v>
      </c>
      <c r="T64" s="9">
        <f t="shared" si="11"/>
        <v>26.638158532268928</v>
      </c>
      <c r="U64" s="9">
        <f t="shared" si="12"/>
        <v>35.075436187040047</v>
      </c>
      <c r="V64" s="9">
        <f t="shared" si="13"/>
        <v>38.286405280691028</v>
      </c>
      <c r="X64" s="2">
        <v>2.0476999999999999</v>
      </c>
      <c r="Y64" s="2">
        <v>2.6964999999999999</v>
      </c>
      <c r="Z64" s="2">
        <v>1.54E-2</v>
      </c>
      <c r="AA64" s="2">
        <v>7.7911999999999999</v>
      </c>
      <c r="AC64" s="2">
        <v>3.8999999999999998E-3</v>
      </c>
      <c r="AD64" s="2">
        <v>6.88E-2</v>
      </c>
      <c r="AE64" s="2">
        <v>6.1899999999999997E-2</v>
      </c>
      <c r="AF64" s="2">
        <v>6.0100000000000001E-2</v>
      </c>
      <c r="AG64" s="2">
        <v>0.33500000000000002</v>
      </c>
      <c r="AH64" s="2">
        <v>2.9430000000000001</v>
      </c>
      <c r="AI64" s="2">
        <v>16.023499999999999</v>
      </c>
    </row>
    <row r="65" spans="1:35" x14ac:dyDescent="0.25">
      <c r="A65" s="2" t="s">
        <v>361</v>
      </c>
      <c r="B65" s="10">
        <v>147.21485000000001</v>
      </c>
      <c r="C65" s="2">
        <v>15.42</v>
      </c>
      <c r="D65" s="2">
        <v>16.834</v>
      </c>
      <c r="E65" s="2">
        <v>0.11899999999999999</v>
      </c>
      <c r="F65" s="2">
        <v>51.805999999999997</v>
      </c>
      <c r="H65" s="2">
        <v>6.0000000000000001E-3</v>
      </c>
      <c r="I65" s="2">
        <v>0.65</v>
      </c>
      <c r="J65" s="2">
        <v>0.47699999999999998</v>
      </c>
      <c r="K65" s="2">
        <v>0.23899999999999999</v>
      </c>
      <c r="L65" s="2">
        <v>1.52</v>
      </c>
      <c r="M65" s="2">
        <v>13.861000000000001</v>
      </c>
      <c r="N65" s="2">
        <v>100.932</v>
      </c>
      <c r="P65" s="9">
        <f t="shared" si="7"/>
        <v>0.21462871459391747</v>
      </c>
      <c r="Q65" s="9">
        <f t="shared" si="8"/>
        <v>0.34390274159533557</v>
      </c>
      <c r="R65" s="9">
        <f t="shared" si="9"/>
        <v>0.30018902243303969</v>
      </c>
      <c r="S65" s="9">
        <f t="shared" si="10"/>
        <v>61.572672010581876</v>
      </c>
      <c r="T65" s="9">
        <f t="shared" si="11"/>
        <v>24.994013760829585</v>
      </c>
      <c r="U65" s="9">
        <f t="shared" si="12"/>
        <v>34.957710908985732</v>
      </c>
      <c r="V65" s="9">
        <f t="shared" si="13"/>
        <v>40.048275330184694</v>
      </c>
      <c r="X65" s="2">
        <v>1.9407000000000001</v>
      </c>
      <c r="Y65" s="2">
        <v>2.7143999999999999</v>
      </c>
      <c r="Z65" s="2">
        <v>1.34E-2</v>
      </c>
      <c r="AA65" s="2">
        <v>7.7960000000000003</v>
      </c>
      <c r="AC65" s="2">
        <v>1.1000000000000001E-3</v>
      </c>
      <c r="AD65" s="2">
        <v>7.7299999999999994E-2</v>
      </c>
      <c r="AE65" s="2">
        <v>6.0900000000000003E-2</v>
      </c>
      <c r="AF65" s="2">
        <v>6.9599999999999995E-2</v>
      </c>
      <c r="AG65" s="2">
        <v>0.26960000000000001</v>
      </c>
      <c r="AH65" s="2">
        <v>3.1095000000000002</v>
      </c>
      <c r="AI65" s="2">
        <v>16.052499999999998</v>
      </c>
    </row>
    <row r="66" spans="1:35" x14ac:dyDescent="0.25">
      <c r="A66" s="2" t="s">
        <v>362</v>
      </c>
      <c r="B66" s="10">
        <v>152.77772999999999</v>
      </c>
      <c r="C66" s="2">
        <v>15.18</v>
      </c>
      <c r="D66" s="2">
        <v>16.977</v>
      </c>
      <c r="E66" s="2">
        <v>0.13100000000000001</v>
      </c>
      <c r="F66" s="2">
        <v>51.75</v>
      </c>
      <c r="H66" s="2">
        <v>8.0000000000000002E-3</v>
      </c>
      <c r="I66" s="2">
        <v>0.63400000000000001</v>
      </c>
      <c r="J66" s="2">
        <v>0.44800000000000001</v>
      </c>
      <c r="K66" s="2">
        <v>0.19</v>
      </c>
      <c r="L66" s="2">
        <v>1.444</v>
      </c>
      <c r="M66" s="2">
        <v>13.741</v>
      </c>
      <c r="N66" s="2">
        <v>100.503</v>
      </c>
      <c r="P66" s="9">
        <f t="shared" si="7"/>
        <v>0.21128818985315609</v>
      </c>
      <c r="Q66" s="9">
        <f t="shared" si="8"/>
        <v>0.34092544349336312</v>
      </c>
      <c r="R66" s="9">
        <f t="shared" si="9"/>
        <v>0.30273904204857521</v>
      </c>
      <c r="S66" s="9">
        <f t="shared" si="10"/>
        <v>61.737962068645494</v>
      </c>
      <c r="T66" s="9">
        <f t="shared" si="11"/>
        <v>24.713436887663363</v>
      </c>
      <c r="U66" s="9">
        <f t="shared" si="12"/>
        <v>35.410035053539325</v>
      </c>
      <c r="V66" s="9">
        <f t="shared" si="13"/>
        <v>39.876528058797312</v>
      </c>
      <c r="X66" s="2">
        <v>1.917</v>
      </c>
      <c r="Y66" s="2">
        <v>2.7467999999999999</v>
      </c>
      <c r="Z66" s="2">
        <v>1.49E-2</v>
      </c>
      <c r="AA66" s="2">
        <v>7.8141999999999996</v>
      </c>
      <c r="AC66" s="2">
        <v>1.5E-3</v>
      </c>
      <c r="AD66" s="2">
        <v>7.5700000000000003E-2</v>
      </c>
      <c r="AE66" s="2">
        <v>5.7299999999999997E-2</v>
      </c>
      <c r="AF66" s="2">
        <v>5.5599999999999997E-2</v>
      </c>
      <c r="AG66" s="2">
        <v>0.25700000000000001</v>
      </c>
      <c r="AH66" s="2">
        <v>3.0931000000000002</v>
      </c>
      <c r="AI66" s="2">
        <v>16.033100000000001</v>
      </c>
    </row>
    <row r="67" spans="1:35" x14ac:dyDescent="0.25">
      <c r="A67" s="2" t="s">
        <v>363</v>
      </c>
      <c r="B67" s="10">
        <v>158.34062</v>
      </c>
      <c r="C67" s="2">
        <v>15.794</v>
      </c>
      <c r="D67" s="2">
        <v>16.905999999999999</v>
      </c>
      <c r="E67" s="2">
        <v>0.123</v>
      </c>
      <c r="F67" s="2">
        <v>51.701999999999998</v>
      </c>
      <c r="H67" s="2">
        <v>8.0000000000000002E-3</v>
      </c>
      <c r="I67" s="2">
        <v>0.57899999999999996</v>
      </c>
      <c r="J67" s="2">
        <v>0.502</v>
      </c>
      <c r="K67" s="2">
        <v>0.23400000000000001</v>
      </c>
      <c r="L67" s="2">
        <v>1.4059999999999999</v>
      </c>
      <c r="M67" s="2">
        <v>13.805</v>
      </c>
      <c r="N67" s="2">
        <v>101.059</v>
      </c>
      <c r="P67" s="9">
        <f t="shared" si="7"/>
        <v>0.21983436564827058</v>
      </c>
      <c r="Q67" s="9">
        <f t="shared" si="8"/>
        <v>0.34251333581441507</v>
      </c>
      <c r="R67" s="9">
        <f t="shared" si="9"/>
        <v>0.30147294839330929</v>
      </c>
      <c r="S67" s="9">
        <f t="shared" si="10"/>
        <v>60.90775065382612</v>
      </c>
      <c r="T67" s="9">
        <f t="shared" si="11"/>
        <v>25.449075069566646</v>
      </c>
      <c r="U67" s="9">
        <f t="shared" si="12"/>
        <v>34.899946932684117</v>
      </c>
      <c r="V67" s="9">
        <f t="shared" si="13"/>
        <v>39.650977997749244</v>
      </c>
      <c r="X67" s="2">
        <v>1.9898</v>
      </c>
      <c r="Y67" s="2">
        <v>2.7288999999999999</v>
      </c>
      <c r="Z67" s="2">
        <v>1.3899999999999999E-2</v>
      </c>
      <c r="AA67" s="2">
        <v>7.7884000000000002</v>
      </c>
      <c r="AC67" s="2">
        <v>1.6000000000000001E-3</v>
      </c>
      <c r="AD67" s="2">
        <v>6.8900000000000003E-2</v>
      </c>
      <c r="AE67" s="2">
        <v>6.4100000000000004E-2</v>
      </c>
      <c r="AF67" s="2">
        <v>6.8199999999999997E-2</v>
      </c>
      <c r="AG67" s="2">
        <v>0.24959999999999999</v>
      </c>
      <c r="AH67" s="2">
        <v>3.1</v>
      </c>
      <c r="AI67" s="2">
        <v>16.073399999999999</v>
      </c>
    </row>
    <row r="68" spans="1:35" x14ac:dyDescent="0.25">
      <c r="A68" s="2" t="s">
        <v>278</v>
      </c>
      <c r="B68" s="10">
        <v>163.90350000000001</v>
      </c>
      <c r="C68" s="2">
        <v>15.302</v>
      </c>
      <c r="D68" s="2">
        <v>16.646999999999998</v>
      </c>
      <c r="E68" s="2">
        <v>0.127</v>
      </c>
      <c r="F68" s="2">
        <v>51.911999999999999</v>
      </c>
      <c r="H68" s="2">
        <v>0</v>
      </c>
      <c r="I68" s="2">
        <v>0.58399999999999996</v>
      </c>
      <c r="J68" s="2">
        <v>0.50600000000000001</v>
      </c>
      <c r="K68" s="2">
        <v>0.20200000000000001</v>
      </c>
      <c r="L68" s="2">
        <v>1.41</v>
      </c>
      <c r="M68" s="2">
        <v>13.954000000000001</v>
      </c>
      <c r="N68" s="2">
        <v>100.64400000000001</v>
      </c>
      <c r="P68" s="9">
        <f t="shared" si="7"/>
        <v>0.21298628992970978</v>
      </c>
      <c r="Q68" s="9">
        <f t="shared" si="8"/>
        <v>0.34621014762436425</v>
      </c>
      <c r="R68" s="9">
        <f t="shared" si="9"/>
        <v>0.29685438139733938</v>
      </c>
      <c r="S68" s="9">
        <f t="shared" si="10"/>
        <v>61.912080330605811</v>
      </c>
      <c r="T68" s="9">
        <f t="shared" si="11"/>
        <v>24.880098846304382</v>
      </c>
      <c r="U68" s="9">
        <f t="shared" si="12"/>
        <v>34.677191450030939</v>
      </c>
      <c r="V68" s="9">
        <f t="shared" si="13"/>
        <v>40.44270970366469</v>
      </c>
      <c r="X68" s="2">
        <v>1.9285000000000001</v>
      </c>
      <c r="Y68" s="2">
        <v>2.6880000000000002</v>
      </c>
      <c r="Z68" s="2">
        <v>1.44E-2</v>
      </c>
      <c r="AA68" s="2">
        <v>7.8228999999999997</v>
      </c>
      <c r="AC68" s="2">
        <v>0</v>
      </c>
      <c r="AD68" s="2">
        <v>6.9599999999999995E-2</v>
      </c>
      <c r="AE68" s="2">
        <v>6.4600000000000005E-2</v>
      </c>
      <c r="AF68" s="2">
        <v>5.91E-2</v>
      </c>
      <c r="AG68" s="2">
        <v>0.2505</v>
      </c>
      <c r="AH68" s="2">
        <v>3.1345999999999998</v>
      </c>
      <c r="AI68" s="2">
        <v>16.0322</v>
      </c>
    </row>
    <row r="69" spans="1:35" x14ac:dyDescent="0.25">
      <c r="A69" s="2" t="s">
        <v>318</v>
      </c>
      <c r="B69" s="10">
        <v>169.46637999999999</v>
      </c>
      <c r="C69" s="2">
        <v>14.77</v>
      </c>
      <c r="D69" s="2">
        <v>16.908000000000001</v>
      </c>
      <c r="E69" s="2">
        <v>0.159</v>
      </c>
      <c r="F69" s="2">
        <v>51.947000000000003</v>
      </c>
      <c r="H69" s="2">
        <v>0</v>
      </c>
      <c r="I69" s="2">
        <v>0.63900000000000001</v>
      </c>
      <c r="J69" s="2">
        <v>0.44700000000000001</v>
      </c>
      <c r="K69" s="2">
        <v>0.153</v>
      </c>
      <c r="L69" s="2">
        <v>1.423</v>
      </c>
      <c r="M69" s="2">
        <v>14.007</v>
      </c>
      <c r="N69" s="2">
        <v>100.453</v>
      </c>
      <c r="P69" s="9">
        <f t="shared" si="7"/>
        <v>0.20558146008768877</v>
      </c>
      <c r="Q69" s="9">
        <f t="shared" si="8"/>
        <v>0.34752512095273541</v>
      </c>
      <c r="R69" s="9">
        <f t="shared" si="9"/>
        <v>0.30150861300331683</v>
      </c>
      <c r="S69" s="9">
        <f t="shared" si="10"/>
        <v>62.831492675249201</v>
      </c>
      <c r="T69" s="9">
        <f t="shared" si="11"/>
        <v>24.055441738046923</v>
      </c>
      <c r="U69" s="9">
        <f t="shared" si="12"/>
        <v>35.28004359209708</v>
      </c>
      <c r="V69" s="9">
        <f t="shared" si="13"/>
        <v>40.664514669856004</v>
      </c>
      <c r="X69" s="2">
        <v>1.8612</v>
      </c>
      <c r="Y69" s="2">
        <v>2.7298</v>
      </c>
      <c r="Z69" s="2">
        <v>1.8100000000000002E-2</v>
      </c>
      <c r="AA69" s="2">
        <v>7.8270999999999997</v>
      </c>
      <c r="AC69" s="2">
        <v>0</v>
      </c>
      <c r="AD69" s="2">
        <v>7.6100000000000001E-2</v>
      </c>
      <c r="AE69" s="2">
        <v>5.7099999999999998E-2</v>
      </c>
      <c r="AF69" s="2">
        <v>4.48E-2</v>
      </c>
      <c r="AG69" s="2">
        <v>0.25259999999999999</v>
      </c>
      <c r="AH69" s="2">
        <v>3.1461000000000001</v>
      </c>
      <c r="AI69" s="2">
        <v>16.012899999999998</v>
      </c>
    </row>
    <row r="70" spans="1:35" x14ac:dyDescent="0.25">
      <c r="A70" s="2" t="s">
        <v>270</v>
      </c>
      <c r="B70" s="10">
        <v>175.02927</v>
      </c>
      <c r="C70" s="2">
        <v>13.621</v>
      </c>
      <c r="D70" s="2">
        <v>16.838000000000001</v>
      </c>
      <c r="E70" s="2">
        <v>3.6999999999999998E-2</v>
      </c>
      <c r="F70" s="2">
        <v>52.259</v>
      </c>
      <c r="H70" s="2">
        <v>0</v>
      </c>
      <c r="I70" s="2">
        <v>0.63100000000000001</v>
      </c>
      <c r="J70" s="2">
        <v>0.47699999999999998</v>
      </c>
      <c r="K70" s="2">
        <v>0.22700000000000001</v>
      </c>
      <c r="L70" s="2">
        <v>1.464</v>
      </c>
      <c r="M70" s="2">
        <v>14.807</v>
      </c>
      <c r="N70" s="2">
        <v>100.361</v>
      </c>
      <c r="P70" s="9">
        <f t="shared" si="7"/>
        <v>0.18958869789129376</v>
      </c>
      <c r="Q70" s="9">
        <f t="shared" si="8"/>
        <v>0.36737377496588514</v>
      </c>
      <c r="R70" s="9">
        <f t="shared" si="9"/>
        <v>0.3002603516530547</v>
      </c>
      <c r="S70" s="9">
        <f t="shared" si="10"/>
        <v>65.96023841270366</v>
      </c>
      <c r="T70" s="9">
        <f t="shared" si="11"/>
        <v>22.116618044977223</v>
      </c>
      <c r="U70" s="9">
        <f t="shared" si="12"/>
        <v>35.027106496447487</v>
      </c>
      <c r="V70" s="9">
        <f t="shared" si="13"/>
        <v>42.85627545857529</v>
      </c>
      <c r="X70" s="2">
        <v>1.7082999999999999</v>
      </c>
      <c r="Y70" s="2">
        <v>2.7056</v>
      </c>
      <c r="Z70" s="2">
        <v>4.1999999999999997E-3</v>
      </c>
      <c r="AA70" s="2">
        <v>7.8369</v>
      </c>
      <c r="AC70" s="2">
        <v>0</v>
      </c>
      <c r="AD70" s="2">
        <v>7.4800000000000005E-2</v>
      </c>
      <c r="AE70" s="2">
        <v>6.0600000000000001E-2</v>
      </c>
      <c r="AF70" s="2">
        <v>6.6000000000000003E-2</v>
      </c>
      <c r="AG70" s="2">
        <v>0.25869999999999999</v>
      </c>
      <c r="AH70" s="2">
        <v>3.3102</v>
      </c>
      <c r="AI70" s="2">
        <v>16.025300000000001</v>
      </c>
    </row>
    <row r="71" spans="1:35" x14ac:dyDescent="0.25">
      <c r="A71" s="2" t="s">
        <v>364</v>
      </c>
      <c r="B71" s="10">
        <v>180.59215</v>
      </c>
      <c r="C71" s="2">
        <v>13.145</v>
      </c>
      <c r="D71" s="2">
        <v>16.844999999999999</v>
      </c>
      <c r="E71" s="2">
        <v>0.17599999999999999</v>
      </c>
      <c r="F71" s="2">
        <v>52.35</v>
      </c>
      <c r="H71" s="2">
        <v>1.2E-2</v>
      </c>
      <c r="I71" s="2">
        <v>0.68500000000000005</v>
      </c>
      <c r="J71" s="2">
        <v>0.46500000000000002</v>
      </c>
      <c r="K71" s="2">
        <v>0.188</v>
      </c>
      <c r="L71" s="2">
        <v>1.387</v>
      </c>
      <c r="M71" s="2">
        <v>15.052</v>
      </c>
      <c r="N71" s="2">
        <v>100.30500000000001</v>
      </c>
      <c r="P71" s="9">
        <f t="shared" si="7"/>
        <v>0.18296332382211705</v>
      </c>
      <c r="Q71" s="9">
        <f t="shared" si="8"/>
        <v>0.37345242525741223</v>
      </c>
      <c r="R71" s="9">
        <f t="shared" si="9"/>
        <v>0.30038517778808083</v>
      </c>
      <c r="S71" s="9">
        <f t="shared" si="10"/>
        <v>67.117515252796011</v>
      </c>
      <c r="T71" s="9">
        <f t="shared" si="11"/>
        <v>21.354239717155195</v>
      </c>
      <c r="U71" s="9">
        <f t="shared" si="12"/>
        <v>35.058923067025965</v>
      </c>
      <c r="V71" s="9">
        <f t="shared" si="13"/>
        <v>43.586837215818839</v>
      </c>
      <c r="X71" s="2">
        <v>1.6460999999999999</v>
      </c>
      <c r="Y71" s="2">
        <v>2.7025000000000001</v>
      </c>
      <c r="Z71" s="2">
        <v>1.9900000000000001E-2</v>
      </c>
      <c r="AA71" s="2">
        <v>7.8380999999999998</v>
      </c>
      <c r="AC71" s="2">
        <v>2.2000000000000001E-3</v>
      </c>
      <c r="AD71" s="2">
        <v>8.1000000000000003E-2</v>
      </c>
      <c r="AE71" s="2">
        <v>5.8999999999999997E-2</v>
      </c>
      <c r="AF71" s="2">
        <v>5.4600000000000003E-2</v>
      </c>
      <c r="AG71" s="2">
        <v>0.2447</v>
      </c>
      <c r="AH71" s="2">
        <v>3.3595999999999999</v>
      </c>
      <c r="AI71" s="2">
        <v>16.0077</v>
      </c>
    </row>
    <row r="72" spans="1:35" x14ac:dyDescent="0.25">
      <c r="A72" s="2" t="s">
        <v>305</v>
      </c>
      <c r="B72" s="10">
        <v>186.15503000000001</v>
      </c>
      <c r="C72" s="2">
        <v>13.375999999999999</v>
      </c>
      <c r="D72" s="2">
        <v>16.736000000000001</v>
      </c>
      <c r="E72" s="2">
        <v>7.8E-2</v>
      </c>
      <c r="F72" s="2">
        <v>52.267000000000003</v>
      </c>
      <c r="H72" s="2">
        <v>6.0000000000000001E-3</v>
      </c>
      <c r="I72" s="2">
        <v>0.68300000000000005</v>
      </c>
      <c r="J72" s="2">
        <v>0.42499999999999999</v>
      </c>
      <c r="K72" s="2">
        <v>0.18</v>
      </c>
      <c r="L72" s="2">
        <v>1.486</v>
      </c>
      <c r="M72" s="2">
        <v>15.298</v>
      </c>
      <c r="N72" s="2">
        <v>100.535</v>
      </c>
      <c r="P72" s="9">
        <f t="shared" si="7"/>
        <v>0.18617857888509987</v>
      </c>
      <c r="Q72" s="9">
        <f t="shared" si="8"/>
        <v>0.37955588636645576</v>
      </c>
      <c r="R72" s="9">
        <f t="shared" si="9"/>
        <v>0.29844145654267268</v>
      </c>
      <c r="S72" s="9">
        <f t="shared" si="10"/>
        <v>67.090819046650267</v>
      </c>
      <c r="T72" s="9">
        <f t="shared" si="11"/>
        <v>21.544059975490899</v>
      </c>
      <c r="U72" s="9">
        <f t="shared" si="12"/>
        <v>34.53480350656374</v>
      </c>
      <c r="V72" s="9">
        <f t="shared" si="13"/>
        <v>43.921136517945357</v>
      </c>
      <c r="X72" s="2">
        <v>1.6722999999999999</v>
      </c>
      <c r="Y72" s="2">
        <v>2.6806000000000001</v>
      </c>
      <c r="Z72" s="2">
        <v>8.8000000000000005E-3</v>
      </c>
      <c r="AA72" s="2">
        <v>7.8131000000000004</v>
      </c>
      <c r="AC72" s="2">
        <v>1.1000000000000001E-3</v>
      </c>
      <c r="AD72" s="2">
        <v>8.0699999999999994E-2</v>
      </c>
      <c r="AE72" s="2">
        <v>5.3800000000000001E-2</v>
      </c>
      <c r="AF72" s="2">
        <v>5.2200000000000003E-2</v>
      </c>
      <c r="AG72" s="2">
        <v>0.26190000000000002</v>
      </c>
      <c r="AH72" s="2">
        <v>3.4089999999999998</v>
      </c>
      <c r="AI72" s="2">
        <v>16.0335</v>
      </c>
    </row>
    <row r="73" spans="1:35" x14ac:dyDescent="0.25">
      <c r="A73" s="2" t="s">
        <v>295</v>
      </c>
      <c r="B73" s="10">
        <v>191.71791999999999</v>
      </c>
      <c r="C73" s="2">
        <v>13.134</v>
      </c>
      <c r="D73" s="2">
        <v>16.916</v>
      </c>
      <c r="E73" s="2">
        <v>4.4999999999999998E-2</v>
      </c>
      <c r="F73" s="2">
        <v>52.296999999999997</v>
      </c>
      <c r="H73" s="2">
        <v>0</v>
      </c>
      <c r="I73" s="2">
        <v>0.68200000000000005</v>
      </c>
      <c r="J73" s="2">
        <v>0.437</v>
      </c>
      <c r="K73" s="2">
        <v>0.23</v>
      </c>
      <c r="L73" s="2">
        <v>1.417</v>
      </c>
      <c r="M73" s="2">
        <v>15.33</v>
      </c>
      <c r="N73" s="2">
        <v>100.488</v>
      </c>
      <c r="P73" s="9">
        <f t="shared" ref="P73:P104" si="14">C73/(55.845+16)</f>
        <v>0.1828102164381655</v>
      </c>
      <c r="Q73" s="9">
        <f t="shared" ref="Q73:Q104" si="15">M73/(24.305+16)</f>
        <v>0.38034983252698179</v>
      </c>
      <c r="R73" s="9">
        <f t="shared" ref="R73:R104" si="16">D73/(40.078+16)</f>
        <v>0.30165127144334675</v>
      </c>
      <c r="S73" s="9">
        <f t="shared" si="10"/>
        <v>67.538496955866407</v>
      </c>
      <c r="T73" s="9">
        <f t="shared" si="11"/>
        <v>21.138739991494912</v>
      </c>
      <c r="U73" s="9">
        <f t="shared" si="12"/>
        <v>34.880587744950155</v>
      </c>
      <c r="V73" s="9">
        <f t="shared" si="13"/>
        <v>43.980672263554943</v>
      </c>
      <c r="X73" s="2">
        <v>1.6420999999999999</v>
      </c>
      <c r="Y73" s="2">
        <v>2.7098</v>
      </c>
      <c r="Z73" s="2">
        <v>5.1000000000000004E-3</v>
      </c>
      <c r="AA73" s="2">
        <v>7.8186</v>
      </c>
      <c r="AC73" s="2">
        <v>0</v>
      </c>
      <c r="AD73" s="2">
        <v>8.0699999999999994E-2</v>
      </c>
      <c r="AE73" s="2">
        <v>5.5399999999999998E-2</v>
      </c>
      <c r="AF73" s="2">
        <v>6.6600000000000006E-2</v>
      </c>
      <c r="AG73" s="2">
        <v>0.24970000000000001</v>
      </c>
      <c r="AH73" s="2">
        <v>3.4165000000000001</v>
      </c>
      <c r="AI73" s="2">
        <v>16.044499999999999</v>
      </c>
    </row>
    <row r="74" spans="1:35" x14ac:dyDescent="0.25">
      <c r="A74" s="2" t="s">
        <v>365</v>
      </c>
      <c r="B74" s="10">
        <v>197.52266</v>
      </c>
      <c r="C74" s="2">
        <v>13.67</v>
      </c>
      <c r="D74" s="2">
        <v>16.783999999999999</v>
      </c>
      <c r="E74" s="2">
        <v>4.1000000000000002E-2</v>
      </c>
      <c r="F74" s="2">
        <v>52.197000000000003</v>
      </c>
      <c r="H74" s="2">
        <v>3.0000000000000001E-3</v>
      </c>
      <c r="I74" s="2">
        <v>0.65300000000000002</v>
      </c>
      <c r="J74" s="2">
        <v>0.44800000000000001</v>
      </c>
      <c r="K74" s="2">
        <v>0.20599999999999999</v>
      </c>
      <c r="L74" s="2">
        <v>1.528</v>
      </c>
      <c r="M74" s="2">
        <v>15.116</v>
      </c>
      <c r="N74" s="2">
        <v>100.646</v>
      </c>
      <c r="P74" s="9">
        <f t="shared" si="14"/>
        <v>0.19027072169253254</v>
      </c>
      <c r="Q74" s="9">
        <f t="shared" si="15"/>
        <v>0.37504031757846418</v>
      </c>
      <c r="R74" s="9">
        <f t="shared" si="16"/>
        <v>0.29929740718285242</v>
      </c>
      <c r="S74" s="9">
        <f t="shared" si="10"/>
        <v>66.342295042053607</v>
      </c>
      <c r="T74" s="9">
        <f t="shared" si="11"/>
        <v>22.006576788940585</v>
      </c>
      <c r="U74" s="9">
        <f t="shared" si="12"/>
        <v>34.616525944247556</v>
      </c>
      <c r="V74" s="9">
        <f t="shared" si="13"/>
        <v>43.376897266811866</v>
      </c>
      <c r="X74" s="2">
        <v>1.7099</v>
      </c>
      <c r="Y74" s="2">
        <v>2.6898</v>
      </c>
      <c r="Z74" s="2">
        <v>4.5999999999999999E-3</v>
      </c>
      <c r="AA74" s="2">
        <v>7.8071000000000002</v>
      </c>
      <c r="AC74" s="2">
        <v>5.0000000000000001E-4</v>
      </c>
      <c r="AD74" s="2">
        <v>7.7200000000000005E-2</v>
      </c>
      <c r="AE74" s="2">
        <v>5.67E-2</v>
      </c>
      <c r="AF74" s="2">
        <v>5.9799999999999999E-2</v>
      </c>
      <c r="AG74" s="2">
        <v>0.26939999999999997</v>
      </c>
      <c r="AH74" s="2">
        <v>3.3702000000000001</v>
      </c>
      <c r="AI74" s="2">
        <v>16.045200000000001</v>
      </c>
    </row>
    <row r="75" spans="1:35" x14ac:dyDescent="0.25">
      <c r="A75" s="2" t="s">
        <v>366</v>
      </c>
      <c r="B75" s="10">
        <v>203.16616999999999</v>
      </c>
      <c r="C75" s="2">
        <v>17.988</v>
      </c>
      <c r="D75" s="2">
        <v>15.86</v>
      </c>
      <c r="E75" s="2">
        <v>0.23499999999999999</v>
      </c>
      <c r="F75" s="2">
        <v>51.238999999999997</v>
      </c>
      <c r="H75" s="2">
        <v>8.9999999999999993E-3</v>
      </c>
      <c r="I75" s="2">
        <v>0.55800000000000005</v>
      </c>
      <c r="J75" s="2">
        <v>0.52</v>
      </c>
      <c r="K75" s="2">
        <v>0.214</v>
      </c>
      <c r="L75" s="2">
        <v>1.4359999999999999</v>
      </c>
      <c r="M75" s="2">
        <v>12.871</v>
      </c>
      <c r="N75" s="2">
        <v>100.93</v>
      </c>
      <c r="P75" s="9">
        <f t="shared" si="14"/>
        <v>0.25037232932006404</v>
      </c>
      <c r="Q75" s="9">
        <f t="shared" si="15"/>
        <v>0.31934003225406277</v>
      </c>
      <c r="R75" s="9">
        <f t="shared" si="16"/>
        <v>0.28282035735939226</v>
      </c>
      <c r="S75" s="9">
        <f t="shared" si="10"/>
        <v>56.052852947006407</v>
      </c>
      <c r="T75" s="9">
        <f t="shared" si="11"/>
        <v>29.368061044421712</v>
      </c>
      <c r="U75" s="9">
        <f t="shared" si="12"/>
        <v>33.174135265235108</v>
      </c>
      <c r="V75" s="9">
        <f t="shared" si="13"/>
        <v>37.457803690343177</v>
      </c>
      <c r="X75" s="2">
        <v>2.2864</v>
      </c>
      <c r="Y75" s="2">
        <v>2.5828000000000002</v>
      </c>
      <c r="Z75" s="2">
        <v>2.69E-2</v>
      </c>
      <c r="AA75" s="2">
        <v>7.7874999999999996</v>
      </c>
      <c r="AC75" s="2">
        <v>1.8E-3</v>
      </c>
      <c r="AD75" s="2">
        <v>6.7000000000000004E-2</v>
      </c>
      <c r="AE75" s="2">
        <v>6.6900000000000001E-2</v>
      </c>
      <c r="AF75" s="2">
        <v>6.3E-2</v>
      </c>
      <c r="AG75" s="2">
        <v>0.25729999999999997</v>
      </c>
      <c r="AH75" s="2">
        <v>2.9161000000000001</v>
      </c>
      <c r="AI75" s="2">
        <v>16.055700000000002</v>
      </c>
    </row>
    <row r="76" spans="1:35" x14ac:dyDescent="0.25">
      <c r="A76" s="2" t="s">
        <v>367</v>
      </c>
      <c r="B76" s="10">
        <v>208.80967000000001</v>
      </c>
      <c r="C76" s="2">
        <v>17.256</v>
      </c>
      <c r="D76" s="2">
        <v>16.143999999999998</v>
      </c>
      <c r="E76" s="2">
        <v>0.23200000000000001</v>
      </c>
      <c r="F76" s="2">
        <v>50.771999999999998</v>
      </c>
      <c r="H76" s="2">
        <v>8.9999999999999993E-3</v>
      </c>
      <c r="I76" s="2">
        <v>0.55900000000000005</v>
      </c>
      <c r="J76" s="2">
        <v>0.505</v>
      </c>
      <c r="K76" s="2">
        <v>0.22500000000000001</v>
      </c>
      <c r="L76" s="2">
        <v>1.544</v>
      </c>
      <c r="M76" s="2">
        <v>12.637</v>
      </c>
      <c r="N76" s="2">
        <v>99.882999999999996</v>
      </c>
      <c r="P76" s="9">
        <f t="shared" si="14"/>
        <v>0.24018372886074188</v>
      </c>
      <c r="Q76" s="9">
        <f t="shared" si="15"/>
        <v>0.31353430095521651</v>
      </c>
      <c r="R76" s="9">
        <f t="shared" si="16"/>
        <v>0.28788473198045572</v>
      </c>
      <c r="S76" s="9">
        <f t="shared" si="10"/>
        <v>56.623458885640268</v>
      </c>
      <c r="T76" s="9">
        <f t="shared" si="11"/>
        <v>28.538847513768374</v>
      </c>
      <c r="U76" s="9">
        <f t="shared" si="12"/>
        <v>34.206723771433609</v>
      </c>
      <c r="V76" s="9">
        <f t="shared" si="13"/>
        <v>37.254428714798024</v>
      </c>
      <c r="X76" s="2">
        <v>2.2130999999999998</v>
      </c>
      <c r="Y76" s="2">
        <v>2.6526999999999998</v>
      </c>
      <c r="Z76" s="2">
        <v>2.6700000000000002E-2</v>
      </c>
      <c r="AA76" s="2">
        <v>7.7858999999999998</v>
      </c>
      <c r="AC76" s="2">
        <v>1.6999999999999999E-3</v>
      </c>
      <c r="AD76" s="2">
        <v>6.7799999999999999E-2</v>
      </c>
      <c r="AE76" s="2">
        <v>6.5600000000000006E-2</v>
      </c>
      <c r="AF76" s="2">
        <v>6.6799999999999998E-2</v>
      </c>
      <c r="AG76" s="2">
        <v>0.27910000000000001</v>
      </c>
      <c r="AH76" s="2">
        <v>2.8887999999999998</v>
      </c>
      <c r="AI76" s="2">
        <v>16.048200000000001</v>
      </c>
    </row>
    <row r="77" spans="1:35" x14ac:dyDescent="0.25">
      <c r="A77" s="2" t="s">
        <v>288</v>
      </c>
      <c r="B77" s="10">
        <v>214.45318</v>
      </c>
      <c r="C77" s="2">
        <v>17.204999999999998</v>
      </c>
      <c r="D77" s="2">
        <v>16.25</v>
      </c>
      <c r="E77" s="2">
        <v>0.28000000000000003</v>
      </c>
      <c r="F77" s="2">
        <v>50.701999999999998</v>
      </c>
      <c r="H77" s="2">
        <v>0</v>
      </c>
      <c r="I77" s="2">
        <v>0.65700000000000003</v>
      </c>
      <c r="J77" s="2">
        <v>0.55900000000000005</v>
      </c>
      <c r="K77" s="2">
        <v>0.17100000000000001</v>
      </c>
      <c r="L77" s="2">
        <v>1.502</v>
      </c>
      <c r="M77" s="2">
        <v>12.771000000000001</v>
      </c>
      <c r="N77" s="2">
        <v>100.09699999999999</v>
      </c>
      <c r="P77" s="9">
        <f t="shared" si="14"/>
        <v>0.23947386735333007</v>
      </c>
      <c r="Q77" s="9">
        <f t="shared" si="15"/>
        <v>0.31685895050241908</v>
      </c>
      <c r="R77" s="9">
        <f t="shared" si="16"/>
        <v>0.2897749563108527</v>
      </c>
      <c r="S77" s="9">
        <f t="shared" si="10"/>
        <v>56.954927038759926</v>
      </c>
      <c r="T77" s="9">
        <f t="shared" si="11"/>
        <v>28.302998112646669</v>
      </c>
      <c r="U77" s="9">
        <f t="shared" si="12"/>
        <v>34.247995959648861</v>
      </c>
      <c r="V77" s="9">
        <f t="shared" si="13"/>
        <v>37.449005927704469</v>
      </c>
      <c r="X77" s="2">
        <v>2.2033</v>
      </c>
      <c r="Y77" s="2">
        <v>2.6661000000000001</v>
      </c>
      <c r="Z77" s="2">
        <v>3.2300000000000002E-2</v>
      </c>
      <c r="AA77" s="2">
        <v>7.7634999999999996</v>
      </c>
      <c r="AC77" s="2">
        <v>0</v>
      </c>
      <c r="AD77" s="2">
        <v>7.9500000000000001E-2</v>
      </c>
      <c r="AE77" s="2">
        <v>7.2400000000000006E-2</v>
      </c>
      <c r="AF77" s="2">
        <v>5.0799999999999998E-2</v>
      </c>
      <c r="AG77" s="2">
        <v>0.27110000000000001</v>
      </c>
      <c r="AH77" s="2">
        <v>2.9152</v>
      </c>
      <c r="AI77" s="2">
        <v>16.054200000000002</v>
      </c>
    </row>
    <row r="78" spans="1:35" x14ac:dyDescent="0.25">
      <c r="A78" s="2" t="s">
        <v>312</v>
      </c>
      <c r="B78" s="10">
        <v>220.09667999999999</v>
      </c>
      <c r="C78" s="2">
        <v>17.311</v>
      </c>
      <c r="D78" s="2">
        <v>15.952</v>
      </c>
      <c r="E78" s="2">
        <v>0.187</v>
      </c>
      <c r="F78" s="2">
        <v>50.875</v>
      </c>
      <c r="H78" s="2">
        <v>0</v>
      </c>
      <c r="I78" s="2">
        <v>0.58299999999999996</v>
      </c>
      <c r="J78" s="2">
        <v>0.55500000000000005</v>
      </c>
      <c r="K78" s="2">
        <v>0.191</v>
      </c>
      <c r="L78" s="2">
        <v>1.3819999999999999</v>
      </c>
      <c r="M78" s="2">
        <v>12.961</v>
      </c>
      <c r="N78" s="2">
        <v>99.997</v>
      </c>
      <c r="P78" s="9">
        <f t="shared" si="14"/>
        <v>0.24094926578049969</v>
      </c>
      <c r="Q78" s="9">
        <f t="shared" si="15"/>
        <v>0.3215730058305421</v>
      </c>
      <c r="R78" s="9">
        <f t="shared" si="16"/>
        <v>0.28446092941973677</v>
      </c>
      <c r="S78" s="9">
        <f t="shared" si="10"/>
        <v>57.166270929961506</v>
      </c>
      <c r="T78" s="9">
        <f t="shared" si="11"/>
        <v>28.447939166593205</v>
      </c>
      <c r="U78" s="9">
        <f t="shared" si="12"/>
        <v>33.585191426884009</v>
      </c>
      <c r="V78" s="9">
        <f t="shared" si="13"/>
        <v>37.96686940652279</v>
      </c>
      <c r="X78" s="2">
        <v>2.2172999999999998</v>
      </c>
      <c r="Y78" s="2">
        <v>2.6177000000000001</v>
      </c>
      <c r="Z78" s="2">
        <v>2.1499999999999998E-2</v>
      </c>
      <c r="AA78" s="2">
        <v>7.7914000000000003</v>
      </c>
      <c r="AC78" s="2">
        <v>0</v>
      </c>
      <c r="AD78" s="2">
        <v>7.0599999999999996E-2</v>
      </c>
      <c r="AE78" s="2">
        <v>7.1999999999999995E-2</v>
      </c>
      <c r="AF78" s="2">
        <v>5.6599999999999998E-2</v>
      </c>
      <c r="AG78" s="2">
        <v>0.24940000000000001</v>
      </c>
      <c r="AH78" s="2">
        <v>2.9590000000000001</v>
      </c>
      <c r="AI78" s="2">
        <v>16.055499999999999</v>
      </c>
    </row>
    <row r="79" spans="1:35" x14ac:dyDescent="0.25">
      <c r="A79" s="2" t="s">
        <v>311</v>
      </c>
      <c r="B79" s="10">
        <v>225.74019000000001</v>
      </c>
      <c r="C79" s="2">
        <v>16.808</v>
      </c>
      <c r="D79" s="2">
        <v>16.161000000000001</v>
      </c>
      <c r="E79" s="2">
        <v>0.187</v>
      </c>
      <c r="F79" s="2">
        <v>51.124000000000002</v>
      </c>
      <c r="H79" s="2">
        <v>0.124</v>
      </c>
      <c r="I79" s="2">
        <v>0.61899999999999999</v>
      </c>
      <c r="J79" s="2">
        <v>0.52600000000000002</v>
      </c>
      <c r="K79" s="2">
        <v>0.17899999999999999</v>
      </c>
      <c r="L79" s="2">
        <v>1.421</v>
      </c>
      <c r="M79" s="2">
        <v>12.871</v>
      </c>
      <c r="N79" s="2">
        <v>100.02</v>
      </c>
      <c r="P79" s="9">
        <f t="shared" si="14"/>
        <v>0.23394808267798733</v>
      </c>
      <c r="Q79" s="9">
        <f t="shared" si="15"/>
        <v>0.31934003225406277</v>
      </c>
      <c r="R79" s="9">
        <f t="shared" si="16"/>
        <v>0.28818788116551947</v>
      </c>
      <c r="S79" s="9">
        <f t="shared" si="10"/>
        <v>57.716770636448835</v>
      </c>
      <c r="T79" s="9">
        <f t="shared" si="11"/>
        <v>27.802110073602261</v>
      </c>
      <c r="U79" s="9">
        <f t="shared" si="12"/>
        <v>34.247902792476559</v>
      </c>
      <c r="V79" s="9">
        <f t="shared" si="13"/>
        <v>37.949987133921184</v>
      </c>
      <c r="X79" s="2">
        <v>2.1482999999999999</v>
      </c>
      <c r="Y79" s="2">
        <v>2.6465999999999998</v>
      </c>
      <c r="Z79" s="2">
        <v>2.1499999999999998E-2</v>
      </c>
      <c r="AA79" s="2">
        <v>7.8133999999999997</v>
      </c>
      <c r="AC79" s="2">
        <v>2.41E-2</v>
      </c>
      <c r="AD79" s="2">
        <v>7.4800000000000005E-2</v>
      </c>
      <c r="AE79" s="2">
        <v>6.8099999999999994E-2</v>
      </c>
      <c r="AF79" s="2">
        <v>5.3100000000000001E-2</v>
      </c>
      <c r="AG79" s="2">
        <v>0.25600000000000001</v>
      </c>
      <c r="AH79" s="2">
        <v>2.9323000000000001</v>
      </c>
      <c r="AI79" s="2">
        <v>16.0382</v>
      </c>
    </row>
    <row r="80" spans="1:35" x14ac:dyDescent="0.25">
      <c r="A80" s="2" t="s">
        <v>368</v>
      </c>
      <c r="B80" s="10">
        <v>231.38369</v>
      </c>
      <c r="C80" s="2">
        <v>15.212999999999999</v>
      </c>
      <c r="D80" s="2">
        <v>16.065000000000001</v>
      </c>
      <c r="E80" s="2">
        <v>8.5999999999999993E-2</v>
      </c>
      <c r="F80" s="2">
        <v>51.98</v>
      </c>
      <c r="H80" s="2">
        <v>0.01</v>
      </c>
      <c r="I80" s="2">
        <v>0.68700000000000006</v>
      </c>
      <c r="J80" s="2">
        <v>0.53600000000000003</v>
      </c>
      <c r="K80" s="2">
        <v>0.21</v>
      </c>
      <c r="L80" s="2">
        <v>1.446</v>
      </c>
      <c r="M80" s="2">
        <v>14.430999999999999</v>
      </c>
      <c r="N80" s="2">
        <v>100.664</v>
      </c>
      <c r="P80" s="9">
        <f t="shared" si="14"/>
        <v>0.21174751200501077</v>
      </c>
      <c r="Q80" s="9">
        <f t="shared" si="15"/>
        <v>0.35804490757970475</v>
      </c>
      <c r="R80" s="9">
        <f t="shared" si="16"/>
        <v>0.28647597988515994</v>
      </c>
      <c r="S80" s="9">
        <f t="shared" si="10"/>
        <v>62.837780088520709</v>
      </c>
      <c r="T80" s="9">
        <f t="shared" si="11"/>
        <v>24.729105048849849</v>
      </c>
      <c r="U80" s="9">
        <f t="shared" si="12"/>
        <v>33.456329821644729</v>
      </c>
      <c r="V80" s="9">
        <f t="shared" si="13"/>
        <v>41.814565129505425</v>
      </c>
      <c r="X80" s="2">
        <v>1.9135</v>
      </c>
      <c r="Y80" s="2">
        <v>2.5891000000000002</v>
      </c>
      <c r="Z80" s="2">
        <v>9.7000000000000003E-3</v>
      </c>
      <c r="AA80" s="2">
        <v>7.8178999999999998</v>
      </c>
      <c r="AC80" s="2">
        <v>1.8E-3</v>
      </c>
      <c r="AD80" s="2">
        <v>8.1699999999999995E-2</v>
      </c>
      <c r="AE80" s="2">
        <v>6.83E-2</v>
      </c>
      <c r="AF80" s="2">
        <v>6.1100000000000002E-2</v>
      </c>
      <c r="AG80" s="2">
        <v>0.25629999999999997</v>
      </c>
      <c r="AH80" s="2">
        <v>3.2353999999999998</v>
      </c>
      <c r="AI80" s="2">
        <v>16.034800000000001</v>
      </c>
    </row>
    <row r="81" spans="1:35" x14ac:dyDescent="0.25">
      <c r="A81" s="2" t="s">
        <v>308</v>
      </c>
      <c r="B81" s="10">
        <v>237.02719999999999</v>
      </c>
      <c r="C81" s="2">
        <v>13.914999999999999</v>
      </c>
      <c r="D81" s="2">
        <v>16.047000000000001</v>
      </c>
      <c r="E81" s="2">
        <v>0.18</v>
      </c>
      <c r="F81" s="2">
        <v>51.734000000000002</v>
      </c>
      <c r="H81" s="2">
        <v>2.1000000000000001E-2</v>
      </c>
      <c r="I81" s="2">
        <v>0.66200000000000003</v>
      </c>
      <c r="J81" s="2">
        <v>0.47199999999999998</v>
      </c>
      <c r="K81" s="2">
        <v>0.19500000000000001</v>
      </c>
      <c r="L81" s="2">
        <v>1.58</v>
      </c>
      <c r="M81" s="2">
        <v>15.028</v>
      </c>
      <c r="N81" s="2">
        <v>99.834000000000003</v>
      </c>
      <c r="P81" s="9">
        <f t="shared" si="14"/>
        <v>0.1936808406987264</v>
      </c>
      <c r="Q81" s="9">
        <f t="shared" si="15"/>
        <v>0.37285696563701776</v>
      </c>
      <c r="R81" s="9">
        <f t="shared" si="16"/>
        <v>0.28615499839509256</v>
      </c>
      <c r="S81" s="9">
        <f t="shared" si="10"/>
        <v>65.81325402599056</v>
      </c>
      <c r="T81" s="9">
        <f t="shared" si="11"/>
        <v>22.714023107051336</v>
      </c>
      <c r="U81" s="9">
        <f t="shared" si="12"/>
        <v>33.558978896910126</v>
      </c>
      <c r="V81" s="9">
        <f t="shared" si="13"/>
        <v>43.726997996038541</v>
      </c>
      <c r="X81" s="2">
        <v>1.7548999999999999</v>
      </c>
      <c r="Y81" s="2">
        <v>2.5928</v>
      </c>
      <c r="Z81" s="2">
        <v>2.0400000000000001E-2</v>
      </c>
      <c r="AA81" s="2">
        <v>7.8014000000000001</v>
      </c>
      <c r="AC81" s="2">
        <v>4.1000000000000003E-3</v>
      </c>
      <c r="AD81" s="2">
        <v>7.8899999999999998E-2</v>
      </c>
      <c r="AE81" s="2">
        <v>6.0299999999999999E-2</v>
      </c>
      <c r="AF81" s="2">
        <v>5.7099999999999998E-2</v>
      </c>
      <c r="AG81" s="2">
        <v>0.28089999999999998</v>
      </c>
      <c r="AH81" s="2">
        <v>3.3780999999999999</v>
      </c>
      <c r="AI81" s="2">
        <v>16.0289</v>
      </c>
    </row>
    <row r="82" spans="1:35" x14ac:dyDescent="0.25">
      <c r="A82" s="2" t="s">
        <v>303</v>
      </c>
      <c r="B82" s="10">
        <v>242.67070000000001</v>
      </c>
      <c r="C82" s="2">
        <v>13.837999999999999</v>
      </c>
      <c r="D82" s="2">
        <v>16.818000000000001</v>
      </c>
      <c r="E82" s="2">
        <v>0.13500000000000001</v>
      </c>
      <c r="F82" s="2">
        <v>51.189</v>
      </c>
      <c r="H82" s="2">
        <v>7.0000000000000001E-3</v>
      </c>
      <c r="I82" s="2">
        <v>0.60299999999999998</v>
      </c>
      <c r="J82" s="2">
        <v>0.48399999999999999</v>
      </c>
      <c r="K82" s="2">
        <v>0.22</v>
      </c>
      <c r="L82" s="2">
        <v>1.31</v>
      </c>
      <c r="M82" s="2">
        <v>15.048</v>
      </c>
      <c r="N82" s="2">
        <v>99.652000000000001</v>
      </c>
      <c r="P82" s="9">
        <f t="shared" si="14"/>
        <v>0.19260908901106549</v>
      </c>
      <c r="Q82" s="9">
        <f t="shared" si="15"/>
        <v>0.37335318198734646</v>
      </c>
      <c r="R82" s="9">
        <f t="shared" si="16"/>
        <v>0.29990370555297979</v>
      </c>
      <c r="S82" s="9">
        <f t="shared" si="10"/>
        <v>65.967857067347524</v>
      </c>
      <c r="T82" s="9">
        <f t="shared" si="11"/>
        <v>22.244676916189416</v>
      </c>
      <c r="U82" s="9">
        <f t="shared" si="12"/>
        <v>34.636273242592253</v>
      </c>
      <c r="V82" s="9">
        <f t="shared" si="13"/>
        <v>43.119049841218327</v>
      </c>
      <c r="X82" s="2">
        <v>1.7548999999999999</v>
      </c>
      <c r="Y82" s="2">
        <v>2.7326999999999999</v>
      </c>
      <c r="Z82" s="2">
        <v>1.54E-2</v>
      </c>
      <c r="AA82" s="2">
        <v>7.7625000000000002</v>
      </c>
      <c r="AC82" s="2">
        <v>1.4E-3</v>
      </c>
      <c r="AD82" s="2">
        <v>7.22E-2</v>
      </c>
      <c r="AE82" s="2">
        <v>6.2100000000000002E-2</v>
      </c>
      <c r="AF82" s="2">
        <v>6.4699999999999994E-2</v>
      </c>
      <c r="AG82" s="2">
        <v>0.23419999999999999</v>
      </c>
      <c r="AH82" s="2">
        <v>3.4016000000000002</v>
      </c>
      <c r="AI82" s="2">
        <v>16.101700000000001</v>
      </c>
    </row>
    <row r="83" spans="1:35" x14ac:dyDescent="0.25">
      <c r="A83" s="2" t="s">
        <v>369</v>
      </c>
      <c r="B83" s="10">
        <v>248.3142</v>
      </c>
      <c r="C83" s="2">
        <v>14.304</v>
      </c>
      <c r="D83" s="2">
        <v>15.83</v>
      </c>
      <c r="E83" s="2">
        <v>0.106</v>
      </c>
      <c r="F83" s="2">
        <v>51.88</v>
      </c>
      <c r="H83" s="2">
        <v>5.0000000000000001E-3</v>
      </c>
      <c r="I83" s="2">
        <v>0.65400000000000003</v>
      </c>
      <c r="J83" s="2">
        <v>0.499</v>
      </c>
      <c r="K83" s="2">
        <v>0.19700000000000001</v>
      </c>
      <c r="L83" s="2">
        <v>1.417</v>
      </c>
      <c r="M83" s="2">
        <v>15.553000000000001</v>
      </c>
      <c r="N83" s="2">
        <v>100.44499999999999</v>
      </c>
      <c r="P83" s="9">
        <f t="shared" si="14"/>
        <v>0.19909527454937714</v>
      </c>
      <c r="Q83" s="9">
        <f t="shared" si="15"/>
        <v>0.38588264483314727</v>
      </c>
      <c r="R83" s="9">
        <f t="shared" si="16"/>
        <v>0.2822853882092799</v>
      </c>
      <c r="S83" s="9">
        <f t="shared" si="10"/>
        <v>65.965335108796424</v>
      </c>
      <c r="T83" s="9">
        <f t="shared" si="11"/>
        <v>22.956727536671654</v>
      </c>
      <c r="U83" s="9">
        <f t="shared" si="12"/>
        <v>32.548983190943829</v>
      </c>
      <c r="V83" s="9">
        <f t="shared" si="13"/>
        <v>44.494289272384506</v>
      </c>
      <c r="X83" s="2">
        <v>1.7951999999999999</v>
      </c>
      <c r="Y83" s="2">
        <v>2.5453999999999999</v>
      </c>
      <c r="Z83" s="2">
        <v>1.2E-2</v>
      </c>
      <c r="AA83" s="2">
        <v>7.7854999999999999</v>
      </c>
      <c r="AC83" s="2">
        <v>8.9999999999999998E-4</v>
      </c>
      <c r="AD83" s="2">
        <v>7.7600000000000002E-2</v>
      </c>
      <c r="AE83" s="2">
        <v>6.3500000000000001E-2</v>
      </c>
      <c r="AF83" s="2">
        <v>5.7299999999999997E-2</v>
      </c>
      <c r="AG83" s="2">
        <v>0.25069999999999998</v>
      </c>
      <c r="AH83" s="2">
        <v>3.4794</v>
      </c>
      <c r="AI83" s="2">
        <v>16.067499999999999</v>
      </c>
    </row>
    <row r="84" spans="1:35" x14ac:dyDescent="0.25">
      <c r="A84" s="2" t="s">
        <v>370</v>
      </c>
      <c r="B84" s="10">
        <v>253.95770999999999</v>
      </c>
      <c r="C84" s="2">
        <v>14.602</v>
      </c>
      <c r="D84" s="2">
        <v>15.651</v>
      </c>
      <c r="E84" s="2">
        <v>0.11799999999999999</v>
      </c>
      <c r="F84" s="2">
        <v>52.47</v>
      </c>
      <c r="H84" s="2">
        <v>1.2E-2</v>
      </c>
      <c r="I84" s="2">
        <v>0.61499999999999999</v>
      </c>
      <c r="J84" s="2">
        <v>0.501</v>
      </c>
      <c r="K84" s="2">
        <v>0.193</v>
      </c>
      <c r="L84" s="2">
        <v>1.5</v>
      </c>
      <c r="M84" s="2">
        <v>15.33</v>
      </c>
      <c r="N84" s="2">
        <v>100.992</v>
      </c>
      <c r="P84" s="9">
        <f t="shared" si="14"/>
        <v>0.20324309276915584</v>
      </c>
      <c r="Q84" s="9">
        <f t="shared" si="15"/>
        <v>0.38034983252698179</v>
      </c>
      <c r="R84" s="9">
        <f t="shared" si="16"/>
        <v>0.27909340561360962</v>
      </c>
      <c r="S84" s="9">
        <f t="shared" si="10"/>
        <v>65.173825116878788</v>
      </c>
      <c r="T84" s="9">
        <f t="shared" si="11"/>
        <v>23.559326894031752</v>
      </c>
      <c r="U84" s="9">
        <f t="shared" si="12"/>
        <v>32.351666603931378</v>
      </c>
      <c r="V84" s="9">
        <f t="shared" si="13"/>
        <v>44.089006502036874</v>
      </c>
      <c r="X84" s="2">
        <v>1.821</v>
      </c>
      <c r="Y84" s="2">
        <v>2.5005999999999999</v>
      </c>
      <c r="Z84" s="2">
        <v>1.3299999999999999E-2</v>
      </c>
      <c r="AA84" s="2">
        <v>7.8239000000000001</v>
      </c>
      <c r="AC84" s="2">
        <v>2.2000000000000001E-3</v>
      </c>
      <c r="AD84" s="2">
        <v>7.2499999999999995E-2</v>
      </c>
      <c r="AE84" s="2">
        <v>6.3200000000000006E-2</v>
      </c>
      <c r="AF84" s="2">
        <v>5.5800000000000002E-2</v>
      </c>
      <c r="AG84" s="2">
        <v>0.26369999999999999</v>
      </c>
      <c r="AH84" s="2">
        <v>3.4076</v>
      </c>
      <c r="AI84" s="2">
        <v>16.023800000000001</v>
      </c>
    </row>
    <row r="85" spans="1:35" x14ac:dyDescent="0.25">
      <c r="A85" s="2" t="s">
        <v>371</v>
      </c>
      <c r="B85" s="10">
        <v>259.60120999999998</v>
      </c>
      <c r="C85" s="2">
        <v>15.331</v>
      </c>
      <c r="D85" s="2">
        <v>15.371</v>
      </c>
      <c r="E85" s="2">
        <v>0.11</v>
      </c>
      <c r="F85" s="2">
        <v>51.851999999999997</v>
      </c>
      <c r="H85" s="2">
        <v>1.4E-2</v>
      </c>
      <c r="I85" s="2">
        <v>0.65400000000000003</v>
      </c>
      <c r="J85" s="2">
        <v>0.51500000000000001</v>
      </c>
      <c r="K85" s="2">
        <v>0.193</v>
      </c>
      <c r="L85" s="2">
        <v>1.5609999999999999</v>
      </c>
      <c r="M85" s="2">
        <v>14.369</v>
      </c>
      <c r="N85" s="2">
        <v>99.97</v>
      </c>
      <c r="P85" s="9">
        <f t="shared" si="14"/>
        <v>0.21338993666921846</v>
      </c>
      <c r="Q85" s="9">
        <f t="shared" si="15"/>
        <v>0.35650663689368567</v>
      </c>
      <c r="R85" s="9">
        <f t="shared" si="16"/>
        <v>0.27410036021256107</v>
      </c>
      <c r="S85" s="9">
        <f t="shared" si="10"/>
        <v>62.556374863751508</v>
      </c>
      <c r="T85" s="9">
        <f t="shared" si="11"/>
        <v>25.283259705062882</v>
      </c>
      <c r="U85" s="9">
        <f t="shared" si="12"/>
        <v>32.476463982685758</v>
      </c>
      <c r="V85" s="9">
        <f t="shared" si="13"/>
        <v>42.240276312251368</v>
      </c>
      <c r="X85" s="2">
        <v>1.9383999999999999</v>
      </c>
      <c r="Y85" s="2">
        <v>2.4900000000000002</v>
      </c>
      <c r="Z85" s="2">
        <v>1.2500000000000001E-2</v>
      </c>
      <c r="AA85" s="2">
        <v>7.8391000000000002</v>
      </c>
      <c r="AC85" s="2">
        <v>2.5999999999999999E-3</v>
      </c>
      <c r="AD85" s="2">
        <v>7.8200000000000006E-2</v>
      </c>
      <c r="AE85" s="2">
        <v>6.6000000000000003E-2</v>
      </c>
      <c r="AF85" s="2">
        <v>5.6500000000000002E-2</v>
      </c>
      <c r="AG85" s="2">
        <v>0.2782</v>
      </c>
      <c r="AH85" s="2">
        <v>3.2382</v>
      </c>
      <c r="AI85" s="2">
        <v>15.999700000000001</v>
      </c>
    </row>
    <row r="86" spans="1:35" x14ac:dyDescent="0.25">
      <c r="A86" s="2" t="s">
        <v>372</v>
      </c>
      <c r="B86" s="10">
        <v>265.24471999999997</v>
      </c>
      <c r="C86" s="2">
        <v>18.626000000000001</v>
      </c>
      <c r="D86" s="2">
        <v>14.702</v>
      </c>
      <c r="E86" s="2">
        <v>0.113</v>
      </c>
      <c r="F86" s="2">
        <v>51.277999999999999</v>
      </c>
      <c r="H86" s="2">
        <v>6.0000000000000001E-3</v>
      </c>
      <c r="I86" s="2">
        <v>0.374</v>
      </c>
      <c r="J86" s="2">
        <v>0.55400000000000005</v>
      </c>
      <c r="K86" s="2">
        <v>0.16</v>
      </c>
      <c r="L86" s="2">
        <v>1.2709999999999999</v>
      </c>
      <c r="M86" s="2">
        <v>13.121</v>
      </c>
      <c r="N86" s="2">
        <v>100.205</v>
      </c>
      <c r="P86" s="9">
        <f t="shared" si="14"/>
        <v>0.25925255758925464</v>
      </c>
      <c r="Q86" s="9">
        <f t="shared" si="15"/>
        <v>0.32554273663317207</v>
      </c>
      <c r="R86" s="9">
        <f t="shared" si="16"/>
        <v>0.26217054816505581</v>
      </c>
      <c r="S86" s="9">
        <f t="shared" si="10"/>
        <v>55.667810573959919</v>
      </c>
      <c r="T86" s="9">
        <f t="shared" si="11"/>
        <v>30.609564709062724</v>
      </c>
      <c r="U86" s="9">
        <f t="shared" si="12"/>
        <v>30.954087525658935</v>
      </c>
      <c r="V86" s="9">
        <f t="shared" si="13"/>
        <v>38.436347765278349</v>
      </c>
      <c r="X86" s="2">
        <v>2.3822000000000001</v>
      </c>
      <c r="Y86" s="2">
        <v>2.4091</v>
      </c>
      <c r="Z86" s="2">
        <v>1.2999999999999999E-2</v>
      </c>
      <c r="AA86" s="2">
        <v>7.8418000000000001</v>
      </c>
      <c r="AC86" s="2">
        <v>1.1999999999999999E-3</v>
      </c>
      <c r="AD86" s="2">
        <v>4.5199999999999997E-2</v>
      </c>
      <c r="AE86" s="2">
        <v>7.1800000000000003E-2</v>
      </c>
      <c r="AF86" s="2">
        <v>4.7600000000000003E-2</v>
      </c>
      <c r="AG86" s="2">
        <v>0.2291</v>
      </c>
      <c r="AH86" s="2">
        <v>2.9910999999999999</v>
      </c>
      <c r="AI86" s="2">
        <v>16.0321</v>
      </c>
    </row>
    <row r="87" spans="1:35" x14ac:dyDescent="0.25">
      <c r="A87" s="2" t="s">
        <v>373</v>
      </c>
      <c r="B87" s="10">
        <v>270.88821999999999</v>
      </c>
      <c r="C87" s="2">
        <v>21.039000000000001</v>
      </c>
      <c r="D87" s="2">
        <v>13.694000000000001</v>
      </c>
      <c r="E87" s="2">
        <v>0.14299999999999999</v>
      </c>
      <c r="F87" s="2">
        <v>51.87</v>
      </c>
      <c r="H87" s="2">
        <v>6.0000000000000001E-3</v>
      </c>
      <c r="I87" s="2">
        <v>0.25600000000000001</v>
      </c>
      <c r="J87" s="2">
        <v>0.622</v>
      </c>
      <c r="K87" s="2">
        <v>0.183</v>
      </c>
      <c r="L87" s="2">
        <v>1.093</v>
      </c>
      <c r="M87" s="2">
        <v>12.815</v>
      </c>
      <c r="N87" s="2">
        <v>101.721</v>
      </c>
      <c r="P87" s="9">
        <f t="shared" si="14"/>
        <v>0.29283875008699284</v>
      </c>
      <c r="Q87" s="9">
        <f t="shared" si="15"/>
        <v>0.31795062647314226</v>
      </c>
      <c r="R87" s="9">
        <f t="shared" si="16"/>
        <v>0.24419558472128108</v>
      </c>
      <c r="S87" s="9">
        <f t="shared" si="10"/>
        <v>52.055690336951777</v>
      </c>
      <c r="T87" s="9">
        <f t="shared" si="11"/>
        <v>34.250748650373708</v>
      </c>
      <c r="U87" s="9">
        <f t="shared" si="12"/>
        <v>28.561389472311983</v>
      </c>
      <c r="V87" s="9">
        <f t="shared" si="13"/>
        <v>37.187861877314305</v>
      </c>
      <c r="X87" s="2">
        <v>2.6682000000000001</v>
      </c>
      <c r="Y87" s="2">
        <v>2.2250000000000001</v>
      </c>
      <c r="Z87" s="2">
        <v>1.6299999999999999E-2</v>
      </c>
      <c r="AA87" s="2">
        <v>7.8654999999999999</v>
      </c>
      <c r="AC87" s="2">
        <v>1.1000000000000001E-3</v>
      </c>
      <c r="AD87" s="2">
        <v>3.0800000000000001E-2</v>
      </c>
      <c r="AE87" s="2">
        <v>0.08</v>
      </c>
      <c r="AF87" s="2">
        <v>5.3900000000000003E-2</v>
      </c>
      <c r="AG87" s="2">
        <v>0.1953</v>
      </c>
      <c r="AH87" s="2">
        <v>2.8967999999999998</v>
      </c>
      <c r="AI87" s="2">
        <v>16.032900000000001</v>
      </c>
    </row>
    <row r="88" spans="1:35" x14ac:dyDescent="0.25">
      <c r="A88" s="2" t="s">
        <v>374</v>
      </c>
      <c r="B88" s="10">
        <v>276.53172999999998</v>
      </c>
      <c r="C88" s="2">
        <v>19.960999999999999</v>
      </c>
      <c r="D88" s="2">
        <v>14.346</v>
      </c>
      <c r="E88" s="2">
        <v>0.127</v>
      </c>
      <c r="F88" s="2">
        <v>51.204999999999998</v>
      </c>
      <c r="H88" s="2">
        <v>0</v>
      </c>
      <c r="I88" s="2">
        <v>0.252</v>
      </c>
      <c r="J88" s="2">
        <v>0.58099999999999996</v>
      </c>
      <c r="K88" s="2">
        <v>0.161</v>
      </c>
      <c r="L88" s="2">
        <v>1.097</v>
      </c>
      <c r="M88" s="2">
        <v>13.034000000000001</v>
      </c>
      <c r="N88" s="2">
        <v>100.764</v>
      </c>
      <c r="P88" s="9">
        <f t="shared" si="14"/>
        <v>0.27783422645973971</v>
      </c>
      <c r="Q88" s="9">
        <f t="shared" si="15"/>
        <v>0.32338419550924202</v>
      </c>
      <c r="R88" s="9">
        <f t="shared" si="16"/>
        <v>0.25582224758372268</v>
      </c>
      <c r="S88" s="9">
        <f t="shared" si="10"/>
        <v>53.788138169513068</v>
      </c>
      <c r="T88" s="9">
        <f t="shared" si="11"/>
        <v>32.41785790687662</v>
      </c>
      <c r="U88" s="9">
        <f t="shared" si="12"/>
        <v>29.849487506495826</v>
      </c>
      <c r="V88" s="9">
        <f t="shared" si="13"/>
        <v>37.732654586627554</v>
      </c>
      <c r="X88" s="2">
        <v>2.5522999999999998</v>
      </c>
      <c r="Y88" s="2">
        <v>2.3500999999999999</v>
      </c>
      <c r="Z88" s="2">
        <v>1.46E-2</v>
      </c>
      <c r="AA88" s="2">
        <v>7.8284000000000002</v>
      </c>
      <c r="AC88" s="2">
        <v>0</v>
      </c>
      <c r="AD88" s="2">
        <v>3.04E-2</v>
      </c>
      <c r="AE88" s="2">
        <v>7.5300000000000006E-2</v>
      </c>
      <c r="AF88" s="2">
        <v>4.7600000000000003E-2</v>
      </c>
      <c r="AG88" s="2">
        <v>0.1976</v>
      </c>
      <c r="AH88" s="2">
        <v>2.9704999999999999</v>
      </c>
      <c r="AI88" s="2">
        <v>16.066800000000001</v>
      </c>
    </row>
    <row r="89" spans="1:35" x14ac:dyDescent="0.25">
      <c r="A89" s="2" t="s">
        <v>277</v>
      </c>
      <c r="B89" s="10">
        <v>282.17523</v>
      </c>
      <c r="C89" s="2">
        <v>18.823</v>
      </c>
      <c r="D89" s="2">
        <v>15.616</v>
      </c>
      <c r="E89" s="2">
        <v>0.09</v>
      </c>
      <c r="F89" s="2">
        <v>51.268999999999998</v>
      </c>
      <c r="H89" s="2">
        <v>0</v>
      </c>
      <c r="I89" s="2">
        <v>0.36199999999999999</v>
      </c>
      <c r="J89" s="2">
        <v>0.54800000000000004</v>
      </c>
      <c r="K89" s="2">
        <v>0.22</v>
      </c>
      <c r="L89" s="2">
        <v>1.389</v>
      </c>
      <c r="M89" s="2">
        <v>12.531000000000001</v>
      </c>
      <c r="N89" s="2">
        <v>100.848</v>
      </c>
      <c r="P89" s="9">
        <f t="shared" si="14"/>
        <v>0.26199457164729628</v>
      </c>
      <c r="Q89" s="9">
        <f t="shared" si="15"/>
        <v>0.31090435429847413</v>
      </c>
      <c r="R89" s="9">
        <f t="shared" si="16"/>
        <v>0.27846927493847851</v>
      </c>
      <c r="S89" s="9">
        <f t="shared" si="10"/>
        <v>54.268622302828994</v>
      </c>
      <c r="T89" s="9">
        <f t="shared" si="11"/>
        <v>30.773356507229565</v>
      </c>
      <c r="U89" s="9">
        <f t="shared" si="12"/>
        <v>32.708442087601405</v>
      </c>
      <c r="V89" s="9">
        <f t="shared" si="13"/>
        <v>36.518201405169037</v>
      </c>
      <c r="X89" s="2">
        <v>2.4005000000000001</v>
      </c>
      <c r="Y89" s="2">
        <v>2.5514999999999999</v>
      </c>
      <c r="Z89" s="2">
        <v>1.03E-2</v>
      </c>
      <c r="AA89" s="2">
        <v>7.8178000000000001</v>
      </c>
      <c r="AC89" s="2">
        <v>1E-4</v>
      </c>
      <c r="AD89" s="2">
        <v>4.3700000000000003E-2</v>
      </c>
      <c r="AE89" s="2">
        <v>7.0800000000000002E-2</v>
      </c>
      <c r="AF89" s="2">
        <v>6.5000000000000002E-2</v>
      </c>
      <c r="AG89" s="2">
        <v>0.24970000000000001</v>
      </c>
      <c r="AH89" s="2">
        <v>2.8483999999999998</v>
      </c>
      <c r="AI89" s="2">
        <v>16.0578</v>
      </c>
    </row>
    <row r="90" spans="1:35" x14ac:dyDescent="0.25">
      <c r="A90" s="2" t="s">
        <v>283</v>
      </c>
      <c r="B90" s="10">
        <v>287.81873999999999</v>
      </c>
      <c r="C90" s="2">
        <v>19.709</v>
      </c>
      <c r="D90" s="2">
        <v>15.426</v>
      </c>
      <c r="E90" s="2">
        <v>0.188</v>
      </c>
      <c r="F90" s="2">
        <v>51.027999999999999</v>
      </c>
      <c r="H90" s="2">
        <v>0</v>
      </c>
      <c r="I90" s="2">
        <v>0.28199999999999997</v>
      </c>
      <c r="J90" s="2">
        <v>0.57699999999999996</v>
      </c>
      <c r="K90" s="2">
        <v>0.20799999999999999</v>
      </c>
      <c r="L90" s="2">
        <v>1.4890000000000001</v>
      </c>
      <c r="M90" s="2">
        <v>12.205</v>
      </c>
      <c r="N90" s="2">
        <v>101.11199999999999</v>
      </c>
      <c r="P90" s="9">
        <f t="shared" si="14"/>
        <v>0.27432667548194029</v>
      </c>
      <c r="Q90" s="9">
        <f t="shared" si="15"/>
        <v>0.30281602778811562</v>
      </c>
      <c r="R90" s="9">
        <f t="shared" si="16"/>
        <v>0.27508113698776704</v>
      </c>
      <c r="S90" s="9">
        <f t="shared" si="10"/>
        <v>52.468137615251507</v>
      </c>
      <c r="T90" s="9">
        <f t="shared" si="11"/>
        <v>32.189509671420176</v>
      </c>
      <c r="U90" s="9">
        <f t="shared" si="12"/>
        <v>32.278038232836444</v>
      </c>
      <c r="V90" s="9">
        <f t="shared" si="13"/>
        <v>35.532452095743388</v>
      </c>
      <c r="X90" s="2">
        <v>2.5165000000000002</v>
      </c>
      <c r="Y90" s="2">
        <v>2.5234999999999999</v>
      </c>
      <c r="Z90" s="2">
        <v>2.1600000000000001E-2</v>
      </c>
      <c r="AA90" s="2">
        <v>7.7904</v>
      </c>
      <c r="AC90" s="2">
        <v>0</v>
      </c>
      <c r="AD90" s="2">
        <v>3.4000000000000002E-2</v>
      </c>
      <c r="AE90" s="2">
        <v>7.46E-2</v>
      </c>
      <c r="AF90" s="2">
        <v>6.1600000000000002E-2</v>
      </c>
      <c r="AG90" s="2">
        <v>0.26800000000000002</v>
      </c>
      <c r="AH90" s="2">
        <v>2.7776000000000001</v>
      </c>
      <c r="AI90" s="2">
        <v>16.067799999999998</v>
      </c>
    </row>
    <row r="91" spans="1:35" x14ac:dyDescent="0.25">
      <c r="A91" s="2" t="s">
        <v>375</v>
      </c>
      <c r="B91" s="10">
        <v>293.46224000000001</v>
      </c>
      <c r="C91" s="2">
        <v>20.236999999999998</v>
      </c>
      <c r="D91" s="2">
        <v>14.579000000000001</v>
      </c>
      <c r="E91" s="2">
        <v>7.2999999999999995E-2</v>
      </c>
      <c r="F91" s="2">
        <v>51.048999999999999</v>
      </c>
      <c r="H91" s="2">
        <v>0</v>
      </c>
      <c r="I91" s="2">
        <v>0.23799999999999999</v>
      </c>
      <c r="J91" s="2">
        <v>0.61299999999999999</v>
      </c>
      <c r="K91" s="2">
        <v>0.14299999999999999</v>
      </c>
      <c r="L91" s="2">
        <v>1.1240000000000001</v>
      </c>
      <c r="M91" s="2">
        <v>12.147</v>
      </c>
      <c r="N91" s="2">
        <v>100.203</v>
      </c>
      <c r="P91" s="9">
        <f t="shared" si="14"/>
        <v>0.28167582991161527</v>
      </c>
      <c r="Q91" s="9">
        <f t="shared" si="15"/>
        <v>0.30137700037216225</v>
      </c>
      <c r="R91" s="9">
        <f t="shared" si="16"/>
        <v>0.25997717464959519</v>
      </c>
      <c r="S91" s="9">
        <f t="shared" si="10"/>
        <v>51.689484163121058</v>
      </c>
      <c r="T91" s="9">
        <f t="shared" si="11"/>
        <v>33.412313709270286</v>
      </c>
      <c r="U91" s="9">
        <f t="shared" si="12"/>
        <v>30.838424863672792</v>
      </c>
      <c r="V91" s="9">
        <f t="shared" si="13"/>
        <v>35.749261427056915</v>
      </c>
      <c r="X91" s="2">
        <v>2.6073</v>
      </c>
      <c r="Y91" s="2">
        <v>2.4066000000000001</v>
      </c>
      <c r="Z91" s="2">
        <v>8.5000000000000006E-3</v>
      </c>
      <c r="AA91" s="2">
        <v>7.8643000000000001</v>
      </c>
      <c r="AC91" s="2">
        <v>0</v>
      </c>
      <c r="AD91" s="2">
        <v>2.9000000000000001E-2</v>
      </c>
      <c r="AE91" s="2">
        <v>7.9899999999999999E-2</v>
      </c>
      <c r="AF91" s="2">
        <v>4.2599999999999999E-2</v>
      </c>
      <c r="AG91" s="2">
        <v>0.2041</v>
      </c>
      <c r="AH91" s="2">
        <v>2.7896000000000001</v>
      </c>
      <c r="AI91" s="2">
        <v>16.0319</v>
      </c>
    </row>
    <row r="92" spans="1:35" x14ac:dyDescent="0.25">
      <c r="A92" s="2" t="s">
        <v>376</v>
      </c>
      <c r="B92" s="10">
        <v>299.10575</v>
      </c>
      <c r="C92" s="2">
        <v>21.629000000000001</v>
      </c>
      <c r="D92" s="2">
        <v>14.531000000000001</v>
      </c>
      <c r="E92" s="2">
        <v>0.159</v>
      </c>
      <c r="F92" s="2">
        <v>50.478999999999999</v>
      </c>
      <c r="H92" s="2">
        <v>3.0000000000000001E-3</v>
      </c>
      <c r="I92" s="2">
        <v>0.26800000000000002</v>
      </c>
      <c r="J92" s="2">
        <v>0.60699999999999998</v>
      </c>
      <c r="K92" s="2">
        <v>0.17399999999999999</v>
      </c>
      <c r="L92" s="2">
        <v>1.1970000000000001</v>
      </c>
      <c r="M92" s="2">
        <v>11.56</v>
      </c>
      <c r="N92" s="2">
        <v>100.607</v>
      </c>
      <c r="P92" s="9">
        <f t="shared" si="14"/>
        <v>0.30105087340803122</v>
      </c>
      <c r="Q92" s="9">
        <f t="shared" si="15"/>
        <v>0.28681305049001365</v>
      </c>
      <c r="R92" s="9">
        <f t="shared" si="16"/>
        <v>0.25912122400941545</v>
      </c>
      <c r="S92" s="9">
        <f t="shared" si="10"/>
        <v>48.789020525055484</v>
      </c>
      <c r="T92" s="9">
        <f t="shared" si="11"/>
        <v>35.543819646873352</v>
      </c>
      <c r="U92" s="9">
        <f t="shared" si="12"/>
        <v>30.593361011063021</v>
      </c>
      <c r="V92" s="9">
        <f t="shared" si="13"/>
        <v>33.862819342063624</v>
      </c>
      <c r="X92" s="2">
        <v>2.7970999999999999</v>
      </c>
      <c r="Y92" s="2">
        <v>2.4076</v>
      </c>
      <c r="Z92" s="2">
        <v>1.84E-2</v>
      </c>
      <c r="AA92" s="2">
        <v>7.8056999999999999</v>
      </c>
      <c r="AC92" s="2">
        <v>5.0000000000000001E-4</v>
      </c>
      <c r="AD92" s="2">
        <v>3.2800000000000003E-2</v>
      </c>
      <c r="AE92" s="2">
        <v>7.9500000000000001E-2</v>
      </c>
      <c r="AF92" s="2">
        <v>5.2299999999999999E-2</v>
      </c>
      <c r="AG92" s="2">
        <v>0.21820000000000001</v>
      </c>
      <c r="AH92" s="2">
        <v>2.6646999999999998</v>
      </c>
      <c r="AI92" s="2">
        <v>16.076799999999999</v>
      </c>
    </row>
    <row r="93" spans="1:35" x14ac:dyDescent="0.25">
      <c r="A93" s="2" t="s">
        <v>377</v>
      </c>
      <c r="B93" s="10">
        <v>304.74925000000002</v>
      </c>
      <c r="C93" s="2">
        <v>22.54</v>
      </c>
      <c r="D93" s="2">
        <v>14.08</v>
      </c>
      <c r="E93" s="2">
        <v>0.16700000000000001</v>
      </c>
      <c r="F93" s="2">
        <v>50.914999999999999</v>
      </c>
      <c r="H93" s="2">
        <v>1.2999999999999999E-2</v>
      </c>
      <c r="I93" s="2">
        <v>0.24199999999999999</v>
      </c>
      <c r="J93" s="2">
        <v>0.65800000000000003</v>
      </c>
      <c r="K93" s="2">
        <v>0.16500000000000001</v>
      </c>
      <c r="L93" s="2">
        <v>1.028</v>
      </c>
      <c r="M93" s="2">
        <v>11.362</v>
      </c>
      <c r="N93" s="2">
        <v>101.17</v>
      </c>
      <c r="P93" s="9">
        <f t="shared" si="14"/>
        <v>0.31373094856983785</v>
      </c>
      <c r="Q93" s="9">
        <f t="shared" si="15"/>
        <v>0.28190050862175908</v>
      </c>
      <c r="R93" s="9">
        <f t="shared" si="16"/>
        <v>0.25107885445272654</v>
      </c>
      <c r="S93" s="9">
        <f t="shared" si="10"/>
        <v>47.328008824604453</v>
      </c>
      <c r="T93" s="9">
        <f t="shared" si="11"/>
        <v>37.052926397054023</v>
      </c>
      <c r="U93" s="9">
        <f t="shared" si="12"/>
        <v>29.653454197944967</v>
      </c>
      <c r="V93" s="9">
        <f t="shared" si="13"/>
        <v>33.293619405001017</v>
      </c>
      <c r="X93" s="2">
        <v>2.9041000000000001</v>
      </c>
      <c r="Y93" s="2">
        <v>2.3241999999999998</v>
      </c>
      <c r="Z93" s="2">
        <v>1.9300000000000001E-2</v>
      </c>
      <c r="AA93" s="2">
        <v>7.8437999999999999</v>
      </c>
      <c r="AC93" s="2">
        <v>2.5000000000000001E-3</v>
      </c>
      <c r="AD93" s="2">
        <v>2.9499999999999998E-2</v>
      </c>
      <c r="AE93" s="2">
        <v>8.5900000000000004E-2</v>
      </c>
      <c r="AF93" s="2">
        <v>4.9299999999999997E-2</v>
      </c>
      <c r="AG93" s="2">
        <v>0.1867</v>
      </c>
      <c r="AH93" s="2">
        <v>2.6093999999999999</v>
      </c>
      <c r="AI93" s="2">
        <v>16.0547</v>
      </c>
    </row>
    <row r="94" spans="1:35" x14ac:dyDescent="0.25">
      <c r="A94" s="2" t="s">
        <v>378</v>
      </c>
      <c r="B94" s="10">
        <v>310.39276000000001</v>
      </c>
      <c r="C94" s="2">
        <v>22.236000000000001</v>
      </c>
      <c r="D94" s="2">
        <v>13.981</v>
      </c>
      <c r="E94" s="2">
        <v>0.106</v>
      </c>
      <c r="F94" s="2">
        <v>50.811</v>
      </c>
      <c r="H94" s="2">
        <v>2E-3</v>
      </c>
      <c r="I94" s="2">
        <v>0.28199999999999997</v>
      </c>
      <c r="J94" s="2">
        <v>0.60799999999999998</v>
      </c>
      <c r="K94" s="2">
        <v>0.16600000000000001</v>
      </c>
      <c r="L94" s="2">
        <v>1.107</v>
      </c>
      <c r="M94" s="2">
        <v>11.456</v>
      </c>
      <c r="N94" s="2">
        <v>100.755</v>
      </c>
      <c r="P94" s="9">
        <f t="shared" si="14"/>
        <v>0.30949961723154013</v>
      </c>
      <c r="Q94" s="9">
        <f t="shared" si="15"/>
        <v>0.28423272546830419</v>
      </c>
      <c r="R94" s="9">
        <f t="shared" si="16"/>
        <v>0.24931345625735582</v>
      </c>
      <c r="S94" s="9">
        <f t="shared" ref="S94:S116" si="17">Q94/(P94+Q94)*100</f>
        <v>47.872198468392234</v>
      </c>
      <c r="T94" s="9">
        <f t="shared" ref="T94:T116" si="18">P94/(P94+R94+Q94)*100</f>
        <v>36.712076332551987</v>
      </c>
      <c r="U94" s="9">
        <f t="shared" ref="U94:U116" si="19">R94/(P94+R94+Q94)*100</f>
        <v>29.572943316453554</v>
      </c>
      <c r="V94" s="9">
        <f t="shared" ref="V94:V116" si="20">Q94/(P94+Q94+R94)*100</f>
        <v>33.714980350994452</v>
      </c>
      <c r="X94" s="2">
        <v>2.8719999999999999</v>
      </c>
      <c r="Y94" s="2">
        <v>2.3136000000000001</v>
      </c>
      <c r="Z94" s="2">
        <v>1.23E-2</v>
      </c>
      <c r="AA94" s="2">
        <v>7.8471000000000002</v>
      </c>
      <c r="AC94" s="2">
        <v>2.9999999999999997E-4</v>
      </c>
      <c r="AD94" s="2">
        <v>3.44E-2</v>
      </c>
      <c r="AE94" s="2">
        <v>7.9500000000000001E-2</v>
      </c>
      <c r="AF94" s="2">
        <v>4.9799999999999997E-2</v>
      </c>
      <c r="AG94" s="2">
        <v>0.20150000000000001</v>
      </c>
      <c r="AH94" s="2">
        <v>2.6373000000000002</v>
      </c>
      <c r="AI94" s="2">
        <v>16.047799999999999</v>
      </c>
    </row>
    <row r="95" spans="1:35" x14ac:dyDescent="0.25">
      <c r="A95" s="2" t="s">
        <v>379</v>
      </c>
      <c r="B95" s="10">
        <v>316.03626000000003</v>
      </c>
      <c r="C95" s="2">
        <v>21.411000000000001</v>
      </c>
      <c r="D95" s="2">
        <v>14.541</v>
      </c>
      <c r="E95" s="2">
        <v>0.191</v>
      </c>
      <c r="F95" s="2">
        <v>51.005000000000003</v>
      </c>
      <c r="H95" s="2">
        <v>0</v>
      </c>
      <c r="I95" s="2">
        <v>0.29599999999999999</v>
      </c>
      <c r="J95" s="2">
        <v>0.64</v>
      </c>
      <c r="K95" s="2">
        <v>0.21</v>
      </c>
      <c r="L95" s="2">
        <v>1.0820000000000001</v>
      </c>
      <c r="M95" s="2">
        <v>11.329000000000001</v>
      </c>
      <c r="N95" s="2">
        <v>100.705</v>
      </c>
      <c r="P95" s="9">
        <f t="shared" si="14"/>
        <v>0.29801656343517297</v>
      </c>
      <c r="Q95" s="9">
        <f t="shared" si="15"/>
        <v>0.28108175164371668</v>
      </c>
      <c r="R95" s="9">
        <f t="shared" si="16"/>
        <v>0.25929954705945291</v>
      </c>
      <c r="S95" s="9">
        <f t="shared" si="17"/>
        <v>48.537829298540672</v>
      </c>
      <c r="T95" s="9">
        <f t="shared" si="18"/>
        <v>35.545959370063109</v>
      </c>
      <c r="U95" s="9">
        <f t="shared" si="19"/>
        <v>30.927982855073928</v>
      </c>
      <c r="V95" s="9">
        <f t="shared" si="20"/>
        <v>33.526057774862963</v>
      </c>
      <c r="X95" s="2">
        <v>2.7605</v>
      </c>
      <c r="Y95" s="2">
        <v>2.4018999999999999</v>
      </c>
      <c r="Z95" s="2">
        <v>2.2200000000000001E-2</v>
      </c>
      <c r="AA95" s="2">
        <v>7.8628999999999998</v>
      </c>
      <c r="AC95" s="2">
        <v>0</v>
      </c>
      <c r="AD95" s="2">
        <v>3.61E-2</v>
      </c>
      <c r="AE95" s="2">
        <v>8.3599999999999994E-2</v>
      </c>
      <c r="AF95" s="2">
        <v>6.2899999999999998E-2</v>
      </c>
      <c r="AG95" s="2">
        <v>0.1966</v>
      </c>
      <c r="AH95" s="2">
        <v>2.6034999999999999</v>
      </c>
      <c r="AI95" s="2">
        <v>16.030200000000001</v>
      </c>
    </row>
    <row r="96" spans="1:35" x14ac:dyDescent="0.25">
      <c r="A96" s="2" t="s">
        <v>380</v>
      </c>
      <c r="B96" s="10">
        <v>321.67975999999999</v>
      </c>
      <c r="C96" s="2">
        <v>21.393000000000001</v>
      </c>
      <c r="D96" s="2">
        <v>14.516</v>
      </c>
      <c r="E96" s="2">
        <v>0.159</v>
      </c>
      <c r="F96" s="2">
        <v>50.83</v>
      </c>
      <c r="H96" s="2">
        <v>2E-3</v>
      </c>
      <c r="I96" s="2">
        <v>0.27</v>
      </c>
      <c r="J96" s="2">
        <v>0.628</v>
      </c>
      <c r="K96" s="2">
        <v>0.155</v>
      </c>
      <c r="L96" s="2">
        <v>1.099</v>
      </c>
      <c r="M96" s="2">
        <v>11.804</v>
      </c>
      <c r="N96" s="2">
        <v>100.85599999999999</v>
      </c>
      <c r="P96" s="9">
        <f t="shared" si="14"/>
        <v>0.29776602407961583</v>
      </c>
      <c r="Q96" s="9">
        <f t="shared" si="15"/>
        <v>0.29286688996402432</v>
      </c>
      <c r="R96" s="9">
        <f t="shared" si="16"/>
        <v>0.2588537394343593</v>
      </c>
      <c r="S96" s="9">
        <f t="shared" si="17"/>
        <v>49.585264044798095</v>
      </c>
      <c r="T96" s="9">
        <f t="shared" si="18"/>
        <v>35.052466434933528</v>
      </c>
      <c r="U96" s="9">
        <f t="shared" si="19"/>
        <v>30.47178415041023</v>
      </c>
      <c r="V96" s="9">
        <f t="shared" si="20"/>
        <v>34.475749414656242</v>
      </c>
      <c r="X96" s="2">
        <v>2.7545999999999999</v>
      </c>
      <c r="Y96" s="2">
        <v>2.3946999999999998</v>
      </c>
      <c r="Z96" s="2">
        <v>1.84E-2</v>
      </c>
      <c r="AA96" s="2">
        <v>7.8255999999999997</v>
      </c>
      <c r="AC96" s="2">
        <v>4.0000000000000002E-4</v>
      </c>
      <c r="AD96" s="2">
        <v>3.2899999999999999E-2</v>
      </c>
      <c r="AE96" s="2">
        <v>8.1900000000000001E-2</v>
      </c>
      <c r="AF96" s="2">
        <v>4.6300000000000001E-2</v>
      </c>
      <c r="AG96" s="2">
        <v>0.19939999999999999</v>
      </c>
      <c r="AH96" s="2">
        <v>2.7090000000000001</v>
      </c>
      <c r="AI96" s="2">
        <v>16.063199999999998</v>
      </c>
    </row>
    <row r="97" spans="1:35" x14ac:dyDescent="0.25">
      <c r="A97" s="2" t="s">
        <v>381</v>
      </c>
      <c r="B97" s="10">
        <v>327.32326999999998</v>
      </c>
      <c r="C97" s="2">
        <v>20.911999999999999</v>
      </c>
      <c r="D97" s="2">
        <v>14.709</v>
      </c>
      <c r="E97" s="2">
        <v>0.17899999999999999</v>
      </c>
      <c r="F97" s="2">
        <v>50.606999999999999</v>
      </c>
      <c r="H97" s="2">
        <v>1E-3</v>
      </c>
      <c r="I97" s="2">
        <v>0.25900000000000001</v>
      </c>
      <c r="J97" s="2">
        <v>0.60399999999999998</v>
      </c>
      <c r="K97" s="2">
        <v>0.13</v>
      </c>
      <c r="L97" s="2">
        <v>1.1459999999999999</v>
      </c>
      <c r="M97" s="2">
        <v>11.747999999999999</v>
      </c>
      <c r="N97" s="2">
        <v>100.295</v>
      </c>
      <c r="P97" s="9">
        <f t="shared" si="14"/>
        <v>0.29107105574500658</v>
      </c>
      <c r="Q97" s="9">
        <f t="shared" si="15"/>
        <v>0.29147748418310382</v>
      </c>
      <c r="R97" s="9">
        <f t="shared" si="16"/>
        <v>0.26229537430008198</v>
      </c>
      <c r="S97" s="9">
        <f t="shared" si="17"/>
        <v>50.034883654342991</v>
      </c>
      <c r="T97" s="9">
        <f t="shared" si="18"/>
        <v>34.452642771406445</v>
      </c>
      <c r="U97" s="9">
        <f t="shared" si="19"/>
        <v>31.046607531013827</v>
      </c>
      <c r="V97" s="9">
        <f t="shared" si="20"/>
        <v>34.500749697579728</v>
      </c>
      <c r="X97" s="2">
        <v>2.7042000000000002</v>
      </c>
      <c r="Y97" s="2">
        <v>2.4369000000000001</v>
      </c>
      <c r="Z97" s="2">
        <v>2.0799999999999999E-2</v>
      </c>
      <c r="AA97" s="2">
        <v>7.8249000000000004</v>
      </c>
      <c r="AC97" s="2">
        <v>2.0000000000000001E-4</v>
      </c>
      <c r="AD97" s="2">
        <v>3.1699999999999999E-2</v>
      </c>
      <c r="AE97" s="2">
        <v>7.9100000000000004E-2</v>
      </c>
      <c r="AF97" s="2">
        <v>3.9E-2</v>
      </c>
      <c r="AG97" s="2">
        <v>0.20880000000000001</v>
      </c>
      <c r="AH97" s="2">
        <v>2.7079</v>
      </c>
      <c r="AI97" s="2">
        <v>16.0535</v>
      </c>
    </row>
    <row r="98" spans="1:35" x14ac:dyDescent="0.25">
      <c r="A98" s="2" t="s">
        <v>382</v>
      </c>
      <c r="B98" s="10">
        <v>332.96677</v>
      </c>
      <c r="C98" s="2">
        <v>18.638999999999999</v>
      </c>
      <c r="D98" s="2">
        <v>15.509</v>
      </c>
      <c r="E98" s="2">
        <v>0.127</v>
      </c>
      <c r="F98" s="2">
        <v>50.881</v>
      </c>
      <c r="H98" s="2">
        <v>1.4999999999999999E-2</v>
      </c>
      <c r="I98" s="2">
        <v>0.41299999999999998</v>
      </c>
      <c r="J98" s="2">
        <v>0.55400000000000005</v>
      </c>
      <c r="K98" s="2">
        <v>0.20699999999999999</v>
      </c>
      <c r="L98" s="2">
        <v>1.5329999999999999</v>
      </c>
      <c r="M98" s="2">
        <v>12.618</v>
      </c>
      <c r="N98" s="2">
        <v>100.496</v>
      </c>
      <c r="P98" s="9">
        <f t="shared" si="14"/>
        <v>0.2594335026793792</v>
      </c>
      <c r="Q98" s="9">
        <f t="shared" si="15"/>
        <v>0.31306289542240417</v>
      </c>
      <c r="R98" s="9">
        <f t="shared" si="16"/>
        <v>0.27656121830307784</v>
      </c>
      <c r="S98" s="9">
        <f t="shared" si="17"/>
        <v>54.683819227583172</v>
      </c>
      <c r="T98" s="9">
        <f t="shared" si="18"/>
        <v>30.555464984566132</v>
      </c>
      <c r="U98" s="9">
        <f t="shared" si="19"/>
        <v>32.572726863238394</v>
      </c>
      <c r="V98" s="9">
        <f t="shared" si="20"/>
        <v>36.87180815219547</v>
      </c>
      <c r="X98" s="2">
        <v>2.3852000000000002</v>
      </c>
      <c r="Y98" s="2">
        <v>2.5428000000000002</v>
      </c>
      <c r="Z98" s="2">
        <v>1.46E-2</v>
      </c>
      <c r="AA98" s="2">
        <v>7.7854999999999999</v>
      </c>
      <c r="AC98" s="2">
        <v>2.8999999999999998E-3</v>
      </c>
      <c r="AD98" s="2">
        <v>0.05</v>
      </c>
      <c r="AE98" s="2">
        <v>7.1900000000000006E-2</v>
      </c>
      <c r="AF98" s="2">
        <v>6.13E-2</v>
      </c>
      <c r="AG98" s="2">
        <v>0.27639999999999998</v>
      </c>
      <c r="AH98" s="2">
        <v>2.8782000000000001</v>
      </c>
      <c r="AI98" s="2">
        <v>16.0688</v>
      </c>
    </row>
    <row r="99" spans="1:35" x14ac:dyDescent="0.25">
      <c r="A99" s="2" t="s">
        <v>383</v>
      </c>
      <c r="B99" s="10">
        <v>338.61027999999999</v>
      </c>
      <c r="C99" s="2">
        <v>17.073</v>
      </c>
      <c r="D99" s="2">
        <v>15.893000000000001</v>
      </c>
      <c r="E99" s="2">
        <v>5.2999999999999999E-2</v>
      </c>
      <c r="F99" s="2">
        <v>51.283999999999999</v>
      </c>
      <c r="H99" s="2">
        <v>1.4E-2</v>
      </c>
      <c r="I99" s="2">
        <v>0.49399999999999999</v>
      </c>
      <c r="J99" s="2">
        <v>0.55100000000000005</v>
      </c>
      <c r="K99" s="2">
        <v>0.17899999999999999</v>
      </c>
      <c r="L99" s="2">
        <v>1.329</v>
      </c>
      <c r="M99" s="2">
        <v>12.907999999999999</v>
      </c>
      <c r="N99" s="2">
        <v>99.778000000000006</v>
      </c>
      <c r="P99" s="9">
        <f t="shared" si="14"/>
        <v>0.23763657874591135</v>
      </c>
      <c r="Q99" s="9">
        <f t="shared" si="15"/>
        <v>0.32025803250217094</v>
      </c>
      <c r="R99" s="9">
        <f t="shared" si="16"/>
        <v>0.28340882342451584</v>
      </c>
      <c r="S99" s="9">
        <f t="shared" si="17"/>
        <v>57.404754597953975</v>
      </c>
      <c r="T99" s="9">
        <f t="shared" si="18"/>
        <v>28.246238984913933</v>
      </c>
      <c r="U99" s="9">
        <f t="shared" si="19"/>
        <v>33.68687345663902</v>
      </c>
      <c r="V99" s="9">
        <f t="shared" si="20"/>
        <v>38.06688755844705</v>
      </c>
      <c r="X99" s="2">
        <v>2.1857000000000002</v>
      </c>
      <c r="Y99" s="2">
        <v>2.6067999999999998</v>
      </c>
      <c r="Z99" s="2">
        <v>6.1000000000000004E-3</v>
      </c>
      <c r="AA99" s="2">
        <v>7.8505000000000003</v>
      </c>
      <c r="AC99" s="2">
        <v>2.7000000000000001E-3</v>
      </c>
      <c r="AD99" s="2">
        <v>5.9700000000000003E-2</v>
      </c>
      <c r="AE99" s="2">
        <v>7.1499999999999994E-2</v>
      </c>
      <c r="AF99" s="2">
        <v>5.3199999999999997E-2</v>
      </c>
      <c r="AG99" s="2">
        <v>0.23980000000000001</v>
      </c>
      <c r="AH99" s="2">
        <v>2.9453999999999998</v>
      </c>
      <c r="AI99" s="2">
        <v>16.0214</v>
      </c>
    </row>
    <row r="100" spans="1:35" x14ac:dyDescent="0.25">
      <c r="A100" s="2" t="s">
        <v>384</v>
      </c>
      <c r="B100" s="10">
        <v>344.25378000000001</v>
      </c>
      <c r="C100" s="2">
        <v>15.227</v>
      </c>
      <c r="D100" s="2">
        <v>16.065999999999999</v>
      </c>
      <c r="E100" s="2">
        <v>9.9000000000000005E-2</v>
      </c>
      <c r="F100" s="2">
        <v>52.082000000000001</v>
      </c>
      <c r="H100" s="2">
        <v>0</v>
      </c>
      <c r="I100" s="2">
        <v>0.48499999999999999</v>
      </c>
      <c r="J100" s="2">
        <v>0.54300000000000004</v>
      </c>
      <c r="K100" s="2">
        <v>0.17399999999999999</v>
      </c>
      <c r="L100" s="2">
        <v>1.3460000000000001</v>
      </c>
      <c r="M100" s="2">
        <v>14.276</v>
      </c>
      <c r="N100" s="2">
        <v>100.298</v>
      </c>
      <c r="P100" s="9">
        <f t="shared" si="14"/>
        <v>0.21194237594822188</v>
      </c>
      <c r="Q100" s="9">
        <f t="shared" si="15"/>
        <v>0.35419923086465699</v>
      </c>
      <c r="R100" s="9">
        <f t="shared" si="16"/>
        <v>0.28649381219016368</v>
      </c>
      <c r="S100" s="9">
        <f t="shared" si="17"/>
        <v>62.563716674815417</v>
      </c>
      <c r="T100" s="9">
        <f t="shared" si="18"/>
        <v>24.857327202761397</v>
      </c>
      <c r="U100" s="9">
        <f t="shared" si="19"/>
        <v>33.600974790039935</v>
      </c>
      <c r="V100" s="9">
        <f t="shared" si="20"/>
        <v>41.541698007198676</v>
      </c>
      <c r="X100" s="2">
        <v>1.9207000000000001</v>
      </c>
      <c r="Y100" s="2">
        <v>2.5964</v>
      </c>
      <c r="Z100" s="2">
        <v>1.12E-2</v>
      </c>
      <c r="AA100" s="2">
        <v>7.8551000000000002</v>
      </c>
      <c r="AC100" s="2">
        <v>0</v>
      </c>
      <c r="AD100" s="2">
        <v>5.79E-2</v>
      </c>
      <c r="AE100" s="2">
        <v>6.9400000000000003E-2</v>
      </c>
      <c r="AF100" s="2">
        <v>5.0799999999999998E-2</v>
      </c>
      <c r="AG100" s="2">
        <v>0.23930000000000001</v>
      </c>
      <c r="AH100" s="2">
        <v>3.2097000000000002</v>
      </c>
      <c r="AI100" s="2">
        <v>16.0105</v>
      </c>
    </row>
    <row r="101" spans="1:35" x14ac:dyDescent="0.25">
      <c r="A101" s="2" t="s">
        <v>385</v>
      </c>
      <c r="B101" s="10">
        <v>349.89729</v>
      </c>
      <c r="C101" s="2">
        <v>14.679</v>
      </c>
      <c r="D101" s="2">
        <v>15.337999999999999</v>
      </c>
      <c r="E101" s="2">
        <v>0.127</v>
      </c>
      <c r="F101" s="2">
        <v>52.311</v>
      </c>
      <c r="H101" s="2">
        <v>5.3999999999999999E-2</v>
      </c>
      <c r="I101" s="2">
        <v>0.41799999999999998</v>
      </c>
      <c r="J101" s="2">
        <v>0.55600000000000005</v>
      </c>
      <c r="K101" s="2">
        <v>0.184</v>
      </c>
      <c r="L101" s="2">
        <v>1.738</v>
      </c>
      <c r="M101" s="2">
        <v>15.074</v>
      </c>
      <c r="N101" s="2">
        <v>100.479</v>
      </c>
      <c r="P101" s="9">
        <f t="shared" si="14"/>
        <v>0.20431484445681677</v>
      </c>
      <c r="Q101" s="9">
        <f t="shared" si="15"/>
        <v>0.37399826324277385</v>
      </c>
      <c r="R101" s="9">
        <f t="shared" si="16"/>
        <v>0.27351189414743748</v>
      </c>
      <c r="S101" s="9">
        <f t="shared" si="17"/>
        <v>64.670549268796833</v>
      </c>
      <c r="T101" s="9">
        <f t="shared" si="18"/>
        <v>23.985542102403318</v>
      </c>
      <c r="U101" s="9">
        <f t="shared" si="19"/>
        <v>32.108930068309391</v>
      </c>
      <c r="V101" s="9">
        <f t="shared" si="20"/>
        <v>43.90552782928728</v>
      </c>
      <c r="X101" s="2">
        <v>1.8386</v>
      </c>
      <c r="Y101" s="2">
        <v>2.4613999999999998</v>
      </c>
      <c r="Z101" s="2">
        <v>1.44E-2</v>
      </c>
      <c r="AA101" s="2">
        <v>7.8343999999999996</v>
      </c>
      <c r="AC101" s="2">
        <v>1.03E-2</v>
      </c>
      <c r="AD101" s="2">
        <v>4.9599999999999998E-2</v>
      </c>
      <c r="AE101" s="2">
        <v>7.0499999999999993E-2</v>
      </c>
      <c r="AF101" s="2">
        <v>5.33E-2</v>
      </c>
      <c r="AG101" s="2">
        <v>0.30680000000000002</v>
      </c>
      <c r="AH101" s="2">
        <v>3.3654000000000002</v>
      </c>
      <c r="AI101" s="2">
        <v>16.0047</v>
      </c>
    </row>
    <row r="102" spans="1:35" x14ac:dyDescent="0.25">
      <c r="A102" s="2" t="s">
        <v>386</v>
      </c>
      <c r="B102" s="10">
        <v>355.54079000000002</v>
      </c>
      <c r="C102" s="2">
        <v>15.823</v>
      </c>
      <c r="D102" s="2">
        <v>16.050999999999998</v>
      </c>
      <c r="E102" s="2">
        <v>0.107</v>
      </c>
      <c r="F102" s="2">
        <v>51.823999999999998</v>
      </c>
      <c r="H102" s="2">
        <v>7.0000000000000001E-3</v>
      </c>
      <c r="I102" s="2">
        <v>0.502</v>
      </c>
      <c r="J102" s="2">
        <v>0.49</v>
      </c>
      <c r="K102" s="2">
        <v>0.214</v>
      </c>
      <c r="L102" s="2">
        <v>1.3380000000000001</v>
      </c>
      <c r="M102" s="2">
        <v>14.144</v>
      </c>
      <c r="N102" s="2">
        <v>100.5</v>
      </c>
      <c r="P102" s="9">
        <f t="shared" si="14"/>
        <v>0.22023801238777926</v>
      </c>
      <c r="Q102" s="9">
        <f t="shared" si="15"/>
        <v>0.35092420295248727</v>
      </c>
      <c r="R102" s="9">
        <f t="shared" si="16"/>
        <v>0.28622632761510747</v>
      </c>
      <c r="S102" s="9">
        <f t="shared" si="17"/>
        <v>61.44037429776867</v>
      </c>
      <c r="T102" s="9">
        <f t="shared" si="18"/>
        <v>25.687072004558193</v>
      </c>
      <c r="U102" s="9">
        <f t="shared" si="19"/>
        <v>33.383502726605151</v>
      </c>
      <c r="V102" s="9">
        <f t="shared" si="20"/>
        <v>40.929425268836653</v>
      </c>
      <c r="X102" s="2">
        <v>1.9984999999999999</v>
      </c>
      <c r="Y102" s="2">
        <v>2.5973999999999999</v>
      </c>
      <c r="Z102" s="2">
        <v>1.21E-2</v>
      </c>
      <c r="AA102" s="2">
        <v>7.8269000000000002</v>
      </c>
      <c r="AC102" s="2">
        <v>1.2999999999999999E-3</v>
      </c>
      <c r="AD102" s="2">
        <v>5.9900000000000002E-2</v>
      </c>
      <c r="AE102" s="2">
        <v>6.2700000000000006E-2</v>
      </c>
      <c r="AF102" s="2">
        <v>6.25E-2</v>
      </c>
      <c r="AG102" s="2">
        <v>0.23810000000000001</v>
      </c>
      <c r="AH102" s="2">
        <v>3.1842999999999999</v>
      </c>
      <c r="AI102" s="2">
        <v>16.043700000000001</v>
      </c>
    </row>
    <row r="103" spans="1:35" x14ac:dyDescent="0.25">
      <c r="A103" s="2" t="s">
        <v>387</v>
      </c>
      <c r="B103" s="10">
        <v>361.18430000000001</v>
      </c>
      <c r="C103" s="2">
        <v>15.590999999999999</v>
      </c>
      <c r="D103" s="2">
        <v>16.074999999999999</v>
      </c>
      <c r="E103" s="2">
        <v>8.2000000000000003E-2</v>
      </c>
      <c r="F103" s="2">
        <v>52.179000000000002</v>
      </c>
      <c r="H103" s="2">
        <v>0</v>
      </c>
      <c r="I103" s="2">
        <v>0.40699999999999997</v>
      </c>
      <c r="J103" s="2">
        <v>0.502</v>
      </c>
      <c r="K103" s="2">
        <v>0.192</v>
      </c>
      <c r="L103" s="2">
        <v>1.466</v>
      </c>
      <c r="M103" s="2">
        <v>14.118</v>
      </c>
      <c r="N103" s="2">
        <v>100.61199999999999</v>
      </c>
      <c r="P103" s="9">
        <f t="shared" si="14"/>
        <v>0.21700883847170993</v>
      </c>
      <c r="Q103" s="9">
        <f t="shared" si="15"/>
        <v>0.35027912169705994</v>
      </c>
      <c r="R103" s="9">
        <f t="shared" si="16"/>
        <v>0.28665430293519739</v>
      </c>
      <c r="S103" s="9">
        <f t="shared" si="17"/>
        <v>61.746264030149845</v>
      </c>
      <c r="T103" s="9">
        <f t="shared" si="18"/>
        <v>25.412589099749145</v>
      </c>
      <c r="U103" s="9">
        <f t="shared" si="19"/>
        <v>33.568347102677279</v>
      </c>
      <c r="V103" s="9">
        <f t="shared" si="20"/>
        <v>41.01906379757358</v>
      </c>
      <c r="X103" s="2">
        <v>1.9622999999999999</v>
      </c>
      <c r="Y103" s="2">
        <v>2.5920999999999998</v>
      </c>
      <c r="Z103" s="2">
        <v>9.2999999999999992E-3</v>
      </c>
      <c r="AA103" s="2">
        <v>7.8525999999999998</v>
      </c>
      <c r="AC103" s="2">
        <v>0</v>
      </c>
      <c r="AD103" s="2">
        <v>4.8399999999999999E-2</v>
      </c>
      <c r="AE103" s="2">
        <v>6.4000000000000001E-2</v>
      </c>
      <c r="AF103" s="2">
        <v>5.6099999999999997E-2</v>
      </c>
      <c r="AG103" s="2">
        <v>0.26</v>
      </c>
      <c r="AH103" s="2">
        <v>3.1671</v>
      </c>
      <c r="AI103" s="2">
        <v>16.011900000000001</v>
      </c>
    </row>
    <row r="104" spans="1:35" x14ac:dyDescent="0.25">
      <c r="A104" s="2" t="s">
        <v>388</v>
      </c>
      <c r="B104" s="10">
        <v>366.82780000000002</v>
      </c>
      <c r="C104" s="2">
        <v>16.082999999999998</v>
      </c>
      <c r="D104" s="2">
        <v>15.853</v>
      </c>
      <c r="E104" s="2">
        <v>0.18</v>
      </c>
      <c r="F104" s="2">
        <v>51.350999999999999</v>
      </c>
      <c r="H104" s="2">
        <v>6.0000000000000001E-3</v>
      </c>
      <c r="I104" s="2">
        <v>0.38</v>
      </c>
      <c r="J104" s="2">
        <v>0.55100000000000005</v>
      </c>
      <c r="K104" s="2">
        <v>0.159</v>
      </c>
      <c r="L104" s="2">
        <v>1.389</v>
      </c>
      <c r="M104" s="2">
        <v>13.84</v>
      </c>
      <c r="N104" s="2">
        <v>99.792000000000002</v>
      </c>
      <c r="P104" s="9">
        <f t="shared" si="14"/>
        <v>0.22385691419027071</v>
      </c>
      <c r="Q104" s="9">
        <f t="shared" si="15"/>
        <v>0.34338171442749038</v>
      </c>
      <c r="R104" s="9">
        <f t="shared" si="16"/>
        <v>0.28269553122436603</v>
      </c>
      <c r="S104" s="9">
        <f t="shared" si="17"/>
        <v>60.535671779659651</v>
      </c>
      <c r="T104" s="9">
        <f t="shared" si="18"/>
        <v>26.338147678621542</v>
      </c>
      <c r="U104" s="9">
        <f t="shared" si="19"/>
        <v>33.260874145460392</v>
      </c>
      <c r="V104" s="9">
        <f t="shared" si="20"/>
        <v>40.40097817591807</v>
      </c>
      <c r="X104" s="2">
        <v>2.0487000000000002</v>
      </c>
      <c r="Y104" s="2">
        <v>2.5872000000000002</v>
      </c>
      <c r="Z104" s="2">
        <v>2.07E-2</v>
      </c>
      <c r="AA104" s="2">
        <v>7.8212999999999999</v>
      </c>
      <c r="AC104" s="2">
        <v>1.2999999999999999E-3</v>
      </c>
      <c r="AD104" s="2">
        <v>4.58E-2</v>
      </c>
      <c r="AE104" s="2">
        <v>7.0999999999999994E-2</v>
      </c>
      <c r="AF104" s="2">
        <v>4.7100000000000003E-2</v>
      </c>
      <c r="AG104" s="2">
        <v>0.24929999999999999</v>
      </c>
      <c r="AH104" s="2">
        <v>3.1423999999999999</v>
      </c>
      <c r="AI104" s="2">
        <v>16.034800000000001</v>
      </c>
    </row>
    <row r="105" spans="1:35" x14ac:dyDescent="0.25">
      <c r="A105" s="2" t="s">
        <v>389</v>
      </c>
      <c r="B105" s="10">
        <v>372.47131000000002</v>
      </c>
      <c r="C105" s="2">
        <v>16.516999999999999</v>
      </c>
      <c r="D105" s="2">
        <v>16.007000000000001</v>
      </c>
      <c r="E105" s="2">
        <v>0.14799999999999999</v>
      </c>
      <c r="F105" s="2">
        <v>51.734999999999999</v>
      </c>
      <c r="H105" s="2">
        <v>1.0999999999999999E-2</v>
      </c>
      <c r="I105" s="2">
        <v>0.39400000000000002</v>
      </c>
      <c r="J105" s="2">
        <v>0.53300000000000003</v>
      </c>
      <c r="K105" s="2">
        <v>0.153</v>
      </c>
      <c r="L105" s="2">
        <v>1.4390000000000001</v>
      </c>
      <c r="M105" s="2">
        <v>13.813000000000001</v>
      </c>
      <c r="N105" s="2">
        <v>100.75</v>
      </c>
      <c r="P105" s="9">
        <f t="shared" ref="P105:P116" si="21">C105/(55.845+16)</f>
        <v>0.22989769642981417</v>
      </c>
      <c r="Q105" s="9">
        <f t="shared" ref="Q105:Q116" si="22">M105/(24.305+16)</f>
        <v>0.34271182235454661</v>
      </c>
      <c r="R105" s="9">
        <f t="shared" ref="R105:R116" si="23">D105/(40.078+16)</f>
        <v>0.28544170619494275</v>
      </c>
      <c r="S105" s="9">
        <f t="shared" si="17"/>
        <v>59.850877624618846</v>
      </c>
      <c r="T105" s="9">
        <f t="shared" si="18"/>
        <v>26.79300369687828</v>
      </c>
      <c r="U105" s="9">
        <f t="shared" si="19"/>
        <v>33.266278036235853</v>
      </c>
      <c r="V105" s="9">
        <f t="shared" si="20"/>
        <v>39.940718266885867</v>
      </c>
      <c r="X105" s="2">
        <v>2.0868000000000002</v>
      </c>
      <c r="Y105" s="2">
        <v>2.5911</v>
      </c>
      <c r="Z105" s="2">
        <v>1.6799999999999999E-2</v>
      </c>
      <c r="AA105" s="2">
        <v>7.8155999999999999</v>
      </c>
      <c r="AC105" s="2">
        <v>2.0999999999999999E-3</v>
      </c>
      <c r="AD105" s="2">
        <v>4.7100000000000003E-2</v>
      </c>
      <c r="AE105" s="2">
        <v>6.83E-2</v>
      </c>
      <c r="AF105" s="2">
        <v>4.4699999999999997E-2</v>
      </c>
      <c r="AG105" s="2">
        <v>0.25629999999999997</v>
      </c>
      <c r="AH105" s="2">
        <v>3.1107999999999998</v>
      </c>
      <c r="AI105" s="2">
        <v>16.0396</v>
      </c>
    </row>
    <row r="106" spans="1:35" x14ac:dyDescent="0.25">
      <c r="A106" s="2" t="s">
        <v>390</v>
      </c>
      <c r="B106" s="10">
        <v>378.11480999999998</v>
      </c>
      <c r="C106" s="2">
        <v>17.544</v>
      </c>
      <c r="D106" s="2">
        <v>15.601000000000001</v>
      </c>
      <c r="E106" s="2">
        <v>0.184</v>
      </c>
      <c r="F106" s="2">
        <v>51.496000000000002</v>
      </c>
      <c r="H106" s="2">
        <v>4.0000000000000001E-3</v>
      </c>
      <c r="I106" s="2">
        <v>0.27600000000000002</v>
      </c>
      <c r="J106" s="2">
        <v>0.56799999999999995</v>
      </c>
      <c r="K106" s="2">
        <v>0.109</v>
      </c>
      <c r="L106" s="2">
        <v>1.45</v>
      </c>
      <c r="M106" s="2">
        <v>13.351000000000001</v>
      </c>
      <c r="N106" s="2">
        <v>100.583</v>
      </c>
      <c r="P106" s="9">
        <f t="shared" si="21"/>
        <v>0.24419235854965551</v>
      </c>
      <c r="Q106" s="9">
        <f t="shared" si="22"/>
        <v>0.33124922466195261</v>
      </c>
      <c r="R106" s="9">
        <f t="shared" si="23"/>
        <v>0.27820179036342235</v>
      </c>
      <c r="S106" s="9">
        <f t="shared" si="17"/>
        <v>57.564353068336004</v>
      </c>
      <c r="T106" s="9">
        <f t="shared" si="18"/>
        <v>28.605898681903419</v>
      </c>
      <c r="U106" s="9">
        <f t="shared" si="19"/>
        <v>32.589931460291474</v>
      </c>
      <c r="V106" s="9">
        <f t="shared" si="20"/>
        <v>38.804169857805107</v>
      </c>
      <c r="X106" s="2">
        <v>2.2282000000000002</v>
      </c>
      <c r="Y106" s="2">
        <v>2.5386000000000002</v>
      </c>
      <c r="Z106" s="2">
        <v>2.1000000000000001E-2</v>
      </c>
      <c r="AA106" s="2">
        <v>7.8201000000000001</v>
      </c>
      <c r="AC106" s="2">
        <v>8.9999999999999998E-4</v>
      </c>
      <c r="AD106" s="2">
        <v>3.3099999999999997E-2</v>
      </c>
      <c r="AE106" s="2">
        <v>7.3099999999999998E-2</v>
      </c>
      <c r="AF106" s="2">
        <v>3.2000000000000001E-2</v>
      </c>
      <c r="AG106" s="2">
        <v>0.2596</v>
      </c>
      <c r="AH106" s="2">
        <v>3.0223</v>
      </c>
      <c r="AI106" s="2">
        <v>16.0289</v>
      </c>
    </row>
    <row r="107" spans="1:35" s="32" customFormat="1" x14ac:dyDescent="0.25">
      <c r="A107" s="2" t="s">
        <v>391</v>
      </c>
      <c r="B107" s="40">
        <v>383.75832000000003</v>
      </c>
      <c r="C107" s="32">
        <v>18.218</v>
      </c>
      <c r="D107" s="32">
        <v>15.096</v>
      </c>
      <c r="E107" s="32">
        <v>0.19600000000000001</v>
      </c>
      <c r="F107" s="32">
        <v>51.417000000000002</v>
      </c>
      <c r="H107" s="32">
        <v>5.0000000000000001E-3</v>
      </c>
      <c r="I107" s="32">
        <v>0.24399999999999999</v>
      </c>
      <c r="J107" s="32">
        <v>0.58699999999999997</v>
      </c>
      <c r="K107" s="32">
        <v>0.16</v>
      </c>
      <c r="L107" s="32">
        <v>1.194</v>
      </c>
      <c r="M107" s="32">
        <v>13.284000000000001</v>
      </c>
      <c r="N107" s="32">
        <v>100.401</v>
      </c>
      <c r="P107" s="34">
        <f t="shared" si="21"/>
        <v>0.25357366552996036</v>
      </c>
      <c r="Q107" s="34">
        <f t="shared" si="22"/>
        <v>0.32958689988835133</v>
      </c>
      <c r="R107" s="34">
        <f t="shared" si="23"/>
        <v>0.26919647633653127</v>
      </c>
      <c r="S107" s="34">
        <f t="shared" si="17"/>
        <v>56.517350354774528</v>
      </c>
      <c r="T107" s="34">
        <f t="shared" si="18"/>
        <v>29.749700314307237</v>
      </c>
      <c r="U107" s="34">
        <f t="shared" si="19"/>
        <v>31.582595455808793</v>
      </c>
      <c r="V107" s="34">
        <f t="shared" si="20"/>
        <v>38.667704229883974</v>
      </c>
      <c r="X107" s="32">
        <v>2.3231999999999999</v>
      </c>
      <c r="Y107" s="32">
        <v>2.4664999999999999</v>
      </c>
      <c r="Z107" s="32">
        <v>2.2499999999999999E-2</v>
      </c>
      <c r="AA107" s="32">
        <v>7.84</v>
      </c>
      <c r="AC107" s="32">
        <v>8.9999999999999998E-4</v>
      </c>
      <c r="AD107" s="32">
        <v>2.9399999999999999E-2</v>
      </c>
      <c r="AE107" s="32">
        <v>7.5800000000000006E-2</v>
      </c>
      <c r="AF107" s="32">
        <v>4.7300000000000002E-2</v>
      </c>
      <c r="AG107" s="32">
        <v>0.21460000000000001</v>
      </c>
      <c r="AH107" s="32">
        <v>3.0194000000000001</v>
      </c>
      <c r="AI107" s="32">
        <v>16.0396</v>
      </c>
    </row>
    <row r="108" spans="1:35" x14ac:dyDescent="0.25">
      <c r="A108" s="2" t="s">
        <v>392</v>
      </c>
      <c r="B108" s="10">
        <v>389.40181999999999</v>
      </c>
      <c r="C108" s="2">
        <v>20.655000000000001</v>
      </c>
      <c r="D108" s="2">
        <v>14.154999999999999</v>
      </c>
      <c r="E108" s="2">
        <v>4.9000000000000002E-2</v>
      </c>
      <c r="F108" s="2">
        <v>50.957000000000001</v>
      </c>
      <c r="H108" s="2">
        <v>0</v>
      </c>
      <c r="I108" s="2">
        <v>0.21299999999999999</v>
      </c>
      <c r="J108" s="2">
        <v>0.63700000000000001</v>
      </c>
      <c r="K108" s="2">
        <v>0.13100000000000001</v>
      </c>
      <c r="L108" s="2">
        <v>1.115</v>
      </c>
      <c r="M108" s="2">
        <v>12.840999999999999</v>
      </c>
      <c r="N108" s="2">
        <v>100.753</v>
      </c>
      <c r="P108" s="9">
        <f t="shared" si="21"/>
        <v>0.2874939105017747</v>
      </c>
      <c r="Q108" s="9">
        <f t="shared" si="22"/>
        <v>0.31859570772856965</v>
      </c>
      <c r="R108" s="9">
        <f t="shared" si="23"/>
        <v>0.25241627732800742</v>
      </c>
      <c r="S108" s="9">
        <f t="shared" si="17"/>
        <v>52.565775447334481</v>
      </c>
      <c r="T108" s="9">
        <f t="shared" si="18"/>
        <v>33.487703694194842</v>
      </c>
      <c r="U108" s="9">
        <f t="shared" si="19"/>
        <v>29.401810591392842</v>
      </c>
      <c r="V108" s="9">
        <f t="shared" si="20"/>
        <v>37.11048571441232</v>
      </c>
      <c r="X108" s="2">
        <v>2.6497000000000002</v>
      </c>
      <c r="Y108" s="2">
        <v>2.3264999999999998</v>
      </c>
      <c r="Z108" s="2">
        <v>5.5999999999999999E-3</v>
      </c>
      <c r="AA108" s="2">
        <v>7.8164999999999996</v>
      </c>
      <c r="AC108" s="2">
        <v>0</v>
      </c>
      <c r="AD108" s="2">
        <v>2.5899999999999999E-2</v>
      </c>
      <c r="AE108" s="2">
        <v>8.2699999999999996E-2</v>
      </c>
      <c r="AF108" s="2">
        <v>3.8899999999999997E-2</v>
      </c>
      <c r="AG108" s="2">
        <v>0.20169999999999999</v>
      </c>
      <c r="AH108" s="2">
        <v>2.9361999999999999</v>
      </c>
      <c r="AI108" s="2">
        <v>16.0837</v>
      </c>
    </row>
    <row r="109" spans="1:35" x14ac:dyDescent="0.25">
      <c r="A109" s="2" t="s">
        <v>393</v>
      </c>
      <c r="B109" s="10">
        <v>395.04532999999998</v>
      </c>
      <c r="C109" s="2">
        <v>21.327999999999999</v>
      </c>
      <c r="D109" s="2">
        <v>13.66</v>
      </c>
      <c r="E109" s="2">
        <v>0.158</v>
      </c>
      <c r="F109" s="2">
        <v>50.704000000000001</v>
      </c>
      <c r="H109" s="2">
        <v>0</v>
      </c>
      <c r="I109" s="2">
        <v>0.21</v>
      </c>
      <c r="J109" s="2">
        <v>0.64800000000000002</v>
      </c>
      <c r="K109" s="2">
        <v>0.14000000000000001</v>
      </c>
      <c r="L109" s="2">
        <v>1.05</v>
      </c>
      <c r="M109" s="2">
        <v>12.099</v>
      </c>
      <c r="N109" s="2">
        <v>99.997</v>
      </c>
      <c r="P109" s="9">
        <f t="shared" si="21"/>
        <v>0.29686129862899296</v>
      </c>
      <c r="Q109" s="9">
        <f t="shared" si="22"/>
        <v>0.30018608113137329</v>
      </c>
      <c r="R109" s="9">
        <f t="shared" si="23"/>
        <v>0.24358928635115373</v>
      </c>
      <c r="S109" s="9">
        <f t="shared" si="17"/>
        <v>50.278435398520195</v>
      </c>
      <c r="T109" s="9">
        <f t="shared" si="18"/>
        <v>35.313865144874725</v>
      </c>
      <c r="U109" s="9">
        <f t="shared" si="19"/>
        <v>28.976762038932868</v>
      </c>
      <c r="V109" s="9">
        <f t="shared" si="20"/>
        <v>35.709372816192413</v>
      </c>
      <c r="X109" s="2">
        <v>2.7627999999999999</v>
      </c>
      <c r="Y109" s="2">
        <v>2.2671000000000001</v>
      </c>
      <c r="Z109" s="2">
        <v>1.84E-2</v>
      </c>
      <c r="AA109" s="2">
        <v>7.8536999999999999</v>
      </c>
      <c r="AC109" s="2">
        <v>0</v>
      </c>
      <c r="AD109" s="2">
        <v>2.5700000000000001E-2</v>
      </c>
      <c r="AE109" s="2">
        <v>8.5099999999999995E-2</v>
      </c>
      <c r="AF109" s="2">
        <v>4.2099999999999999E-2</v>
      </c>
      <c r="AG109" s="2">
        <v>0.19170000000000001</v>
      </c>
      <c r="AH109" s="2">
        <v>2.7934999999999999</v>
      </c>
      <c r="AI109" s="2">
        <v>16.040099999999999</v>
      </c>
    </row>
    <row r="110" spans="1:35" x14ac:dyDescent="0.25">
      <c r="A110" s="2" t="s">
        <v>394</v>
      </c>
      <c r="B110" s="10">
        <v>400.68883</v>
      </c>
      <c r="C110" s="2">
        <v>21.36</v>
      </c>
      <c r="D110" s="2">
        <v>14.016999999999999</v>
      </c>
      <c r="E110" s="2">
        <v>0.10100000000000001</v>
      </c>
      <c r="F110" s="2">
        <v>50.92</v>
      </c>
      <c r="H110" s="2">
        <v>3.0000000000000001E-3</v>
      </c>
      <c r="I110" s="2">
        <v>0.217</v>
      </c>
      <c r="J110" s="2">
        <v>0.65100000000000002</v>
      </c>
      <c r="K110" s="2">
        <v>0.14000000000000001</v>
      </c>
      <c r="L110" s="2">
        <v>1.137</v>
      </c>
      <c r="M110" s="2">
        <v>11.989000000000001</v>
      </c>
      <c r="N110" s="2">
        <v>100.535</v>
      </c>
      <c r="P110" s="9">
        <f t="shared" si="21"/>
        <v>0.29730670192776115</v>
      </c>
      <c r="Q110" s="9">
        <f t="shared" si="22"/>
        <v>0.2974568912045652</v>
      </c>
      <c r="R110" s="9">
        <f t="shared" si="23"/>
        <v>0.24995541923749062</v>
      </c>
      <c r="S110" s="9">
        <f t="shared" si="17"/>
        <v>50.012625964209846</v>
      </c>
      <c r="T110" s="9">
        <f t="shared" si="18"/>
        <v>35.195928773247573</v>
      </c>
      <c r="U110" s="9">
        <f t="shared" si="19"/>
        <v>29.590362662283781</v>
      </c>
      <c r="V110" s="9">
        <f t="shared" si="20"/>
        <v>35.213708564468647</v>
      </c>
      <c r="X110" s="2">
        <v>2.7534999999999998</v>
      </c>
      <c r="Y110" s="2">
        <v>2.3151000000000002</v>
      </c>
      <c r="Z110" s="2">
        <v>1.18E-2</v>
      </c>
      <c r="AA110" s="2">
        <v>7.8487</v>
      </c>
      <c r="AC110" s="2">
        <v>6.9999999999999999E-4</v>
      </c>
      <c r="AD110" s="2">
        <v>2.64E-2</v>
      </c>
      <c r="AE110" s="2">
        <v>8.4900000000000003E-2</v>
      </c>
      <c r="AF110" s="2">
        <v>4.19E-2</v>
      </c>
      <c r="AG110" s="2">
        <v>0.20660000000000001</v>
      </c>
      <c r="AH110" s="2">
        <v>2.7547999999999999</v>
      </c>
      <c r="AI110" s="2">
        <v>16.0444</v>
      </c>
    </row>
    <row r="111" spans="1:35" x14ac:dyDescent="0.25">
      <c r="A111" s="2" t="s">
        <v>395</v>
      </c>
      <c r="B111" s="10">
        <v>406.33233000000001</v>
      </c>
      <c r="C111" s="2">
        <v>21.356000000000002</v>
      </c>
      <c r="D111" s="2">
        <v>13.906000000000001</v>
      </c>
      <c r="E111" s="2">
        <v>0.16200000000000001</v>
      </c>
      <c r="F111" s="2">
        <v>50.634999999999998</v>
      </c>
      <c r="H111" s="2">
        <v>0</v>
      </c>
      <c r="I111" s="2">
        <v>0.24399999999999999</v>
      </c>
      <c r="J111" s="2">
        <v>0.61799999999999999</v>
      </c>
      <c r="K111" s="2">
        <v>0.16</v>
      </c>
      <c r="L111" s="2">
        <v>1.0649999999999999</v>
      </c>
      <c r="M111" s="2">
        <v>11.696999999999999</v>
      </c>
      <c r="N111" s="2">
        <v>99.843000000000004</v>
      </c>
      <c r="P111" s="9">
        <f t="shared" si="21"/>
        <v>0.29725102651541518</v>
      </c>
      <c r="Q111" s="9">
        <f t="shared" si="22"/>
        <v>0.29021213248976552</v>
      </c>
      <c r="R111" s="9">
        <f t="shared" si="23"/>
        <v>0.24797603338207497</v>
      </c>
      <c r="S111" s="9">
        <f t="shared" si="17"/>
        <v>49.400907621375836</v>
      </c>
      <c r="T111" s="9">
        <f t="shared" si="18"/>
        <v>35.580210890756106</v>
      </c>
      <c r="U111" s="9">
        <f t="shared" si="19"/>
        <v>29.682116381622812</v>
      </c>
      <c r="V111" s="9">
        <f t="shared" si="20"/>
        <v>34.737672727621081</v>
      </c>
      <c r="X111" s="2">
        <v>2.7732999999999999</v>
      </c>
      <c r="Y111" s="2">
        <v>2.3136999999999999</v>
      </c>
      <c r="Z111" s="2">
        <v>1.89E-2</v>
      </c>
      <c r="AA111" s="2">
        <v>7.8624999999999998</v>
      </c>
      <c r="AC111" s="2">
        <v>0</v>
      </c>
      <c r="AD111" s="2">
        <v>0.03</v>
      </c>
      <c r="AE111" s="2">
        <v>8.1299999999999997E-2</v>
      </c>
      <c r="AF111" s="2">
        <v>4.8300000000000003E-2</v>
      </c>
      <c r="AG111" s="2">
        <v>0.1948</v>
      </c>
      <c r="AH111" s="2">
        <v>2.7075</v>
      </c>
      <c r="AI111" s="2">
        <v>16.0303</v>
      </c>
    </row>
    <row r="112" spans="1:35" x14ac:dyDescent="0.25">
      <c r="A112" s="2" t="s">
        <v>396</v>
      </c>
      <c r="B112" s="10">
        <v>411.97584000000001</v>
      </c>
      <c r="C112" s="2">
        <v>21.277999999999999</v>
      </c>
      <c r="D112" s="2">
        <v>14.026999999999999</v>
      </c>
      <c r="E112" s="2">
        <v>0.20300000000000001</v>
      </c>
      <c r="F112" s="2">
        <v>50.572000000000003</v>
      </c>
      <c r="H112" s="2">
        <v>2.1999999999999999E-2</v>
      </c>
      <c r="I112" s="2">
        <v>0.25700000000000001</v>
      </c>
      <c r="J112" s="2">
        <v>0.59499999999999997</v>
      </c>
      <c r="K112" s="2">
        <v>0.19900000000000001</v>
      </c>
      <c r="L112" s="2">
        <v>1.18</v>
      </c>
      <c r="M112" s="2">
        <v>11.662000000000001</v>
      </c>
      <c r="N112" s="2">
        <v>99.995000000000005</v>
      </c>
      <c r="P112" s="9">
        <f t="shared" si="21"/>
        <v>0.2961653559746677</v>
      </c>
      <c r="Q112" s="9">
        <f t="shared" si="22"/>
        <v>0.28934375387669026</v>
      </c>
      <c r="R112" s="9">
        <f t="shared" si="23"/>
        <v>0.25013374228752805</v>
      </c>
      <c r="S112" s="9">
        <f t="shared" si="17"/>
        <v>49.417464051096552</v>
      </c>
      <c r="T112" s="9">
        <f t="shared" si="18"/>
        <v>35.441619014225019</v>
      </c>
      <c r="U112" s="9">
        <f t="shared" si="19"/>
        <v>29.93309182832035</v>
      </c>
      <c r="V112" s="9">
        <f t="shared" si="20"/>
        <v>34.625289157454617</v>
      </c>
      <c r="X112" s="2">
        <v>2.7597</v>
      </c>
      <c r="Y112" s="2">
        <v>2.3308</v>
      </c>
      <c r="Z112" s="2">
        <v>2.3599999999999999E-2</v>
      </c>
      <c r="AA112" s="2">
        <v>7.8426</v>
      </c>
      <c r="AC112" s="2">
        <v>4.4000000000000003E-3</v>
      </c>
      <c r="AD112" s="2">
        <v>3.15E-2</v>
      </c>
      <c r="AE112" s="2">
        <v>7.8200000000000006E-2</v>
      </c>
      <c r="AF112" s="2">
        <v>5.9900000000000002E-2</v>
      </c>
      <c r="AG112" s="2">
        <v>0.21579999999999999</v>
      </c>
      <c r="AH112" s="2">
        <v>2.6959</v>
      </c>
      <c r="AI112" s="2">
        <v>16.042400000000001</v>
      </c>
    </row>
    <row r="113" spans="1:35" x14ac:dyDescent="0.25">
      <c r="A113" s="2" t="s">
        <v>397</v>
      </c>
      <c r="B113" s="10">
        <v>417.61934000000002</v>
      </c>
      <c r="C113" s="2">
        <v>21.748999999999999</v>
      </c>
      <c r="D113" s="2">
        <v>14.425000000000001</v>
      </c>
      <c r="E113" s="2">
        <v>0.109</v>
      </c>
      <c r="F113" s="2">
        <v>50.145000000000003</v>
      </c>
      <c r="H113" s="2">
        <v>0</v>
      </c>
      <c r="I113" s="2">
        <v>0.25</v>
      </c>
      <c r="J113" s="2">
        <v>0.61699999999999999</v>
      </c>
      <c r="K113" s="2">
        <v>0.183</v>
      </c>
      <c r="L113" s="2">
        <v>1.163</v>
      </c>
      <c r="M113" s="2">
        <v>11.109</v>
      </c>
      <c r="N113" s="2">
        <v>99.75</v>
      </c>
      <c r="P113" s="9">
        <f t="shared" si="21"/>
        <v>0.30272113577841187</v>
      </c>
      <c r="Q113" s="9">
        <f t="shared" si="22"/>
        <v>0.27562337179010049</v>
      </c>
      <c r="R113" s="9">
        <f t="shared" si="23"/>
        <v>0.25723099967901852</v>
      </c>
      <c r="S113" s="9">
        <f t="shared" si="17"/>
        <v>47.657299098228123</v>
      </c>
      <c r="T113" s="9">
        <f t="shared" si="18"/>
        <v>36.229058074668266</v>
      </c>
      <c r="U113" s="9">
        <f t="shared" si="19"/>
        <v>30.784889869063196</v>
      </c>
      <c r="V113" s="9">
        <f t="shared" si="20"/>
        <v>32.986052056268548</v>
      </c>
      <c r="X113" s="2">
        <v>2.84</v>
      </c>
      <c r="Y113" s="2">
        <v>2.4133</v>
      </c>
      <c r="Z113" s="2">
        <v>1.29E-2</v>
      </c>
      <c r="AA113" s="2">
        <v>7.8293999999999997</v>
      </c>
      <c r="AC113" s="2">
        <v>0</v>
      </c>
      <c r="AD113" s="2">
        <v>3.09E-2</v>
      </c>
      <c r="AE113" s="2">
        <v>8.1600000000000006E-2</v>
      </c>
      <c r="AF113" s="2">
        <v>5.5399999999999998E-2</v>
      </c>
      <c r="AG113" s="2">
        <v>0.21410000000000001</v>
      </c>
      <c r="AH113" s="2">
        <v>2.5855000000000001</v>
      </c>
      <c r="AI113" s="2">
        <v>16.063099999999999</v>
      </c>
    </row>
    <row r="114" spans="1:35" x14ac:dyDescent="0.25">
      <c r="A114" s="2" t="s">
        <v>398</v>
      </c>
      <c r="B114" s="10">
        <v>423.26285000000001</v>
      </c>
      <c r="C114" s="2">
        <v>22.890999999999998</v>
      </c>
      <c r="D114" s="2">
        <v>14.353999999999999</v>
      </c>
      <c r="E114" s="2">
        <v>0.16600000000000001</v>
      </c>
      <c r="F114" s="2">
        <v>50.74</v>
      </c>
      <c r="H114" s="2">
        <v>0</v>
      </c>
      <c r="I114" s="2">
        <v>0.23300000000000001</v>
      </c>
      <c r="J114" s="2">
        <v>0.67</v>
      </c>
      <c r="K114" s="2">
        <v>0.18</v>
      </c>
      <c r="L114" s="2">
        <v>1.004</v>
      </c>
      <c r="M114" s="2">
        <v>10.773999999999999</v>
      </c>
      <c r="N114" s="2">
        <v>101.012</v>
      </c>
      <c r="P114" s="9">
        <f t="shared" si="21"/>
        <v>0.31861646600320132</v>
      </c>
      <c r="Q114" s="9">
        <f t="shared" si="22"/>
        <v>0.267311747922094</v>
      </c>
      <c r="R114" s="9">
        <f t="shared" si="23"/>
        <v>0.2559649060237526</v>
      </c>
      <c r="S114" s="9">
        <f t="shared" si="17"/>
        <v>45.621928005702031</v>
      </c>
      <c r="T114" s="9">
        <f t="shared" si="18"/>
        <v>37.8452393128577</v>
      </c>
      <c r="U114" s="9">
        <f t="shared" si="19"/>
        <v>30.403491839824493</v>
      </c>
      <c r="V114" s="9">
        <f t="shared" si="20"/>
        <v>31.751268847317814</v>
      </c>
      <c r="X114" s="2">
        <v>2.9622000000000002</v>
      </c>
      <c r="Y114" s="2">
        <v>2.3797999999999999</v>
      </c>
      <c r="Z114" s="2">
        <v>1.9300000000000001E-2</v>
      </c>
      <c r="AA114" s="2">
        <v>7.851</v>
      </c>
      <c r="AC114" s="2">
        <v>0</v>
      </c>
      <c r="AD114" s="2">
        <v>2.8500000000000001E-2</v>
      </c>
      <c r="AE114" s="2">
        <v>8.7900000000000006E-2</v>
      </c>
      <c r="AF114" s="2">
        <v>5.3900000000000003E-2</v>
      </c>
      <c r="AG114" s="2">
        <v>0.1832</v>
      </c>
      <c r="AH114" s="2">
        <v>2.4851000000000001</v>
      </c>
      <c r="AI114" s="2">
        <v>16.050899999999999</v>
      </c>
    </row>
    <row r="115" spans="1:35" x14ac:dyDescent="0.25">
      <c r="A115" s="2" t="s">
        <v>399</v>
      </c>
      <c r="B115" s="10">
        <v>428.90634999999997</v>
      </c>
      <c r="C115" s="2">
        <v>23.625</v>
      </c>
      <c r="D115" s="2">
        <v>14.048</v>
      </c>
      <c r="E115" s="2">
        <v>0.23799999999999999</v>
      </c>
      <c r="F115" s="2">
        <v>50.197000000000003</v>
      </c>
      <c r="H115" s="2">
        <v>0</v>
      </c>
      <c r="I115" s="2">
        <v>0.19900000000000001</v>
      </c>
      <c r="J115" s="2">
        <v>0.65600000000000003</v>
      </c>
      <c r="K115" s="2">
        <v>0.19400000000000001</v>
      </c>
      <c r="L115" s="2">
        <v>0.997</v>
      </c>
      <c r="M115" s="2">
        <v>10.406000000000001</v>
      </c>
      <c r="N115" s="2">
        <v>100.56</v>
      </c>
      <c r="P115" s="9">
        <f t="shared" si="21"/>
        <v>0.32883290416869648</v>
      </c>
      <c r="Q115" s="9">
        <f t="shared" si="22"/>
        <v>0.25818136707604517</v>
      </c>
      <c r="R115" s="9">
        <f t="shared" si="23"/>
        <v>0.2505082206926067</v>
      </c>
      <c r="S115" s="9">
        <f t="shared" si="17"/>
        <v>43.98212781583338</v>
      </c>
      <c r="T115" s="9">
        <f t="shared" si="18"/>
        <v>39.262575911011496</v>
      </c>
      <c r="U115" s="9">
        <f t="shared" si="19"/>
        <v>29.910626055323448</v>
      </c>
      <c r="V115" s="9">
        <f t="shared" si="20"/>
        <v>30.826798033665064</v>
      </c>
      <c r="X115" s="2">
        <v>3.0828000000000002</v>
      </c>
      <c r="Y115" s="2">
        <v>2.3487</v>
      </c>
      <c r="Z115" s="2">
        <v>2.8000000000000001E-2</v>
      </c>
      <c r="AA115" s="2">
        <v>7.8323</v>
      </c>
      <c r="AC115" s="2">
        <v>0</v>
      </c>
      <c r="AD115" s="2">
        <v>2.4500000000000001E-2</v>
      </c>
      <c r="AE115" s="2">
        <v>8.6699999999999999E-2</v>
      </c>
      <c r="AF115" s="2">
        <v>5.8599999999999999E-2</v>
      </c>
      <c r="AG115" s="2">
        <v>0.18329999999999999</v>
      </c>
      <c r="AH115" s="2">
        <v>2.4203000000000001</v>
      </c>
      <c r="AI115" s="2">
        <v>16.065200000000001</v>
      </c>
    </row>
    <row r="116" spans="1:35" x14ac:dyDescent="0.25">
      <c r="A116" s="2" t="s">
        <v>400</v>
      </c>
      <c r="B116" s="10">
        <v>434.54986000000002</v>
      </c>
      <c r="C116" s="2">
        <v>24.137</v>
      </c>
      <c r="D116" s="2">
        <v>14.073</v>
      </c>
      <c r="E116" s="2">
        <v>0.14099999999999999</v>
      </c>
      <c r="F116" s="2">
        <v>50.048999999999999</v>
      </c>
      <c r="H116" s="2">
        <v>0</v>
      </c>
      <c r="I116" s="2">
        <v>0.186</v>
      </c>
      <c r="J116" s="2">
        <v>0.68600000000000005</v>
      </c>
      <c r="K116" s="2">
        <v>0.189</v>
      </c>
      <c r="L116" s="2">
        <v>0.95399999999999996</v>
      </c>
      <c r="M116" s="2">
        <v>9.8940000000000001</v>
      </c>
      <c r="N116" s="2">
        <v>100.309</v>
      </c>
      <c r="P116" s="9">
        <f t="shared" si="21"/>
        <v>0.33595935694898743</v>
      </c>
      <c r="Q116" s="9">
        <f t="shared" si="22"/>
        <v>0.24547822850762932</v>
      </c>
      <c r="R116" s="9">
        <f t="shared" si="23"/>
        <v>0.25095402831770036</v>
      </c>
      <c r="S116" s="9">
        <f t="shared" si="17"/>
        <v>42.219188206563814</v>
      </c>
      <c r="T116" s="9">
        <f t="shared" si="18"/>
        <v>40.360733023924325</v>
      </c>
      <c r="U116" s="9">
        <f t="shared" si="19"/>
        <v>30.148553176767166</v>
      </c>
      <c r="V116" s="9">
        <f t="shared" si="20"/>
        <v>29.490713799308509</v>
      </c>
      <c r="X116" s="2">
        <v>3.1665999999999999</v>
      </c>
      <c r="Y116" s="2">
        <v>2.3654000000000002</v>
      </c>
      <c r="Z116" s="2">
        <v>1.67E-2</v>
      </c>
      <c r="AA116" s="2">
        <v>7.851</v>
      </c>
      <c r="AC116" s="2">
        <v>0</v>
      </c>
      <c r="AD116" s="2">
        <v>2.3099999999999999E-2</v>
      </c>
      <c r="AE116" s="2">
        <v>9.1200000000000003E-2</v>
      </c>
      <c r="AF116" s="2">
        <v>5.74E-2</v>
      </c>
      <c r="AG116" s="2">
        <v>0.17649999999999999</v>
      </c>
      <c r="AH116" s="2">
        <v>2.3136000000000001</v>
      </c>
      <c r="AI116" s="2">
        <v>16.061499999999999</v>
      </c>
    </row>
    <row r="117" spans="1:35" x14ac:dyDescent="0.25">
      <c r="A117" s="39" t="s">
        <v>453</v>
      </c>
      <c r="B117" s="39"/>
      <c r="P117" s="9"/>
      <c r="Q117" s="9"/>
      <c r="R117" s="9"/>
      <c r="S117" s="9"/>
      <c r="T117" s="9"/>
      <c r="U117" s="9"/>
      <c r="V117" s="9"/>
    </row>
    <row r="118" spans="1:35" x14ac:dyDescent="0.25">
      <c r="A118" s="2" t="s">
        <v>331</v>
      </c>
      <c r="B118" s="10">
        <v>0</v>
      </c>
      <c r="C118" s="2">
        <v>23.396000000000001</v>
      </c>
      <c r="D118" s="2">
        <v>15.365</v>
      </c>
      <c r="E118" s="2">
        <v>0.45900000000000002</v>
      </c>
      <c r="F118" s="2">
        <v>50.017000000000003</v>
      </c>
      <c r="G118" s="2">
        <v>0.30499999999999999</v>
      </c>
      <c r="H118" s="2">
        <v>2E-3</v>
      </c>
      <c r="I118" s="2">
        <v>0.21199999999999999</v>
      </c>
      <c r="J118" s="2">
        <v>0.60799999999999998</v>
      </c>
      <c r="K118" s="2">
        <v>0.185</v>
      </c>
      <c r="L118" s="2">
        <v>1.0589999999999999</v>
      </c>
      <c r="M118" s="2">
        <v>10.032999999999999</v>
      </c>
      <c r="N118" s="2">
        <v>101.64100000000001</v>
      </c>
      <c r="P118" s="9">
        <f>C118/(55.845+16)</f>
        <v>0.32564548681188671</v>
      </c>
      <c r="Q118" s="9">
        <f>M118/(24.305+16)</f>
        <v>0.24892693214241407</v>
      </c>
      <c r="R118" s="9">
        <f>D118/(40.078+16)</f>
        <v>0.27399336638253857</v>
      </c>
      <c r="S118" s="9">
        <f>Q118/(P118+Q118)*100</f>
        <v>43.323856824776122</v>
      </c>
      <c r="T118" s="9">
        <f>P118/(P118+R118+Q118)*100</f>
        <v>38.375985979993445</v>
      </c>
      <c r="U118" s="9">
        <f>R118/(P118+R118+Q118)*100</f>
        <v>32.288995280875781</v>
      </c>
      <c r="V118" s="9">
        <f>Q118/(P118+Q118+R118)*100</f>
        <v>29.335018739130774</v>
      </c>
      <c r="X118" s="2">
        <v>3.0263</v>
      </c>
      <c r="Y118" s="2">
        <v>2.5463</v>
      </c>
      <c r="Z118" s="2">
        <v>5.3400000000000003E-2</v>
      </c>
      <c r="AA118" s="2">
        <v>7.7358000000000002</v>
      </c>
      <c r="AB118" s="2">
        <v>3.9899999999999998E-2</v>
      </c>
      <c r="AC118" s="2">
        <v>5.0000000000000001E-4</v>
      </c>
      <c r="AD118" s="2">
        <v>2.5999999999999999E-2</v>
      </c>
      <c r="AE118" s="2">
        <v>7.9699999999999993E-2</v>
      </c>
      <c r="AF118" s="2">
        <v>5.5599999999999997E-2</v>
      </c>
      <c r="AG118" s="2">
        <v>0.193</v>
      </c>
      <c r="AH118" s="2">
        <v>2.3132000000000001</v>
      </c>
      <c r="AI118" s="2">
        <v>16.069700000000001</v>
      </c>
    </row>
    <row r="119" spans="1:35" x14ac:dyDescent="0.25">
      <c r="A119" s="2" t="s">
        <v>276</v>
      </c>
      <c r="B119" s="10">
        <v>20.291519999999998</v>
      </c>
      <c r="C119" s="2">
        <v>20.876999999999999</v>
      </c>
      <c r="D119" s="2">
        <v>15.52</v>
      </c>
      <c r="E119" s="2">
        <v>0.36399999999999999</v>
      </c>
      <c r="F119" s="2">
        <v>50.414000000000001</v>
      </c>
      <c r="G119" s="2">
        <v>0.27900000000000003</v>
      </c>
      <c r="H119" s="2">
        <v>5.0000000000000001E-3</v>
      </c>
      <c r="I119" s="2">
        <v>0.23599999999999999</v>
      </c>
      <c r="J119" s="2">
        <v>0.58799999999999997</v>
      </c>
      <c r="K119" s="2">
        <v>0.185</v>
      </c>
      <c r="L119" s="2">
        <v>1.1319999999999999</v>
      </c>
      <c r="M119" s="2">
        <v>11.295</v>
      </c>
      <c r="N119" s="2">
        <v>100.895</v>
      </c>
      <c r="P119" s="9">
        <f t="shared" ref="P119:P166" si="24">C119/(55.845+16)</f>
        <v>0.29058389588697892</v>
      </c>
      <c r="Q119" s="9">
        <f t="shared" ref="Q119:Q166" si="25">M119/(24.305+16)</f>
        <v>0.2802381838481578</v>
      </c>
      <c r="R119" s="9">
        <f t="shared" ref="R119:R166" si="26">D119/(40.078+16)</f>
        <v>0.27675737365811903</v>
      </c>
      <c r="S119" s="9">
        <f t="shared" ref="S119:S166" si="27">Q119/(P119+Q119)*100</f>
        <v>49.093788379417497</v>
      </c>
      <c r="T119" s="9">
        <f t="shared" ref="T119:T166" si="28">P119/(P119+R119+Q119)*100</f>
        <v>34.283971222241895</v>
      </c>
      <c r="U119" s="9">
        <f t="shared" ref="U119:U166" si="29">R119/(P119+R119+Q119)*100</f>
        <v>32.652676106072441</v>
      </c>
      <c r="V119" s="9">
        <f t="shared" ref="V119:V166" si="30">Q119/(P119+Q119+R119)*100</f>
        <v>33.063352671685671</v>
      </c>
      <c r="X119" s="2">
        <v>2.6886000000000001</v>
      </c>
      <c r="Y119" s="2">
        <v>2.5609000000000002</v>
      </c>
      <c r="Z119" s="2">
        <v>4.2200000000000001E-2</v>
      </c>
      <c r="AA119" s="2">
        <v>7.7632000000000003</v>
      </c>
      <c r="AB119" s="2">
        <v>3.6299999999999999E-2</v>
      </c>
      <c r="AC119" s="2">
        <v>8.9999999999999998E-4</v>
      </c>
      <c r="AD119" s="2">
        <v>2.87E-2</v>
      </c>
      <c r="AE119" s="2">
        <v>7.6799999999999993E-2</v>
      </c>
      <c r="AF119" s="2">
        <v>5.5300000000000002E-2</v>
      </c>
      <c r="AG119" s="2">
        <v>0.20549999999999999</v>
      </c>
      <c r="AH119" s="2">
        <v>2.5928</v>
      </c>
      <c r="AI119" s="2">
        <v>16.051200000000001</v>
      </c>
    </row>
    <row r="120" spans="1:35" x14ac:dyDescent="0.25">
      <c r="A120" s="2" t="s">
        <v>99</v>
      </c>
      <c r="B120" s="10">
        <v>40.583030000000001</v>
      </c>
      <c r="C120" s="2">
        <v>17.338999999999999</v>
      </c>
      <c r="D120" s="2">
        <v>15.757999999999999</v>
      </c>
      <c r="E120" s="2">
        <v>0.28999999999999998</v>
      </c>
      <c r="F120" s="2">
        <v>51.125</v>
      </c>
      <c r="G120" s="2">
        <v>0.26</v>
      </c>
      <c r="H120" s="2">
        <v>0</v>
      </c>
      <c r="I120" s="2">
        <v>0.21299999999999999</v>
      </c>
      <c r="J120" s="2">
        <v>0.55100000000000005</v>
      </c>
      <c r="K120" s="2">
        <v>0.123</v>
      </c>
      <c r="L120" s="2">
        <v>1.2749999999999999</v>
      </c>
      <c r="M120" s="2">
        <v>13.44</v>
      </c>
      <c r="N120" s="2">
        <v>100.374</v>
      </c>
      <c r="P120" s="9">
        <f t="shared" si="24"/>
        <v>0.24133899366692182</v>
      </c>
      <c r="Q120" s="9">
        <f t="shared" si="25"/>
        <v>0.33345738742091552</v>
      </c>
      <c r="R120" s="9">
        <f t="shared" si="26"/>
        <v>0.28100146224901029</v>
      </c>
      <c r="S120" s="9">
        <f t="shared" si="27"/>
        <v>58.013132718377072</v>
      </c>
      <c r="T120" s="9">
        <f t="shared" si="28"/>
        <v>28.200467615799919</v>
      </c>
      <c r="U120" s="9">
        <f t="shared" si="29"/>
        <v>32.83502808950248</v>
      </c>
      <c r="V120" s="9">
        <f t="shared" si="30"/>
        <v>38.964504294697612</v>
      </c>
      <c r="X120" s="2">
        <v>2.2061999999999999</v>
      </c>
      <c r="Y120" s="2">
        <v>2.5689000000000002</v>
      </c>
      <c r="Z120" s="2">
        <v>3.32E-2</v>
      </c>
      <c r="AA120" s="2">
        <v>7.7781000000000002</v>
      </c>
      <c r="AB120" s="2">
        <v>3.3500000000000002E-2</v>
      </c>
      <c r="AC120" s="2">
        <v>0</v>
      </c>
      <c r="AD120" s="2">
        <v>2.5700000000000001E-2</v>
      </c>
      <c r="AE120" s="2">
        <v>7.1099999999999997E-2</v>
      </c>
      <c r="AF120" s="2">
        <v>3.6299999999999999E-2</v>
      </c>
      <c r="AG120" s="2">
        <v>0.2286</v>
      </c>
      <c r="AH120" s="2">
        <v>3.048</v>
      </c>
      <c r="AI120" s="2">
        <v>16.029599999999999</v>
      </c>
    </row>
    <row r="121" spans="1:35" x14ac:dyDescent="0.25">
      <c r="A121" s="2" t="s">
        <v>86</v>
      </c>
      <c r="B121" s="10">
        <v>60.874549999999999</v>
      </c>
      <c r="C121" s="2">
        <v>15.169</v>
      </c>
      <c r="D121" s="2">
        <v>16.196000000000002</v>
      </c>
      <c r="E121" s="2">
        <v>0.25900000000000001</v>
      </c>
      <c r="F121" s="2">
        <v>51.932000000000002</v>
      </c>
      <c r="G121" s="2">
        <v>0</v>
      </c>
      <c r="H121" s="2">
        <v>2E-3</v>
      </c>
      <c r="I121" s="2">
        <v>0.437</v>
      </c>
      <c r="J121" s="2">
        <v>0.52300000000000002</v>
      </c>
      <c r="K121" s="2">
        <v>0.186</v>
      </c>
      <c r="L121" s="2">
        <v>1.397</v>
      </c>
      <c r="M121" s="2">
        <v>14.98</v>
      </c>
      <c r="N121" s="2">
        <v>101.081</v>
      </c>
      <c r="P121" s="9">
        <f t="shared" si="24"/>
        <v>0.21113508246920454</v>
      </c>
      <c r="Q121" s="9">
        <f t="shared" si="25"/>
        <v>0.37166604639622874</v>
      </c>
      <c r="R121" s="9">
        <f t="shared" si="26"/>
        <v>0.28881201184065053</v>
      </c>
      <c r="S121" s="9">
        <f t="shared" si="27"/>
        <v>63.772362129731754</v>
      </c>
      <c r="T121" s="9">
        <f t="shared" si="28"/>
        <v>24.223485467206977</v>
      </c>
      <c r="U121" s="9">
        <f t="shared" si="29"/>
        <v>33.135343921809991</v>
      </c>
      <c r="V121" s="9">
        <f t="shared" si="30"/>
        <v>42.641170610983025</v>
      </c>
      <c r="X121" s="2">
        <v>1.9000999999999999</v>
      </c>
      <c r="Y121" s="2">
        <v>2.5992999999999999</v>
      </c>
      <c r="Z121" s="2">
        <v>2.9100000000000001E-2</v>
      </c>
      <c r="AA121" s="2">
        <v>7.7782</v>
      </c>
      <c r="AB121" s="2">
        <v>0</v>
      </c>
      <c r="AC121" s="2">
        <v>2.9999999999999997E-4</v>
      </c>
      <c r="AD121" s="2">
        <v>5.1799999999999999E-2</v>
      </c>
      <c r="AE121" s="2">
        <v>6.6400000000000001E-2</v>
      </c>
      <c r="AF121" s="2">
        <v>5.3999999999999999E-2</v>
      </c>
      <c r="AG121" s="2">
        <v>0.2467</v>
      </c>
      <c r="AH121" s="2">
        <v>3.3447</v>
      </c>
      <c r="AI121" s="2">
        <v>16.070599999999999</v>
      </c>
    </row>
    <row r="122" spans="1:35" x14ac:dyDescent="0.25">
      <c r="A122" s="2" t="s">
        <v>80</v>
      </c>
      <c r="B122" s="10">
        <v>81.166070000000005</v>
      </c>
      <c r="C122" s="2">
        <v>14.984</v>
      </c>
      <c r="D122" s="2">
        <v>15.239000000000001</v>
      </c>
      <c r="E122" s="2">
        <v>0.23699999999999999</v>
      </c>
      <c r="F122" s="2">
        <v>52.223999999999997</v>
      </c>
      <c r="G122" s="2">
        <v>0.24299999999999999</v>
      </c>
      <c r="H122" s="2">
        <v>1.4999999999999999E-2</v>
      </c>
      <c r="I122" s="2">
        <v>0.44700000000000001</v>
      </c>
      <c r="J122" s="2">
        <v>0.47899999999999998</v>
      </c>
      <c r="K122" s="2">
        <v>0.20899999999999999</v>
      </c>
      <c r="L122" s="2">
        <v>1.276</v>
      </c>
      <c r="M122" s="2">
        <v>15.596</v>
      </c>
      <c r="N122" s="2">
        <v>100.949</v>
      </c>
      <c r="P122" s="9">
        <f t="shared" si="24"/>
        <v>0.20856009464820099</v>
      </c>
      <c r="Q122" s="9">
        <f t="shared" si="25"/>
        <v>0.38694950998635408</v>
      </c>
      <c r="R122" s="9">
        <f t="shared" si="26"/>
        <v>0.27174649595206679</v>
      </c>
      <c r="S122" s="9">
        <f t="shared" si="27"/>
        <v>64.977878941820336</v>
      </c>
      <c r="T122" s="9">
        <f t="shared" si="28"/>
        <v>24.048270690414121</v>
      </c>
      <c r="U122" s="9">
        <f t="shared" si="29"/>
        <v>31.334054124064892</v>
      </c>
      <c r="V122" s="9">
        <f t="shared" si="30"/>
        <v>44.61767518552098</v>
      </c>
      <c r="X122" s="2">
        <v>1.8701000000000001</v>
      </c>
      <c r="Y122" s="2">
        <v>2.4365999999999999</v>
      </c>
      <c r="Z122" s="2">
        <v>2.6599999999999999E-2</v>
      </c>
      <c r="AA122" s="2">
        <v>7.7930999999999999</v>
      </c>
      <c r="AB122" s="2">
        <v>3.0700000000000002E-2</v>
      </c>
      <c r="AC122" s="2">
        <v>2.8999999999999998E-3</v>
      </c>
      <c r="AD122" s="2">
        <v>5.2699999999999997E-2</v>
      </c>
      <c r="AE122" s="2">
        <v>6.0600000000000001E-2</v>
      </c>
      <c r="AF122" s="2">
        <v>6.0400000000000002E-2</v>
      </c>
      <c r="AG122" s="2">
        <v>0.22450000000000001</v>
      </c>
      <c r="AH122" s="2">
        <v>3.4693000000000001</v>
      </c>
      <c r="AI122" s="2">
        <v>16.0275</v>
      </c>
    </row>
    <row r="123" spans="1:35" x14ac:dyDescent="0.25">
      <c r="A123" s="2" t="s">
        <v>96</v>
      </c>
      <c r="B123" s="10">
        <v>101.45759</v>
      </c>
      <c r="C123" s="2">
        <v>14.512</v>
      </c>
      <c r="D123" s="2">
        <v>15.234</v>
      </c>
      <c r="E123" s="2">
        <v>0.23699999999999999</v>
      </c>
      <c r="F123" s="2">
        <v>51.84</v>
      </c>
      <c r="G123" s="2">
        <v>0</v>
      </c>
      <c r="H123" s="2">
        <v>1.2999999999999999E-2</v>
      </c>
      <c r="I123" s="2">
        <v>0.46500000000000002</v>
      </c>
      <c r="J123" s="2">
        <v>0.52100000000000002</v>
      </c>
      <c r="K123" s="2">
        <v>0.16200000000000001</v>
      </c>
      <c r="L123" s="2">
        <v>1.377</v>
      </c>
      <c r="M123" s="2">
        <v>15.895</v>
      </c>
      <c r="N123" s="2">
        <v>100.256</v>
      </c>
      <c r="P123" s="9">
        <f t="shared" si="24"/>
        <v>0.20199039599137031</v>
      </c>
      <c r="Q123" s="9">
        <f t="shared" si="25"/>
        <v>0.39436794442376877</v>
      </c>
      <c r="R123" s="9">
        <f t="shared" si="26"/>
        <v>0.27165733442704804</v>
      </c>
      <c r="S123" s="9">
        <f t="shared" si="27"/>
        <v>66.12935842386976</v>
      </c>
      <c r="T123" s="9">
        <f t="shared" si="28"/>
        <v>23.27036271874859</v>
      </c>
      <c r="U123" s="9">
        <f t="shared" si="29"/>
        <v>31.296362761702166</v>
      </c>
      <c r="V123" s="9">
        <f t="shared" si="30"/>
        <v>45.433274519549229</v>
      </c>
      <c r="X123" s="2">
        <v>1.823</v>
      </c>
      <c r="Y123" s="2">
        <v>2.4518</v>
      </c>
      <c r="Z123" s="2">
        <v>2.6700000000000002E-2</v>
      </c>
      <c r="AA123" s="2">
        <v>7.7865000000000002</v>
      </c>
      <c r="AB123" s="2">
        <v>0</v>
      </c>
      <c r="AC123" s="2">
        <v>2.5000000000000001E-3</v>
      </c>
      <c r="AD123" s="2">
        <v>5.5199999999999999E-2</v>
      </c>
      <c r="AE123" s="2">
        <v>6.6299999999999998E-2</v>
      </c>
      <c r="AF123" s="2">
        <v>4.7300000000000002E-2</v>
      </c>
      <c r="AG123" s="2">
        <v>0.24390000000000001</v>
      </c>
      <c r="AH123" s="2">
        <v>3.5589</v>
      </c>
      <c r="AI123" s="2">
        <v>16.062100000000001</v>
      </c>
    </row>
    <row r="124" spans="1:35" x14ac:dyDescent="0.25">
      <c r="A124" s="2" t="s">
        <v>90</v>
      </c>
      <c r="B124" s="10">
        <v>121.7491</v>
      </c>
      <c r="C124" s="2">
        <v>14.818</v>
      </c>
      <c r="D124" s="2">
        <v>14.795</v>
      </c>
      <c r="E124" s="2">
        <v>0.22700000000000001</v>
      </c>
      <c r="F124" s="2">
        <v>52.201000000000001</v>
      </c>
      <c r="G124" s="2">
        <v>0.27</v>
      </c>
      <c r="H124" s="2">
        <v>0</v>
      </c>
      <c r="I124" s="2">
        <v>0.52100000000000002</v>
      </c>
      <c r="J124" s="2">
        <v>0.5</v>
      </c>
      <c r="K124" s="2">
        <v>0.14000000000000001</v>
      </c>
      <c r="L124" s="2">
        <v>1.4550000000000001</v>
      </c>
      <c r="M124" s="2">
        <v>16.097000000000001</v>
      </c>
      <c r="N124" s="2">
        <v>101.024</v>
      </c>
      <c r="P124" s="9">
        <f t="shared" si="24"/>
        <v>0.20624956503584105</v>
      </c>
      <c r="Q124" s="9">
        <f t="shared" si="25"/>
        <v>0.39937972956208911</v>
      </c>
      <c r="R124" s="9">
        <f t="shared" si="26"/>
        <v>0.26382895253040406</v>
      </c>
      <c r="S124" s="9">
        <f t="shared" si="27"/>
        <v>65.944585759715011</v>
      </c>
      <c r="T124" s="9">
        <f t="shared" si="28"/>
        <v>23.721618113008493</v>
      </c>
      <c r="U124" s="9">
        <f t="shared" si="29"/>
        <v>30.344062340173792</v>
      </c>
      <c r="V124" s="9">
        <f t="shared" si="30"/>
        <v>45.934319546817719</v>
      </c>
      <c r="X124" s="2">
        <v>1.8439000000000001</v>
      </c>
      <c r="Y124" s="2">
        <v>2.3586</v>
      </c>
      <c r="Z124" s="2">
        <v>2.5399999999999999E-2</v>
      </c>
      <c r="AA124" s="2">
        <v>7.7667999999999999</v>
      </c>
      <c r="AB124" s="2">
        <v>3.4000000000000002E-2</v>
      </c>
      <c r="AC124" s="2">
        <v>0</v>
      </c>
      <c r="AD124" s="2">
        <v>6.13E-2</v>
      </c>
      <c r="AE124" s="2">
        <v>6.3E-2</v>
      </c>
      <c r="AF124" s="2">
        <v>4.0500000000000001E-2</v>
      </c>
      <c r="AG124" s="2">
        <v>0.25509999999999999</v>
      </c>
      <c r="AH124" s="2">
        <v>3.5703</v>
      </c>
      <c r="AI124" s="2">
        <v>16.018899999999999</v>
      </c>
    </row>
    <row r="125" spans="1:35" x14ac:dyDescent="0.25">
      <c r="A125" s="2" t="s">
        <v>92</v>
      </c>
      <c r="B125" s="10">
        <v>142.04061999999999</v>
      </c>
      <c r="C125" s="2">
        <v>15.102</v>
      </c>
      <c r="D125" s="2">
        <v>14.33</v>
      </c>
      <c r="E125" s="2">
        <v>0.215</v>
      </c>
      <c r="F125" s="2">
        <v>51.832000000000001</v>
      </c>
      <c r="G125" s="2">
        <v>0.219</v>
      </c>
      <c r="H125" s="2">
        <v>1.7000000000000001E-2</v>
      </c>
      <c r="I125" s="2">
        <v>0.53300000000000003</v>
      </c>
      <c r="J125" s="2">
        <v>0.54</v>
      </c>
      <c r="K125" s="2">
        <v>0.221</v>
      </c>
      <c r="L125" s="2">
        <v>1.405</v>
      </c>
      <c r="M125" s="2">
        <v>16.016999999999999</v>
      </c>
      <c r="N125" s="2">
        <v>100.431</v>
      </c>
      <c r="P125" s="9">
        <f t="shared" si="24"/>
        <v>0.21020251931240866</v>
      </c>
      <c r="Q125" s="9">
        <f t="shared" si="25"/>
        <v>0.39739486416077408</v>
      </c>
      <c r="R125" s="9">
        <f t="shared" si="26"/>
        <v>0.25553693070366273</v>
      </c>
      <c r="S125" s="9">
        <f t="shared" si="27"/>
        <v>65.404308012184472</v>
      </c>
      <c r="T125" s="9">
        <f t="shared" si="28"/>
        <v>24.353396204955047</v>
      </c>
      <c r="U125" s="9">
        <f t="shared" si="29"/>
        <v>29.605697109535424</v>
      </c>
      <c r="V125" s="9">
        <f t="shared" si="30"/>
        <v>46.040906685509533</v>
      </c>
      <c r="X125" s="2">
        <v>1.8932</v>
      </c>
      <c r="Y125" s="2">
        <v>2.3016999999999999</v>
      </c>
      <c r="Z125" s="2">
        <v>2.4299999999999999E-2</v>
      </c>
      <c r="AA125" s="2">
        <v>7.7694000000000001</v>
      </c>
      <c r="AB125" s="2">
        <v>2.7799999999999998E-2</v>
      </c>
      <c r="AC125" s="2">
        <v>3.2000000000000002E-3</v>
      </c>
      <c r="AD125" s="2">
        <v>6.3100000000000003E-2</v>
      </c>
      <c r="AE125" s="2">
        <v>6.8599999999999994E-2</v>
      </c>
      <c r="AF125" s="2">
        <v>6.4199999999999993E-2</v>
      </c>
      <c r="AG125" s="2">
        <v>0.2482</v>
      </c>
      <c r="AH125" s="2">
        <v>3.5789</v>
      </c>
      <c r="AI125" s="2">
        <v>16.0426</v>
      </c>
    </row>
    <row r="126" spans="1:35" x14ac:dyDescent="0.25">
      <c r="A126" s="2" t="s">
        <v>151</v>
      </c>
      <c r="B126" s="10">
        <v>162.33214000000001</v>
      </c>
      <c r="C126" s="2">
        <v>19.001000000000001</v>
      </c>
      <c r="D126" s="2">
        <v>14.143000000000001</v>
      </c>
      <c r="E126" s="2">
        <v>0.47599999999999998</v>
      </c>
      <c r="F126" s="2">
        <v>50.555999999999997</v>
      </c>
      <c r="G126" s="2">
        <v>7.6999999999999999E-2</v>
      </c>
      <c r="H126" s="2">
        <v>0</v>
      </c>
      <c r="I126" s="2">
        <v>0.39300000000000002</v>
      </c>
      <c r="J126" s="2">
        <v>0.58299999999999996</v>
      </c>
      <c r="K126" s="2">
        <v>0.16300000000000001</v>
      </c>
      <c r="L126" s="2">
        <v>1.83</v>
      </c>
      <c r="M126" s="2">
        <v>13.352</v>
      </c>
      <c r="N126" s="2">
        <v>100.574</v>
      </c>
      <c r="P126" s="9">
        <f t="shared" si="24"/>
        <v>0.2644721274966943</v>
      </c>
      <c r="Q126" s="9">
        <f t="shared" si="25"/>
        <v>0.33127403547946904</v>
      </c>
      <c r="R126" s="9">
        <f t="shared" si="26"/>
        <v>0.25220228966796249</v>
      </c>
      <c r="S126" s="9">
        <f t="shared" si="27"/>
        <v>55.6065747573642</v>
      </c>
      <c r="T126" s="9">
        <f t="shared" si="28"/>
        <v>31.189646808364447</v>
      </c>
      <c r="U126" s="9">
        <f t="shared" si="29"/>
        <v>29.742644011145909</v>
      </c>
      <c r="V126" s="9">
        <f t="shared" si="30"/>
        <v>39.067709180489643</v>
      </c>
      <c r="X126" s="2">
        <v>2.4245999999999999</v>
      </c>
      <c r="Y126" s="2">
        <v>2.3121999999999998</v>
      </c>
      <c r="Z126" s="2">
        <v>5.4699999999999999E-2</v>
      </c>
      <c r="AA126" s="2">
        <v>7.7138</v>
      </c>
      <c r="AB126" s="2">
        <v>0.01</v>
      </c>
      <c r="AC126" s="2">
        <v>0</v>
      </c>
      <c r="AD126" s="2">
        <v>4.7399999999999998E-2</v>
      </c>
      <c r="AE126" s="2">
        <v>7.5300000000000006E-2</v>
      </c>
      <c r="AF126" s="2">
        <v>4.8099999999999997E-2</v>
      </c>
      <c r="AG126" s="2">
        <v>0.32919999999999999</v>
      </c>
      <c r="AH126" s="2">
        <v>3.0369999999999999</v>
      </c>
      <c r="AI126" s="2">
        <v>16.052299999999999</v>
      </c>
    </row>
    <row r="127" spans="1:35" x14ac:dyDescent="0.25">
      <c r="A127" s="2" t="s">
        <v>149</v>
      </c>
      <c r="B127" s="10">
        <v>176.82607999999999</v>
      </c>
      <c r="C127" s="2">
        <v>19.181999999999999</v>
      </c>
      <c r="D127" s="2">
        <v>14.72</v>
      </c>
      <c r="E127" s="2">
        <v>0.52300000000000002</v>
      </c>
      <c r="F127" s="2">
        <v>50.768000000000001</v>
      </c>
      <c r="G127" s="2">
        <v>0.27700000000000002</v>
      </c>
      <c r="H127" s="2">
        <v>2E-3</v>
      </c>
      <c r="I127" s="2">
        <v>0.38500000000000001</v>
      </c>
      <c r="J127" s="2">
        <v>0.52200000000000002</v>
      </c>
      <c r="K127" s="2">
        <v>0.17799999999999999</v>
      </c>
      <c r="L127" s="2">
        <v>1.6579999999999999</v>
      </c>
      <c r="M127" s="2">
        <v>13.115</v>
      </c>
      <c r="N127" s="2">
        <v>101.33</v>
      </c>
      <c r="P127" s="9">
        <f t="shared" si="24"/>
        <v>0.26699143990535179</v>
      </c>
      <c r="Q127" s="9">
        <f t="shared" si="25"/>
        <v>0.32539387172807344</v>
      </c>
      <c r="R127" s="9">
        <f t="shared" si="26"/>
        <v>0.26249152965512323</v>
      </c>
      <c r="S127" s="9">
        <f t="shared" si="27"/>
        <v>54.92942943349528</v>
      </c>
      <c r="T127" s="9">
        <f t="shared" si="28"/>
        <v>31.231567754592334</v>
      </c>
      <c r="U127" s="9">
        <f t="shared" si="29"/>
        <v>30.705186639454642</v>
      </c>
      <c r="V127" s="9">
        <f t="shared" si="30"/>
        <v>38.063245605953021</v>
      </c>
      <c r="X127" s="2">
        <v>2.4325000000000001</v>
      </c>
      <c r="Y127" s="2">
        <v>2.3917000000000002</v>
      </c>
      <c r="Z127" s="2">
        <v>5.9700000000000003E-2</v>
      </c>
      <c r="AA127" s="2">
        <v>7.6981000000000002</v>
      </c>
      <c r="AB127" s="2">
        <v>3.5499999999999997E-2</v>
      </c>
      <c r="AC127" s="2">
        <v>4.0000000000000002E-4</v>
      </c>
      <c r="AD127" s="2">
        <v>4.6199999999999998E-2</v>
      </c>
      <c r="AE127" s="2">
        <v>6.7100000000000007E-2</v>
      </c>
      <c r="AF127" s="2">
        <v>5.2299999999999999E-2</v>
      </c>
      <c r="AG127" s="2">
        <v>0.29620000000000002</v>
      </c>
      <c r="AH127" s="2">
        <v>2.9645000000000001</v>
      </c>
      <c r="AI127" s="2">
        <v>16.0442</v>
      </c>
    </row>
    <row r="128" spans="1:35" x14ac:dyDescent="0.25">
      <c r="A128" s="2" t="s">
        <v>332</v>
      </c>
      <c r="B128" s="10">
        <v>191.32002</v>
      </c>
      <c r="C128" s="2">
        <v>19.733000000000001</v>
      </c>
      <c r="D128" s="2">
        <v>14.789</v>
      </c>
      <c r="E128" s="2">
        <v>0.38100000000000001</v>
      </c>
      <c r="F128" s="2">
        <v>50.893999999999998</v>
      </c>
      <c r="G128" s="2">
        <v>0</v>
      </c>
      <c r="H128" s="2">
        <v>6.0000000000000001E-3</v>
      </c>
      <c r="I128" s="2">
        <v>0.40100000000000002</v>
      </c>
      <c r="J128" s="2">
        <v>0.57699999999999996</v>
      </c>
      <c r="K128" s="2">
        <v>0.14899999999999999</v>
      </c>
      <c r="L128" s="2">
        <v>1.2290000000000001</v>
      </c>
      <c r="M128" s="2">
        <v>12.688000000000001</v>
      </c>
      <c r="N128" s="2">
        <v>100.84699999999999</v>
      </c>
      <c r="P128" s="9">
        <f t="shared" si="24"/>
        <v>0.27466072795601643</v>
      </c>
      <c r="Q128" s="9">
        <f t="shared" si="25"/>
        <v>0.31479965264855481</v>
      </c>
      <c r="R128" s="9">
        <f t="shared" si="26"/>
        <v>0.26372195870038156</v>
      </c>
      <c r="S128" s="9">
        <f t="shared" si="27"/>
        <v>53.404717773514342</v>
      </c>
      <c r="T128" s="9">
        <f t="shared" si="28"/>
        <v>32.1925003956094</v>
      </c>
      <c r="U128" s="9">
        <f t="shared" si="29"/>
        <v>30.910386508377957</v>
      </c>
      <c r="V128" s="9">
        <f t="shared" si="30"/>
        <v>36.897113096012646</v>
      </c>
      <c r="X128" s="2">
        <v>2.5242</v>
      </c>
      <c r="Y128" s="2">
        <v>2.4238</v>
      </c>
      <c r="Z128" s="2">
        <v>4.3799999999999999E-2</v>
      </c>
      <c r="AA128" s="2">
        <v>7.7845000000000004</v>
      </c>
      <c r="AB128" s="2">
        <v>0</v>
      </c>
      <c r="AC128" s="2">
        <v>1.2999999999999999E-3</v>
      </c>
      <c r="AD128" s="2">
        <v>4.8399999999999999E-2</v>
      </c>
      <c r="AE128" s="2">
        <v>7.4700000000000003E-2</v>
      </c>
      <c r="AF128" s="2">
        <v>4.4200000000000003E-2</v>
      </c>
      <c r="AG128" s="2">
        <v>0.22159999999999999</v>
      </c>
      <c r="AH128" s="2">
        <v>2.8929</v>
      </c>
      <c r="AI128" s="2">
        <v>16.0594</v>
      </c>
    </row>
    <row r="129" spans="1:35" x14ac:dyDescent="0.25">
      <c r="A129" s="2" t="s">
        <v>287</v>
      </c>
      <c r="B129" s="10">
        <v>205.81396000000001</v>
      </c>
      <c r="C129" s="2">
        <v>20.219000000000001</v>
      </c>
      <c r="D129" s="2">
        <v>14.314</v>
      </c>
      <c r="E129" s="2">
        <v>0.34499999999999997</v>
      </c>
      <c r="F129" s="2">
        <v>50.837000000000003</v>
      </c>
      <c r="G129" s="2">
        <v>0</v>
      </c>
      <c r="H129" s="2">
        <v>3.0000000000000001E-3</v>
      </c>
      <c r="I129" s="2">
        <v>0.35899999999999999</v>
      </c>
      <c r="J129" s="2">
        <v>0.60299999999999998</v>
      </c>
      <c r="K129" s="2">
        <v>0.114</v>
      </c>
      <c r="L129" s="2">
        <v>1.228</v>
      </c>
      <c r="M129" s="2">
        <v>12.675000000000001</v>
      </c>
      <c r="N129" s="2">
        <v>100.697</v>
      </c>
      <c r="P129" s="9">
        <f t="shared" si="24"/>
        <v>0.28142529055605819</v>
      </c>
      <c r="Q129" s="9">
        <f t="shared" si="25"/>
        <v>0.31447711202084111</v>
      </c>
      <c r="R129" s="9">
        <f t="shared" si="26"/>
        <v>0.25525161382360284</v>
      </c>
      <c r="S129" s="9">
        <f t="shared" si="27"/>
        <v>52.773257946423335</v>
      </c>
      <c r="T129" s="9">
        <f t="shared" si="28"/>
        <v>33.063967875778225</v>
      </c>
      <c r="U129" s="9">
        <f t="shared" si="29"/>
        <v>29.988886723821402</v>
      </c>
      <c r="V129" s="9">
        <f t="shared" si="30"/>
        <v>36.947145400400366</v>
      </c>
      <c r="X129" s="2">
        <v>2.5922999999999998</v>
      </c>
      <c r="Y129" s="2">
        <v>2.3513000000000002</v>
      </c>
      <c r="Z129" s="2">
        <v>3.9800000000000002E-2</v>
      </c>
      <c r="AA129" s="2">
        <v>7.7934000000000001</v>
      </c>
      <c r="AB129" s="2">
        <v>0</v>
      </c>
      <c r="AC129" s="2">
        <v>5.0000000000000001E-4</v>
      </c>
      <c r="AD129" s="2">
        <v>4.3499999999999997E-2</v>
      </c>
      <c r="AE129" s="2">
        <v>7.8299999999999995E-2</v>
      </c>
      <c r="AF129" s="2">
        <v>3.39E-2</v>
      </c>
      <c r="AG129" s="2">
        <v>0.22189999999999999</v>
      </c>
      <c r="AH129" s="2">
        <v>2.8965000000000001</v>
      </c>
      <c r="AI129" s="2">
        <v>16.051400000000001</v>
      </c>
    </row>
    <row r="130" spans="1:35" x14ac:dyDescent="0.25">
      <c r="A130" s="2" t="s">
        <v>154</v>
      </c>
      <c r="B130" s="10">
        <v>220.30789999999999</v>
      </c>
      <c r="C130" s="2">
        <v>19.524000000000001</v>
      </c>
      <c r="D130" s="2">
        <v>15.076000000000001</v>
      </c>
      <c r="E130" s="2">
        <v>0.39500000000000002</v>
      </c>
      <c r="F130" s="2">
        <v>50.173000000000002</v>
      </c>
      <c r="G130" s="2">
        <v>0</v>
      </c>
      <c r="H130" s="2">
        <v>0</v>
      </c>
      <c r="I130" s="2">
        <v>0.36199999999999999</v>
      </c>
      <c r="J130" s="2">
        <v>0.54400000000000004</v>
      </c>
      <c r="K130" s="2">
        <v>0.14899999999999999</v>
      </c>
      <c r="L130" s="2">
        <v>1.4950000000000001</v>
      </c>
      <c r="M130" s="2">
        <v>12.486000000000001</v>
      </c>
      <c r="N130" s="2">
        <v>100.20399999999999</v>
      </c>
      <c r="P130" s="9">
        <f t="shared" si="24"/>
        <v>0.27175168766093677</v>
      </c>
      <c r="Q130" s="9">
        <f t="shared" si="25"/>
        <v>0.30978786751023446</v>
      </c>
      <c r="R130" s="9">
        <f t="shared" si="26"/>
        <v>0.26883983023645636</v>
      </c>
      <c r="S130" s="9">
        <f t="shared" si="27"/>
        <v>53.270300318445408</v>
      </c>
      <c r="T130" s="9">
        <f t="shared" si="28"/>
        <v>31.956523444024125</v>
      </c>
      <c r="U130" s="9">
        <f t="shared" si="29"/>
        <v>31.614104816003806</v>
      </c>
      <c r="V130" s="9">
        <f t="shared" si="30"/>
        <v>36.429371739972069</v>
      </c>
      <c r="X130" s="2">
        <v>2.5167000000000002</v>
      </c>
      <c r="Y130" s="2">
        <v>2.4897999999999998</v>
      </c>
      <c r="Z130" s="2">
        <v>4.58E-2</v>
      </c>
      <c r="AA130" s="2">
        <v>7.7331000000000003</v>
      </c>
      <c r="AB130" s="2">
        <v>0</v>
      </c>
      <c r="AC130" s="2">
        <v>0</v>
      </c>
      <c r="AD130" s="2">
        <v>4.41E-2</v>
      </c>
      <c r="AE130" s="2">
        <v>7.1099999999999997E-2</v>
      </c>
      <c r="AF130" s="2">
        <v>4.4600000000000001E-2</v>
      </c>
      <c r="AG130" s="2">
        <v>0.27150000000000002</v>
      </c>
      <c r="AH130" s="2">
        <v>2.8687999999999998</v>
      </c>
      <c r="AI130" s="2">
        <v>16.0855</v>
      </c>
    </row>
    <row r="131" spans="1:35" x14ac:dyDescent="0.25">
      <c r="A131" s="2" t="s">
        <v>286</v>
      </c>
      <c r="B131" s="10">
        <v>234.80184</v>
      </c>
      <c r="C131" s="2">
        <v>18.638000000000002</v>
      </c>
      <c r="D131" s="2">
        <v>15.663</v>
      </c>
      <c r="E131" s="2">
        <v>0.59099999999999997</v>
      </c>
      <c r="F131" s="2">
        <v>50.091999999999999</v>
      </c>
      <c r="G131" s="2">
        <v>0.28799999999999998</v>
      </c>
      <c r="H131" s="2">
        <v>0</v>
      </c>
      <c r="I131" s="2">
        <v>0.46500000000000002</v>
      </c>
      <c r="J131" s="2">
        <v>0.52100000000000002</v>
      </c>
      <c r="K131" s="2">
        <v>0.158</v>
      </c>
      <c r="L131" s="2">
        <v>2.1</v>
      </c>
      <c r="M131" s="2">
        <v>12.365</v>
      </c>
      <c r="N131" s="2">
        <v>100.881</v>
      </c>
      <c r="P131" s="9">
        <f t="shared" si="24"/>
        <v>0.25941958382629277</v>
      </c>
      <c r="Q131" s="9">
        <f t="shared" si="25"/>
        <v>0.30678575859074558</v>
      </c>
      <c r="R131" s="9">
        <f t="shared" si="26"/>
        <v>0.27930739327365456</v>
      </c>
      <c r="S131" s="9">
        <f t="shared" si="27"/>
        <v>54.182773564291566</v>
      </c>
      <c r="T131" s="9">
        <f t="shared" si="28"/>
        <v>30.681925046862236</v>
      </c>
      <c r="U131" s="9">
        <f t="shared" si="29"/>
        <v>33.034084701928293</v>
      </c>
      <c r="V131" s="9">
        <f t="shared" si="30"/>
        <v>36.283990251209481</v>
      </c>
      <c r="X131" s="2">
        <v>2.3776000000000002</v>
      </c>
      <c r="Y131" s="2">
        <v>2.5598999999999998</v>
      </c>
      <c r="Z131" s="2">
        <v>6.7799999999999999E-2</v>
      </c>
      <c r="AA131" s="2">
        <v>7.6405000000000003</v>
      </c>
      <c r="AB131" s="2">
        <v>3.7199999999999997E-2</v>
      </c>
      <c r="AC131" s="2">
        <v>0</v>
      </c>
      <c r="AD131" s="2">
        <v>5.6099999999999997E-2</v>
      </c>
      <c r="AE131" s="2">
        <v>6.7299999999999999E-2</v>
      </c>
      <c r="AF131" s="2">
        <v>4.6699999999999998E-2</v>
      </c>
      <c r="AG131" s="2">
        <v>0.37759999999999999</v>
      </c>
      <c r="AH131" s="2">
        <v>2.8115000000000001</v>
      </c>
      <c r="AI131" s="2">
        <v>16.042200000000001</v>
      </c>
    </row>
    <row r="132" spans="1:35" x14ac:dyDescent="0.25">
      <c r="A132" s="2" t="s">
        <v>333</v>
      </c>
      <c r="B132" s="10">
        <v>284.08123999999998</v>
      </c>
      <c r="C132" s="2">
        <v>27.645</v>
      </c>
      <c r="D132" s="2">
        <v>5.548</v>
      </c>
      <c r="E132" s="2">
        <v>0.29799999999999999</v>
      </c>
      <c r="F132" s="2">
        <v>50.773000000000003</v>
      </c>
      <c r="G132" s="2">
        <v>0</v>
      </c>
      <c r="H132" s="2">
        <v>1.2999999999999999E-2</v>
      </c>
      <c r="I132" s="2">
        <v>0.217</v>
      </c>
      <c r="J132" s="2">
        <v>0.76500000000000001</v>
      </c>
      <c r="K132" s="2">
        <v>8.5999999999999993E-2</v>
      </c>
      <c r="L132" s="2">
        <v>1.0009999999999999</v>
      </c>
      <c r="M132" s="2">
        <v>14.983000000000001</v>
      </c>
      <c r="N132" s="2">
        <v>101.32899999999999</v>
      </c>
      <c r="P132" s="9">
        <f t="shared" si="24"/>
        <v>0.38478669357644929</v>
      </c>
      <c r="Q132" s="9">
        <f t="shared" si="25"/>
        <v>0.37174047884877809</v>
      </c>
      <c r="R132" s="9">
        <f t="shared" si="26"/>
        <v>9.8933628160776055E-2</v>
      </c>
      <c r="S132" s="9">
        <f t="shared" si="27"/>
        <v>49.137756368627947</v>
      </c>
      <c r="T132" s="9">
        <f t="shared" si="28"/>
        <v>44.980049736103005</v>
      </c>
      <c r="U132" s="9">
        <f t="shared" si="29"/>
        <v>11.564951672011745</v>
      </c>
      <c r="V132" s="9">
        <f t="shared" si="30"/>
        <v>43.45499859188525</v>
      </c>
      <c r="X132" s="2">
        <v>3.5531999999999999</v>
      </c>
      <c r="Y132" s="2">
        <v>0.91359999999999997</v>
      </c>
      <c r="Z132" s="2">
        <v>3.44E-2</v>
      </c>
      <c r="AA132" s="2">
        <v>7.8030999999999997</v>
      </c>
      <c r="AB132" s="2">
        <v>0</v>
      </c>
      <c r="AC132" s="2">
        <v>2.5999999999999999E-3</v>
      </c>
      <c r="AD132" s="2">
        <v>2.64E-2</v>
      </c>
      <c r="AE132" s="2">
        <v>9.9599999999999994E-2</v>
      </c>
      <c r="AF132" s="2">
        <v>2.5700000000000001E-2</v>
      </c>
      <c r="AG132" s="2">
        <v>0.18140000000000001</v>
      </c>
      <c r="AH132" s="2">
        <v>3.4327000000000001</v>
      </c>
      <c r="AI132" s="2">
        <v>16.072700000000001</v>
      </c>
    </row>
    <row r="133" spans="1:35" x14ac:dyDescent="0.25">
      <c r="A133" s="2" t="s">
        <v>279</v>
      </c>
      <c r="B133" s="10">
        <v>304.37276000000003</v>
      </c>
      <c r="C133" s="2">
        <v>26.693999999999999</v>
      </c>
      <c r="D133" s="2">
        <v>6.194</v>
      </c>
      <c r="E133" s="2">
        <v>0.20799999999999999</v>
      </c>
      <c r="F133" s="2">
        <v>50.325000000000003</v>
      </c>
      <c r="G133" s="2">
        <v>4.2999999999999997E-2</v>
      </c>
      <c r="H133" s="2">
        <v>5.0000000000000001E-3</v>
      </c>
      <c r="I133" s="2">
        <v>0.19</v>
      </c>
      <c r="J133" s="2">
        <v>0.79400000000000004</v>
      </c>
      <c r="K133" s="2">
        <v>6.6000000000000003E-2</v>
      </c>
      <c r="L133" s="2">
        <v>1.0029999999999999</v>
      </c>
      <c r="M133" s="2">
        <v>15.499000000000001</v>
      </c>
      <c r="N133" s="2">
        <v>101.021</v>
      </c>
      <c r="P133" s="9">
        <f t="shared" si="24"/>
        <v>0.37154986429118242</v>
      </c>
      <c r="Q133" s="9">
        <f t="shared" si="25"/>
        <v>0.38454286068725968</v>
      </c>
      <c r="R133" s="9">
        <f t="shared" si="26"/>
        <v>0.11045329719319519</v>
      </c>
      <c r="S133" s="9">
        <f t="shared" si="27"/>
        <v>50.859219773371557</v>
      </c>
      <c r="T133" s="9">
        <f t="shared" si="28"/>
        <v>42.87710690311026</v>
      </c>
      <c r="U133" s="9">
        <f t="shared" si="29"/>
        <v>12.746385577581895</v>
      </c>
      <c r="V133" s="9">
        <f t="shared" si="30"/>
        <v>44.376507519307843</v>
      </c>
      <c r="X133" s="2">
        <v>3.4377</v>
      </c>
      <c r="Y133" s="2">
        <v>1.022</v>
      </c>
      <c r="Z133" s="2">
        <v>2.41E-2</v>
      </c>
      <c r="AA133" s="2">
        <v>7.7493999999999996</v>
      </c>
      <c r="AB133" s="2">
        <v>5.5999999999999999E-3</v>
      </c>
      <c r="AC133" s="2">
        <v>1E-3</v>
      </c>
      <c r="AD133" s="2">
        <v>2.3099999999999999E-2</v>
      </c>
      <c r="AE133" s="2">
        <v>0.1036</v>
      </c>
      <c r="AF133" s="2">
        <v>1.9699999999999999E-2</v>
      </c>
      <c r="AG133" s="2">
        <v>0.182</v>
      </c>
      <c r="AH133" s="2">
        <v>3.5577999999999999</v>
      </c>
      <c r="AI133" s="2">
        <v>16.126000000000001</v>
      </c>
    </row>
    <row r="134" spans="1:35" x14ac:dyDescent="0.25">
      <c r="A134" s="2" t="s">
        <v>290</v>
      </c>
      <c r="B134" s="10">
        <v>324.66428000000002</v>
      </c>
      <c r="C134" s="2">
        <v>26.021000000000001</v>
      </c>
      <c r="D134" s="2">
        <v>5.593</v>
      </c>
      <c r="E134" s="2">
        <v>0.16800000000000001</v>
      </c>
      <c r="F134" s="2">
        <v>51.463000000000001</v>
      </c>
      <c r="G134" s="2">
        <v>0</v>
      </c>
      <c r="H134" s="2">
        <v>0</v>
      </c>
      <c r="I134" s="2">
        <v>0.20499999999999999</v>
      </c>
      <c r="J134" s="2">
        <v>0.74099999999999999</v>
      </c>
      <c r="K134" s="2">
        <v>5.1999999999999998E-2</v>
      </c>
      <c r="L134" s="2">
        <v>0.83699999999999997</v>
      </c>
      <c r="M134" s="2">
        <v>16.033999999999999</v>
      </c>
      <c r="N134" s="2">
        <v>101.114</v>
      </c>
      <c r="P134" s="9">
        <f t="shared" si="24"/>
        <v>0.3621824761639641</v>
      </c>
      <c r="Q134" s="9">
        <f t="shared" si="25"/>
        <v>0.39781664805855349</v>
      </c>
      <c r="R134" s="9">
        <f t="shared" si="26"/>
        <v>9.9736081885944572E-2</v>
      </c>
      <c r="S134" s="9">
        <f t="shared" si="27"/>
        <v>52.344356115610225</v>
      </c>
      <c r="T134" s="9">
        <f t="shared" si="28"/>
        <v>42.127212377792517</v>
      </c>
      <c r="U134" s="9">
        <f t="shared" si="29"/>
        <v>11.600790705942325</v>
      </c>
      <c r="V134" s="9">
        <f t="shared" si="30"/>
        <v>46.271996916265152</v>
      </c>
      <c r="X134" s="2">
        <v>3.3216000000000001</v>
      </c>
      <c r="Y134" s="2">
        <v>0.91479999999999995</v>
      </c>
      <c r="Z134" s="2">
        <v>1.9300000000000001E-2</v>
      </c>
      <c r="AA134" s="2">
        <v>7.8552</v>
      </c>
      <c r="AB134" s="2">
        <v>0</v>
      </c>
      <c r="AC134" s="2">
        <v>0</v>
      </c>
      <c r="AD134" s="2">
        <v>2.47E-2</v>
      </c>
      <c r="AE134" s="2">
        <v>9.5899999999999999E-2</v>
      </c>
      <c r="AF134" s="2">
        <v>1.5299999999999999E-2</v>
      </c>
      <c r="AG134" s="2">
        <v>0.15060000000000001</v>
      </c>
      <c r="AH134" s="2">
        <v>3.6482999999999999</v>
      </c>
      <c r="AI134" s="2">
        <v>16.0457</v>
      </c>
    </row>
    <row r="135" spans="1:35" x14ac:dyDescent="0.25">
      <c r="A135" s="2" t="s">
        <v>274</v>
      </c>
      <c r="B135" s="10">
        <v>344.95580000000001</v>
      </c>
      <c r="C135" s="2">
        <v>26.195</v>
      </c>
      <c r="D135" s="2">
        <v>4.92</v>
      </c>
      <c r="E135" s="2">
        <v>0.23200000000000001</v>
      </c>
      <c r="F135" s="2">
        <v>51.097000000000001</v>
      </c>
      <c r="G135" s="2">
        <v>0</v>
      </c>
      <c r="H135" s="2">
        <v>1.2E-2</v>
      </c>
      <c r="I135" s="2">
        <v>0.246</v>
      </c>
      <c r="J135" s="2">
        <v>0.83699999999999997</v>
      </c>
      <c r="K135" s="2">
        <v>4.4999999999999998E-2</v>
      </c>
      <c r="L135" s="2">
        <v>0.86499999999999999</v>
      </c>
      <c r="M135" s="2">
        <v>16.416</v>
      </c>
      <c r="N135" s="2">
        <v>100.86499999999999</v>
      </c>
      <c r="P135" s="9">
        <f t="shared" si="24"/>
        <v>0.36460435660101609</v>
      </c>
      <c r="Q135" s="9">
        <f t="shared" si="25"/>
        <v>0.40729438034983256</v>
      </c>
      <c r="R135" s="9">
        <f t="shared" si="26"/>
        <v>8.7734940618424337E-2</v>
      </c>
      <c r="S135" s="9">
        <f t="shared" si="27"/>
        <v>52.765260629745967</v>
      </c>
      <c r="T135" s="9">
        <f t="shared" si="28"/>
        <v>42.41392189659004</v>
      </c>
      <c r="U135" s="9">
        <f t="shared" si="29"/>
        <v>10.206084627408549</v>
      </c>
      <c r="V135" s="9">
        <f t="shared" si="30"/>
        <v>47.379993476001417</v>
      </c>
      <c r="X135" s="2">
        <v>3.3536999999999999</v>
      </c>
      <c r="Y135" s="2">
        <v>0.80700000000000005</v>
      </c>
      <c r="Z135" s="2">
        <v>2.6700000000000002E-2</v>
      </c>
      <c r="AA135" s="2">
        <v>7.8223000000000003</v>
      </c>
      <c r="AB135" s="2">
        <v>0</v>
      </c>
      <c r="AC135" s="2">
        <v>2.3999999999999998E-3</v>
      </c>
      <c r="AD135" s="2">
        <v>2.98E-2</v>
      </c>
      <c r="AE135" s="2">
        <v>0.1085</v>
      </c>
      <c r="AF135" s="2">
        <v>1.3299999999999999E-2</v>
      </c>
      <c r="AG135" s="2">
        <v>0.156</v>
      </c>
      <c r="AH135" s="2">
        <v>3.7463000000000002</v>
      </c>
      <c r="AI135" s="2">
        <v>16.065999999999999</v>
      </c>
    </row>
    <row r="136" spans="1:35" x14ac:dyDescent="0.25">
      <c r="A136" s="2" t="s">
        <v>289</v>
      </c>
      <c r="B136" s="10">
        <v>365.24731000000003</v>
      </c>
      <c r="C136" s="2">
        <v>26.879000000000001</v>
      </c>
      <c r="D136" s="2">
        <v>4.5389999999999997</v>
      </c>
      <c r="E136" s="2">
        <v>0.14399999999999999</v>
      </c>
      <c r="F136" s="2">
        <v>51.593000000000004</v>
      </c>
      <c r="G136" s="2">
        <v>0</v>
      </c>
      <c r="H136" s="2">
        <v>0</v>
      </c>
      <c r="I136" s="2">
        <v>0.16300000000000001</v>
      </c>
      <c r="J136" s="2">
        <v>0.78600000000000003</v>
      </c>
      <c r="K136" s="2">
        <v>6.4000000000000001E-2</v>
      </c>
      <c r="L136" s="2">
        <v>0.72299999999999998</v>
      </c>
      <c r="M136" s="2">
        <v>16.867000000000001</v>
      </c>
      <c r="N136" s="2">
        <v>101.758</v>
      </c>
      <c r="P136" s="9">
        <f t="shared" si="24"/>
        <v>0.37412485211218599</v>
      </c>
      <c r="Q136" s="9">
        <f t="shared" si="25"/>
        <v>0.41848405904974573</v>
      </c>
      <c r="R136" s="9">
        <f t="shared" si="26"/>
        <v>8.0940832411997565E-2</v>
      </c>
      <c r="S136" s="9">
        <f t="shared" si="27"/>
        <v>52.798303571463201</v>
      </c>
      <c r="T136" s="9">
        <f t="shared" si="28"/>
        <v>42.828110804719557</v>
      </c>
      <c r="U136" s="9">
        <f t="shared" si="29"/>
        <v>9.2657382143856672</v>
      </c>
      <c r="V136" s="9">
        <f t="shared" si="30"/>
        <v>47.906150980894779</v>
      </c>
      <c r="X136" s="2">
        <v>3.4125999999999999</v>
      </c>
      <c r="Y136" s="2">
        <v>0.73839999999999995</v>
      </c>
      <c r="Z136" s="2">
        <v>1.6500000000000001E-2</v>
      </c>
      <c r="AA136" s="2">
        <v>7.8323999999999998</v>
      </c>
      <c r="AB136" s="2">
        <v>0</v>
      </c>
      <c r="AC136" s="2">
        <v>0</v>
      </c>
      <c r="AD136" s="2">
        <v>1.9599999999999999E-2</v>
      </c>
      <c r="AE136" s="2">
        <v>0.1011</v>
      </c>
      <c r="AF136" s="2">
        <v>1.9E-2</v>
      </c>
      <c r="AG136" s="2">
        <v>0.12939999999999999</v>
      </c>
      <c r="AH136" s="2">
        <v>3.8172000000000001</v>
      </c>
      <c r="AI136" s="2">
        <v>16.086200000000002</v>
      </c>
    </row>
    <row r="137" spans="1:35" x14ac:dyDescent="0.25">
      <c r="A137" s="2" t="s">
        <v>334</v>
      </c>
      <c r="B137" s="10">
        <v>385.53883000000002</v>
      </c>
      <c r="C137" s="2">
        <v>24.349</v>
      </c>
      <c r="D137" s="2">
        <v>5.9480000000000004</v>
      </c>
      <c r="E137" s="2">
        <v>0.21099999999999999</v>
      </c>
      <c r="F137" s="2">
        <v>51.587000000000003</v>
      </c>
      <c r="G137" s="2">
        <v>0</v>
      </c>
      <c r="H137" s="2">
        <v>0</v>
      </c>
      <c r="I137" s="2">
        <v>0.25700000000000001</v>
      </c>
      <c r="J137" s="2">
        <v>0.70499999999999996</v>
      </c>
      <c r="K137" s="2">
        <v>4.2999999999999997E-2</v>
      </c>
      <c r="L137" s="2">
        <v>0.81499999999999995</v>
      </c>
      <c r="M137" s="2">
        <v>17.201000000000001</v>
      </c>
      <c r="N137" s="2">
        <v>101.116</v>
      </c>
      <c r="P137" s="9">
        <f t="shared" si="24"/>
        <v>0.33891015380332662</v>
      </c>
      <c r="Q137" s="9">
        <f t="shared" si="25"/>
        <v>0.42677087210023573</v>
      </c>
      <c r="R137" s="9">
        <f t="shared" si="26"/>
        <v>0.10606655016227398</v>
      </c>
      <c r="S137" s="9">
        <f t="shared" si="27"/>
        <v>55.737422981928198</v>
      </c>
      <c r="T137" s="9">
        <f t="shared" si="28"/>
        <v>38.877097351140939</v>
      </c>
      <c r="U137" s="9">
        <f t="shared" si="29"/>
        <v>12.167117302573789</v>
      </c>
      <c r="V137" s="9">
        <f t="shared" si="30"/>
        <v>48.955785346285268</v>
      </c>
      <c r="X137" s="2">
        <v>3.0882000000000001</v>
      </c>
      <c r="Y137" s="2">
        <v>0.96660000000000001</v>
      </c>
      <c r="Z137" s="2">
        <v>2.4E-2</v>
      </c>
      <c r="AA137" s="2">
        <v>7.8234000000000004</v>
      </c>
      <c r="AB137" s="2">
        <v>0</v>
      </c>
      <c r="AC137" s="2">
        <v>0</v>
      </c>
      <c r="AD137" s="2">
        <v>3.0800000000000001E-2</v>
      </c>
      <c r="AE137" s="2">
        <v>9.06E-2</v>
      </c>
      <c r="AF137" s="2">
        <v>1.26E-2</v>
      </c>
      <c r="AG137" s="2">
        <v>0.1457</v>
      </c>
      <c r="AH137" s="2">
        <v>3.8885999999999998</v>
      </c>
      <c r="AI137" s="2">
        <v>16.070499999999999</v>
      </c>
    </row>
    <row r="138" spans="1:35" x14ac:dyDescent="0.25">
      <c r="A138" s="2" t="s">
        <v>150</v>
      </c>
      <c r="B138" s="10">
        <v>391.33641</v>
      </c>
      <c r="C138" s="2">
        <v>20.396999999999998</v>
      </c>
      <c r="D138" s="2">
        <v>7.601</v>
      </c>
      <c r="E138" s="2">
        <v>0.19500000000000001</v>
      </c>
      <c r="F138" s="2">
        <v>52.308999999999997</v>
      </c>
      <c r="G138" s="2">
        <v>0</v>
      </c>
      <c r="H138" s="2">
        <v>0</v>
      </c>
      <c r="I138" s="2">
        <v>0.49299999999999999</v>
      </c>
      <c r="J138" s="2">
        <v>0.61299999999999999</v>
      </c>
      <c r="K138" s="2">
        <v>9.8000000000000004E-2</v>
      </c>
      <c r="L138" s="2">
        <v>1.1499999999999999</v>
      </c>
      <c r="M138" s="2">
        <v>18.602</v>
      </c>
      <c r="N138" s="2">
        <v>101.458</v>
      </c>
      <c r="P138" s="9">
        <f t="shared" si="24"/>
        <v>0.28390284640545616</v>
      </c>
      <c r="Q138" s="9">
        <f t="shared" si="25"/>
        <v>0.46153082744076418</v>
      </c>
      <c r="R138" s="9">
        <f t="shared" si="26"/>
        <v>0.1355433503334641</v>
      </c>
      <c r="S138" s="9">
        <f t="shared" si="27"/>
        <v>61.91440548417939</v>
      </c>
      <c r="T138" s="9">
        <f t="shared" si="28"/>
        <v>32.225908123972964</v>
      </c>
      <c r="U138" s="9">
        <f t="shared" si="29"/>
        <v>15.385571543102881</v>
      </c>
      <c r="V138" s="9">
        <f t="shared" si="30"/>
        <v>52.388520332924159</v>
      </c>
      <c r="X138" s="2">
        <v>2.5417000000000001</v>
      </c>
      <c r="Y138" s="2">
        <v>1.2135</v>
      </c>
      <c r="Z138" s="2">
        <v>2.1899999999999999E-2</v>
      </c>
      <c r="AA138" s="2">
        <v>7.7938999999999998</v>
      </c>
      <c r="AB138" s="2">
        <v>0</v>
      </c>
      <c r="AC138" s="2">
        <v>0</v>
      </c>
      <c r="AD138" s="2">
        <v>5.8099999999999999E-2</v>
      </c>
      <c r="AE138" s="2">
        <v>7.7399999999999997E-2</v>
      </c>
      <c r="AF138" s="2">
        <v>2.8400000000000002E-2</v>
      </c>
      <c r="AG138" s="2">
        <v>0.2019</v>
      </c>
      <c r="AH138" s="2">
        <v>4.1317000000000004</v>
      </c>
      <c r="AI138" s="2">
        <v>16.0685</v>
      </c>
    </row>
    <row r="139" spans="1:35" x14ac:dyDescent="0.25">
      <c r="A139" s="2" t="s">
        <v>153</v>
      </c>
      <c r="B139" s="10">
        <v>412.04203999999999</v>
      </c>
      <c r="C139" s="2">
        <v>20.696999999999999</v>
      </c>
      <c r="D139" s="2">
        <v>5.9880000000000004</v>
      </c>
      <c r="E139" s="2">
        <v>0.17100000000000001</v>
      </c>
      <c r="F139" s="2">
        <v>52.639000000000003</v>
      </c>
      <c r="G139" s="2">
        <v>0</v>
      </c>
      <c r="H139" s="2">
        <v>0</v>
      </c>
      <c r="I139" s="2">
        <v>0.41499999999999998</v>
      </c>
      <c r="J139" s="2">
        <v>0.67500000000000004</v>
      </c>
      <c r="K139" s="2">
        <v>8.3000000000000004E-2</v>
      </c>
      <c r="L139" s="2">
        <v>0.93500000000000005</v>
      </c>
      <c r="M139" s="2">
        <v>19.739999999999998</v>
      </c>
      <c r="N139" s="2">
        <v>101.343</v>
      </c>
      <c r="P139" s="9">
        <f t="shared" si="24"/>
        <v>0.28807850233140786</v>
      </c>
      <c r="Q139" s="9">
        <f t="shared" si="25"/>
        <v>0.48976553777446963</v>
      </c>
      <c r="R139" s="9">
        <f t="shared" si="26"/>
        <v>0.10677984236242377</v>
      </c>
      <c r="S139" s="9">
        <f t="shared" si="27"/>
        <v>62.964490633341406</v>
      </c>
      <c r="T139" s="9">
        <f t="shared" si="28"/>
        <v>32.565083086792043</v>
      </c>
      <c r="U139" s="9">
        <f t="shared" si="29"/>
        <v>12.070648834901879</v>
      </c>
      <c r="V139" s="9">
        <f t="shared" si="30"/>
        <v>55.364268078306075</v>
      </c>
      <c r="X139" s="2">
        <v>2.5724999999999998</v>
      </c>
      <c r="Y139" s="2">
        <v>0.9536</v>
      </c>
      <c r="Z139" s="2">
        <v>1.9099999999999999E-2</v>
      </c>
      <c r="AA139" s="2">
        <v>7.8231999999999999</v>
      </c>
      <c r="AB139" s="2">
        <v>0</v>
      </c>
      <c r="AC139" s="2">
        <v>0</v>
      </c>
      <c r="AD139" s="2">
        <v>4.8800000000000003E-2</v>
      </c>
      <c r="AE139" s="2">
        <v>8.5000000000000006E-2</v>
      </c>
      <c r="AF139" s="2">
        <v>2.41E-2</v>
      </c>
      <c r="AG139" s="2">
        <v>0.1638</v>
      </c>
      <c r="AH139" s="2">
        <v>4.3733000000000004</v>
      </c>
      <c r="AI139" s="2">
        <v>16.063400000000001</v>
      </c>
    </row>
    <row r="140" spans="1:35" x14ac:dyDescent="0.25">
      <c r="A140" s="2" t="s">
        <v>152</v>
      </c>
      <c r="B140" s="10">
        <v>432.74767000000003</v>
      </c>
      <c r="C140" s="2">
        <v>19.713999999999999</v>
      </c>
      <c r="D140" s="2">
        <v>6.97</v>
      </c>
      <c r="E140" s="2">
        <v>0.155</v>
      </c>
      <c r="F140" s="2">
        <v>52.576000000000001</v>
      </c>
      <c r="G140" s="2">
        <v>0</v>
      </c>
      <c r="H140" s="2">
        <v>0</v>
      </c>
      <c r="I140" s="2">
        <v>0.52</v>
      </c>
      <c r="J140" s="2">
        <v>0.53</v>
      </c>
      <c r="K140" s="2">
        <v>7.0000000000000007E-2</v>
      </c>
      <c r="L140" s="2">
        <v>0.96599999999999997</v>
      </c>
      <c r="M140" s="2">
        <v>19.765000000000001</v>
      </c>
      <c r="N140" s="2">
        <v>101.26600000000001</v>
      </c>
      <c r="P140" s="9">
        <f t="shared" si="24"/>
        <v>0.2743962697473728</v>
      </c>
      <c r="Q140" s="9">
        <f t="shared" si="25"/>
        <v>0.49038580821238059</v>
      </c>
      <c r="R140" s="9">
        <f t="shared" si="26"/>
        <v>0.12429116587610113</v>
      </c>
      <c r="S140" s="9">
        <f t="shared" si="27"/>
        <v>64.12098587882798</v>
      </c>
      <c r="T140" s="9">
        <f t="shared" si="28"/>
        <v>30.863179344314329</v>
      </c>
      <c r="U140" s="9">
        <f t="shared" si="29"/>
        <v>13.979856748343272</v>
      </c>
      <c r="V140" s="9">
        <f t="shared" si="30"/>
        <v>55.156963907342401</v>
      </c>
      <c r="X140" s="2">
        <v>2.4478</v>
      </c>
      <c r="Y140" s="2">
        <v>1.1089</v>
      </c>
      <c r="Z140" s="2">
        <v>1.7399999999999999E-2</v>
      </c>
      <c r="AA140" s="2">
        <v>7.806</v>
      </c>
      <c r="AB140" s="2">
        <v>0</v>
      </c>
      <c r="AC140" s="2">
        <v>0</v>
      </c>
      <c r="AD140" s="2">
        <v>6.1100000000000002E-2</v>
      </c>
      <c r="AE140" s="2">
        <v>6.6699999999999995E-2</v>
      </c>
      <c r="AF140" s="2">
        <v>2.01E-2</v>
      </c>
      <c r="AG140" s="2">
        <v>0.1691</v>
      </c>
      <c r="AH140" s="2">
        <v>4.3745000000000003</v>
      </c>
      <c r="AI140" s="2">
        <v>16.0716</v>
      </c>
    </row>
    <row r="141" spans="1:35" x14ac:dyDescent="0.25">
      <c r="A141" s="2" t="s">
        <v>335</v>
      </c>
      <c r="B141" s="10">
        <v>453.45330000000001</v>
      </c>
      <c r="C141" s="2">
        <v>20.321000000000002</v>
      </c>
      <c r="D141" s="2">
        <v>6.2169999999999996</v>
      </c>
      <c r="E141" s="2">
        <v>0.111</v>
      </c>
      <c r="F141" s="2">
        <v>52.612000000000002</v>
      </c>
      <c r="G141" s="2">
        <v>0</v>
      </c>
      <c r="H141" s="2">
        <v>0</v>
      </c>
      <c r="I141" s="2">
        <v>0.40799999999999997</v>
      </c>
      <c r="J141" s="2">
        <v>0.624</v>
      </c>
      <c r="K141" s="2">
        <v>0.10299999999999999</v>
      </c>
      <c r="L141" s="2">
        <v>0.85599999999999998</v>
      </c>
      <c r="M141" s="2">
        <v>20.178999999999998</v>
      </c>
      <c r="N141" s="2">
        <v>101.431</v>
      </c>
      <c r="P141" s="9">
        <f t="shared" si="24"/>
        <v>0.28284501357088176</v>
      </c>
      <c r="Q141" s="9">
        <f t="shared" si="25"/>
        <v>0.50065748666418552</v>
      </c>
      <c r="R141" s="9">
        <f t="shared" si="26"/>
        <v>0.11086344020828132</v>
      </c>
      <c r="S141" s="9">
        <f t="shared" si="27"/>
        <v>63.899922018625041</v>
      </c>
      <c r="T141" s="9">
        <f t="shared" si="28"/>
        <v>31.625199572187629</v>
      </c>
      <c r="U141" s="9">
        <f t="shared" si="29"/>
        <v>12.395758290317373</v>
      </c>
      <c r="V141" s="9">
        <f t="shared" si="30"/>
        <v>55.979042137494993</v>
      </c>
      <c r="X141" s="2">
        <v>2.5215999999999998</v>
      </c>
      <c r="Y141" s="2">
        <v>0.98839999999999995</v>
      </c>
      <c r="Z141" s="2">
        <v>1.24E-2</v>
      </c>
      <c r="AA141" s="2">
        <v>7.8061999999999996</v>
      </c>
      <c r="AB141" s="2">
        <v>0</v>
      </c>
      <c r="AC141" s="2">
        <v>0</v>
      </c>
      <c r="AD141" s="2">
        <v>4.7800000000000002E-2</v>
      </c>
      <c r="AE141" s="2">
        <v>7.85E-2</v>
      </c>
      <c r="AF141" s="2">
        <v>2.9700000000000001E-2</v>
      </c>
      <c r="AG141" s="2">
        <v>0.1497</v>
      </c>
      <c r="AH141" s="2">
        <v>4.4631999999999996</v>
      </c>
      <c r="AI141" s="2">
        <v>16.0975</v>
      </c>
    </row>
    <row r="142" spans="1:35" x14ac:dyDescent="0.25">
      <c r="A142" s="2" t="s">
        <v>336</v>
      </c>
      <c r="B142" s="10">
        <v>474.15893</v>
      </c>
      <c r="C142" s="2">
        <v>19.867999999999999</v>
      </c>
      <c r="D142" s="2">
        <v>6.2679999999999998</v>
      </c>
      <c r="E142" s="2">
        <v>0.11899999999999999</v>
      </c>
      <c r="F142" s="2">
        <v>52.866</v>
      </c>
      <c r="G142" s="2">
        <v>0</v>
      </c>
      <c r="H142" s="2">
        <v>0</v>
      </c>
      <c r="I142" s="2">
        <v>0.34300000000000003</v>
      </c>
      <c r="J142" s="2">
        <v>0.64200000000000002</v>
      </c>
      <c r="K142" s="2">
        <v>9.6000000000000002E-2</v>
      </c>
      <c r="L142" s="2">
        <v>0.60399999999999998</v>
      </c>
      <c r="M142" s="2">
        <v>20.620999999999999</v>
      </c>
      <c r="N142" s="2">
        <v>101.42700000000001</v>
      </c>
      <c r="P142" s="9">
        <f t="shared" si="24"/>
        <v>0.27653977312269468</v>
      </c>
      <c r="Q142" s="9">
        <f t="shared" si="25"/>
        <v>0.51162386800645077</v>
      </c>
      <c r="R142" s="9">
        <f t="shared" si="26"/>
        <v>0.1117728877634723</v>
      </c>
      <c r="S142" s="9">
        <f t="shared" si="27"/>
        <v>64.913406468926169</v>
      </c>
      <c r="T142" s="9">
        <f t="shared" si="28"/>
        <v>30.728808559752547</v>
      </c>
      <c r="U142" s="9">
        <f t="shared" si="29"/>
        <v>12.420085658819753</v>
      </c>
      <c r="V142" s="9">
        <f t="shared" si="30"/>
        <v>56.851105781427705</v>
      </c>
      <c r="X142" s="2">
        <v>2.4601999999999999</v>
      </c>
      <c r="Y142" s="2">
        <v>0.99439999999999995</v>
      </c>
      <c r="Z142" s="2">
        <v>1.32E-2</v>
      </c>
      <c r="AA142" s="2">
        <v>7.8274999999999997</v>
      </c>
      <c r="AB142" s="2">
        <v>0</v>
      </c>
      <c r="AC142" s="2">
        <v>0</v>
      </c>
      <c r="AD142" s="2">
        <v>4.0099999999999997E-2</v>
      </c>
      <c r="AE142" s="2">
        <v>8.0500000000000002E-2</v>
      </c>
      <c r="AF142" s="2">
        <v>2.76E-2</v>
      </c>
      <c r="AG142" s="2">
        <v>0.1055</v>
      </c>
      <c r="AH142" s="2">
        <v>4.5514000000000001</v>
      </c>
      <c r="AI142" s="2">
        <v>16.1004</v>
      </c>
    </row>
    <row r="143" spans="1:35" x14ac:dyDescent="0.25">
      <c r="A143" s="2" t="s">
        <v>104</v>
      </c>
      <c r="B143" s="10">
        <v>476.22949</v>
      </c>
      <c r="C143" s="2">
        <v>19.494</v>
      </c>
      <c r="D143" s="2">
        <v>6.3319999999999999</v>
      </c>
      <c r="E143" s="2">
        <v>0.11600000000000001</v>
      </c>
      <c r="F143" s="2">
        <v>53.295999999999999</v>
      </c>
      <c r="G143" s="2">
        <v>0</v>
      </c>
      <c r="H143" s="2">
        <v>0</v>
      </c>
      <c r="I143" s="2">
        <v>0.29199999999999998</v>
      </c>
      <c r="J143" s="2">
        <v>0.61599999999999999</v>
      </c>
      <c r="K143" s="2">
        <v>0.114</v>
      </c>
      <c r="L143" s="2">
        <v>0.55800000000000005</v>
      </c>
      <c r="M143" s="2">
        <v>20.373000000000001</v>
      </c>
      <c r="N143" s="2">
        <v>101.191</v>
      </c>
      <c r="P143" s="9">
        <f t="shared" si="24"/>
        <v>0.27133412206834157</v>
      </c>
      <c r="Q143" s="9">
        <f t="shared" si="25"/>
        <v>0.50547078526237443</v>
      </c>
      <c r="R143" s="9">
        <f t="shared" si="26"/>
        <v>0.11291415528371196</v>
      </c>
      <c r="S143" s="9">
        <f t="shared" si="27"/>
        <v>65.070493310770999</v>
      </c>
      <c r="T143" s="9">
        <f t="shared" si="28"/>
        <v>30.496606566013067</v>
      </c>
      <c r="U143" s="9">
        <f t="shared" si="29"/>
        <v>12.690989777370303</v>
      </c>
      <c r="V143" s="9">
        <f t="shared" si="30"/>
        <v>56.812403656616631</v>
      </c>
      <c r="X143" s="2">
        <v>2.4125000000000001</v>
      </c>
      <c r="Y143" s="2">
        <v>1.004</v>
      </c>
      <c r="Z143" s="2">
        <v>1.29E-2</v>
      </c>
      <c r="AA143" s="2">
        <v>7.8864999999999998</v>
      </c>
      <c r="AB143" s="2">
        <v>0</v>
      </c>
      <c r="AC143" s="2">
        <v>0</v>
      </c>
      <c r="AD143" s="2">
        <v>3.4200000000000001E-2</v>
      </c>
      <c r="AE143" s="2">
        <v>7.7200000000000005E-2</v>
      </c>
      <c r="AF143" s="2">
        <v>3.2599999999999997E-2</v>
      </c>
      <c r="AG143" s="2">
        <v>9.7299999999999998E-2</v>
      </c>
      <c r="AH143" s="2">
        <v>4.4941000000000004</v>
      </c>
      <c r="AI143" s="2">
        <v>16.051300000000001</v>
      </c>
    </row>
    <row r="144" spans="1:35" x14ac:dyDescent="0.25">
      <c r="A144" s="2" t="s">
        <v>100</v>
      </c>
      <c r="B144" s="10">
        <v>486.58231000000001</v>
      </c>
      <c r="C144" s="2">
        <v>21.39</v>
      </c>
      <c r="D144" s="2">
        <v>4.1929999999999996</v>
      </c>
      <c r="E144" s="2">
        <v>9.5000000000000001E-2</v>
      </c>
      <c r="F144" s="2">
        <v>53.484999999999999</v>
      </c>
      <c r="G144" s="2">
        <v>0</v>
      </c>
      <c r="H144" s="2">
        <v>0</v>
      </c>
      <c r="I144" s="2">
        <v>0.27700000000000002</v>
      </c>
      <c r="J144" s="2">
        <v>0.70599999999999996</v>
      </c>
      <c r="K144" s="2">
        <v>5.1999999999999998E-2</v>
      </c>
      <c r="L144" s="2">
        <v>0.54300000000000004</v>
      </c>
      <c r="M144" s="2">
        <v>21.003</v>
      </c>
      <c r="N144" s="2">
        <v>101.744</v>
      </c>
      <c r="P144" s="9">
        <f t="shared" si="24"/>
        <v>0.29772426752035636</v>
      </c>
      <c r="Q144" s="9">
        <f t="shared" si="25"/>
        <v>0.52110160029772978</v>
      </c>
      <c r="R144" s="9">
        <f t="shared" si="26"/>
        <v>7.477085488070187E-2</v>
      </c>
      <c r="S144" s="9">
        <f t="shared" si="27"/>
        <v>63.640099901374867</v>
      </c>
      <c r="T144" s="9">
        <f t="shared" si="28"/>
        <v>33.317520080108075</v>
      </c>
      <c r="U144" s="9">
        <f t="shared" si="29"/>
        <v>8.3674047790689468</v>
      </c>
      <c r="V144" s="9">
        <f t="shared" si="30"/>
        <v>58.31507514082297</v>
      </c>
      <c r="X144" s="2">
        <v>2.6381999999999999</v>
      </c>
      <c r="Y144" s="2">
        <v>0.66259999999999997</v>
      </c>
      <c r="Z144" s="2">
        <v>1.0500000000000001E-2</v>
      </c>
      <c r="AA144" s="2">
        <v>7.8875999999999999</v>
      </c>
      <c r="AB144" s="2">
        <v>0</v>
      </c>
      <c r="AC144" s="2">
        <v>1E-4</v>
      </c>
      <c r="AD144" s="2">
        <v>3.2300000000000002E-2</v>
      </c>
      <c r="AE144" s="2">
        <v>8.8200000000000001E-2</v>
      </c>
      <c r="AF144" s="2">
        <v>1.4999999999999999E-2</v>
      </c>
      <c r="AG144" s="2">
        <v>9.4399999999999998E-2</v>
      </c>
      <c r="AH144" s="2">
        <v>4.6173999999999999</v>
      </c>
      <c r="AI144" s="2">
        <v>16.046299999999999</v>
      </c>
    </row>
    <row r="145" spans="1:35" x14ac:dyDescent="0.25">
      <c r="A145" s="2" t="s">
        <v>93</v>
      </c>
      <c r="B145" s="10">
        <v>496.93511999999998</v>
      </c>
      <c r="C145" s="2">
        <v>20.940999999999999</v>
      </c>
      <c r="D145" s="2">
        <v>4.7590000000000003</v>
      </c>
      <c r="E145" s="2">
        <v>9.9000000000000005E-2</v>
      </c>
      <c r="F145" s="2">
        <v>53.932000000000002</v>
      </c>
      <c r="G145" s="2">
        <v>0</v>
      </c>
      <c r="H145" s="2">
        <v>7.6999999999999999E-2</v>
      </c>
      <c r="I145" s="2">
        <v>0.27500000000000002</v>
      </c>
      <c r="J145" s="2">
        <v>0.7</v>
      </c>
      <c r="K145" s="2">
        <v>5.7000000000000002E-2</v>
      </c>
      <c r="L145" s="2">
        <v>0.65</v>
      </c>
      <c r="M145" s="2">
        <v>20.29</v>
      </c>
      <c r="N145" s="2">
        <v>101.78</v>
      </c>
      <c r="P145" s="9">
        <f t="shared" si="24"/>
        <v>0.29147470248451529</v>
      </c>
      <c r="Q145" s="9">
        <f t="shared" si="25"/>
        <v>0.50341148740851005</v>
      </c>
      <c r="R145" s="9">
        <f t="shared" si="26"/>
        <v>8.4863939512821424E-2</v>
      </c>
      <c r="S145" s="9">
        <f t="shared" si="27"/>
        <v>63.331266011334087</v>
      </c>
      <c r="T145" s="9">
        <f t="shared" si="28"/>
        <v>33.131532777536208</v>
      </c>
      <c r="U145" s="9">
        <f t="shared" si="29"/>
        <v>9.6463685171760805</v>
      </c>
      <c r="V145" s="9">
        <f t="shared" si="30"/>
        <v>57.222098705287713</v>
      </c>
      <c r="X145" s="2">
        <v>2.5779999999999998</v>
      </c>
      <c r="Y145" s="2">
        <v>0.75070000000000003</v>
      </c>
      <c r="Z145" s="2">
        <v>1.0999999999999999E-2</v>
      </c>
      <c r="AA145" s="2">
        <v>7.9386999999999999</v>
      </c>
      <c r="AB145" s="2">
        <v>0</v>
      </c>
      <c r="AC145" s="2">
        <v>1.4500000000000001E-2</v>
      </c>
      <c r="AD145" s="2">
        <v>3.2000000000000001E-2</v>
      </c>
      <c r="AE145" s="2">
        <v>8.7300000000000003E-2</v>
      </c>
      <c r="AF145" s="2">
        <v>1.61E-2</v>
      </c>
      <c r="AG145" s="2">
        <v>0.1128</v>
      </c>
      <c r="AH145" s="2">
        <v>4.4522000000000004</v>
      </c>
      <c r="AI145" s="2">
        <v>15.9933</v>
      </c>
    </row>
    <row r="146" spans="1:35" x14ac:dyDescent="0.25">
      <c r="A146" s="2" t="s">
        <v>337</v>
      </c>
      <c r="B146" s="10">
        <v>511.42905999999999</v>
      </c>
      <c r="C146" s="2">
        <v>18.670000000000002</v>
      </c>
      <c r="D146" s="2">
        <v>7.4969999999999999</v>
      </c>
      <c r="E146" s="2">
        <v>0.16500000000000001</v>
      </c>
      <c r="F146" s="2">
        <v>53.168999999999997</v>
      </c>
      <c r="G146" s="2">
        <v>0</v>
      </c>
      <c r="H146" s="2">
        <v>8.0000000000000002E-3</v>
      </c>
      <c r="I146" s="2">
        <v>0.39700000000000002</v>
      </c>
      <c r="J146" s="2">
        <v>0.62</v>
      </c>
      <c r="K146" s="2">
        <v>0.11</v>
      </c>
      <c r="L146" s="2">
        <v>0.80400000000000005</v>
      </c>
      <c r="M146" s="2">
        <v>19.471</v>
      </c>
      <c r="N146" s="2">
        <v>100.911</v>
      </c>
      <c r="P146" s="9">
        <f t="shared" si="24"/>
        <v>0.2598649871250609</v>
      </c>
      <c r="Q146" s="9">
        <f t="shared" si="25"/>
        <v>0.48309142786254805</v>
      </c>
      <c r="R146" s="9">
        <f t="shared" si="26"/>
        <v>0.13368879061307465</v>
      </c>
      <c r="S146" s="9">
        <f t="shared" si="27"/>
        <v>65.02284900125737</v>
      </c>
      <c r="T146" s="9">
        <f t="shared" si="28"/>
        <v>29.643119641200744</v>
      </c>
      <c r="U146" s="9">
        <f t="shared" si="29"/>
        <v>15.25004525878518</v>
      </c>
      <c r="V146" s="9">
        <f t="shared" si="30"/>
        <v>55.106835100014081</v>
      </c>
      <c r="X146" s="2">
        <v>2.3163</v>
      </c>
      <c r="Y146" s="2">
        <v>1.1916</v>
      </c>
      <c r="Z146" s="2">
        <v>1.84E-2</v>
      </c>
      <c r="AA146" s="2">
        <v>7.8872</v>
      </c>
      <c r="AB146" s="2">
        <v>0</v>
      </c>
      <c r="AC146" s="2">
        <v>1.4E-3</v>
      </c>
      <c r="AD146" s="2">
        <v>4.6600000000000003E-2</v>
      </c>
      <c r="AE146" s="2">
        <v>7.7899999999999997E-2</v>
      </c>
      <c r="AF146" s="2">
        <v>3.15E-2</v>
      </c>
      <c r="AG146" s="2">
        <v>0.1406</v>
      </c>
      <c r="AH146" s="2">
        <v>4.3056999999999999</v>
      </c>
      <c r="AI146" s="2">
        <v>16.017199999999999</v>
      </c>
    </row>
    <row r="147" spans="1:35" x14ac:dyDescent="0.25">
      <c r="A147" s="2" t="s">
        <v>107</v>
      </c>
      <c r="B147" s="10">
        <v>532.13468999999998</v>
      </c>
      <c r="C147" s="2">
        <v>18.439</v>
      </c>
      <c r="D147" s="2">
        <v>8.1460000000000008</v>
      </c>
      <c r="E147" s="2">
        <v>0.17499999999999999</v>
      </c>
      <c r="F147" s="2">
        <v>52.524999999999999</v>
      </c>
      <c r="G147" s="2">
        <v>0</v>
      </c>
      <c r="H147" s="2">
        <v>1E-3</v>
      </c>
      <c r="I147" s="2">
        <v>0.48899999999999999</v>
      </c>
      <c r="J147" s="2">
        <v>0.60099999999999998</v>
      </c>
      <c r="K147" s="2">
        <v>0.108</v>
      </c>
      <c r="L147" s="2">
        <v>0.98</v>
      </c>
      <c r="M147" s="2">
        <v>19.381</v>
      </c>
      <c r="N147" s="2">
        <v>100.845</v>
      </c>
      <c r="P147" s="9">
        <f t="shared" si="24"/>
        <v>0.25664973206207808</v>
      </c>
      <c r="Q147" s="9">
        <f t="shared" si="25"/>
        <v>0.48085845428606871</v>
      </c>
      <c r="R147" s="9">
        <f t="shared" si="26"/>
        <v>0.14526195656050503</v>
      </c>
      <c r="S147" s="9">
        <f t="shared" si="27"/>
        <v>65.200422610505854</v>
      </c>
      <c r="T147" s="9">
        <f t="shared" si="28"/>
        <v>29.073222981515805</v>
      </c>
      <c r="U147" s="9">
        <f t="shared" si="29"/>
        <v>16.455241234357946</v>
      </c>
      <c r="V147" s="9">
        <f t="shared" si="30"/>
        <v>54.47153578412626</v>
      </c>
      <c r="X147" s="2">
        <v>2.2948</v>
      </c>
      <c r="Y147" s="2">
        <v>1.2988999999999999</v>
      </c>
      <c r="Z147" s="2">
        <v>1.9599999999999999E-2</v>
      </c>
      <c r="AA147" s="2">
        <v>7.8162000000000003</v>
      </c>
      <c r="AB147" s="2">
        <v>0</v>
      </c>
      <c r="AC147" s="2">
        <v>2.0000000000000001E-4</v>
      </c>
      <c r="AD147" s="2">
        <v>5.7500000000000002E-2</v>
      </c>
      <c r="AE147" s="2">
        <v>7.5800000000000006E-2</v>
      </c>
      <c r="AF147" s="2">
        <v>3.1300000000000001E-2</v>
      </c>
      <c r="AG147" s="2">
        <v>0.17180000000000001</v>
      </c>
      <c r="AH147" s="2">
        <v>4.2991999999999999</v>
      </c>
      <c r="AI147" s="2">
        <v>16.065300000000001</v>
      </c>
    </row>
    <row r="148" spans="1:35" x14ac:dyDescent="0.25">
      <c r="A148" s="2" t="s">
        <v>91</v>
      </c>
      <c r="B148" s="10">
        <v>552.84032000000002</v>
      </c>
      <c r="C148" s="2">
        <v>20.521999999999998</v>
      </c>
      <c r="D148" s="2">
        <v>5.7160000000000002</v>
      </c>
      <c r="E148" s="2">
        <v>0.13800000000000001</v>
      </c>
      <c r="F148" s="2">
        <v>52.84</v>
      </c>
      <c r="G148" s="2">
        <v>0</v>
      </c>
      <c r="H148" s="2">
        <v>0</v>
      </c>
      <c r="I148" s="2">
        <v>0.33100000000000002</v>
      </c>
      <c r="J148" s="2">
        <v>0.69799999999999995</v>
      </c>
      <c r="K148" s="2">
        <v>7.8E-2</v>
      </c>
      <c r="L148" s="2">
        <v>0.67100000000000004</v>
      </c>
      <c r="M148" s="2">
        <v>20.273</v>
      </c>
      <c r="N148" s="2">
        <v>101.267</v>
      </c>
      <c r="P148" s="9">
        <f t="shared" si="24"/>
        <v>0.28564270304126937</v>
      </c>
      <c r="Q148" s="9">
        <f t="shared" si="25"/>
        <v>0.50298970351073069</v>
      </c>
      <c r="R148" s="9">
        <f t="shared" si="26"/>
        <v>0.10192945540140519</v>
      </c>
      <c r="S148" s="9">
        <f t="shared" si="27"/>
        <v>63.779994244703289</v>
      </c>
      <c r="T148" s="9">
        <f t="shared" si="28"/>
        <v>32.074436964404207</v>
      </c>
      <c r="U148" s="9">
        <f t="shared" si="29"/>
        <v>11.445522176059479</v>
      </c>
      <c r="V148" s="9">
        <f t="shared" si="30"/>
        <v>56.480040859536317</v>
      </c>
      <c r="X148" s="2">
        <v>2.5482999999999998</v>
      </c>
      <c r="Y148" s="2">
        <v>0.9093</v>
      </c>
      <c r="Z148" s="2">
        <v>1.54E-2</v>
      </c>
      <c r="AA148" s="2">
        <v>7.8453999999999997</v>
      </c>
      <c r="AB148" s="2">
        <v>0</v>
      </c>
      <c r="AC148" s="2">
        <v>0</v>
      </c>
      <c r="AD148" s="2">
        <v>3.8899999999999997E-2</v>
      </c>
      <c r="AE148" s="2">
        <v>8.7800000000000003E-2</v>
      </c>
      <c r="AF148" s="2">
        <v>2.2499999999999999E-2</v>
      </c>
      <c r="AG148" s="2">
        <v>0.1174</v>
      </c>
      <c r="AH148" s="2">
        <v>4.4870999999999999</v>
      </c>
      <c r="AI148" s="2">
        <v>16.072099999999999</v>
      </c>
    </row>
    <row r="149" spans="1:35" x14ac:dyDescent="0.25">
      <c r="A149" s="2" t="s">
        <v>98</v>
      </c>
      <c r="B149" s="10">
        <v>573.54594999999995</v>
      </c>
      <c r="C149" s="2">
        <v>18.065000000000001</v>
      </c>
      <c r="D149" s="2">
        <v>8.7910000000000004</v>
      </c>
      <c r="E149" s="2">
        <v>0.11899999999999999</v>
      </c>
      <c r="F149" s="2">
        <v>52.723999999999997</v>
      </c>
      <c r="G149" s="2">
        <v>0</v>
      </c>
      <c r="H149" s="2">
        <v>8.9999999999999993E-3</v>
      </c>
      <c r="I149" s="2">
        <v>0.42199999999999999</v>
      </c>
      <c r="J149" s="2">
        <v>0.61099999999999999</v>
      </c>
      <c r="K149" s="2">
        <v>9.5000000000000001E-2</v>
      </c>
      <c r="L149" s="2">
        <v>0.8</v>
      </c>
      <c r="M149" s="2">
        <v>19.233000000000001</v>
      </c>
      <c r="N149" s="2">
        <v>100.869</v>
      </c>
      <c r="P149" s="9">
        <f t="shared" si="24"/>
        <v>0.25144408100772497</v>
      </c>
      <c r="Q149" s="9">
        <f t="shared" si="25"/>
        <v>0.47718645329363601</v>
      </c>
      <c r="R149" s="9">
        <f t="shared" si="26"/>
        <v>0.15676379328792039</v>
      </c>
      <c r="S149" s="9">
        <f t="shared" si="27"/>
        <v>65.490866883746605</v>
      </c>
      <c r="T149" s="9">
        <f t="shared" si="28"/>
        <v>28.399106835521241</v>
      </c>
      <c r="U149" s="9">
        <f t="shared" si="29"/>
        <v>17.705533952849123</v>
      </c>
      <c r="V149" s="9">
        <f t="shared" si="30"/>
        <v>53.895359211629625</v>
      </c>
      <c r="X149" s="2">
        <v>2.2471999999999999</v>
      </c>
      <c r="Y149" s="2">
        <v>1.4011</v>
      </c>
      <c r="Z149" s="2">
        <v>1.3299999999999999E-2</v>
      </c>
      <c r="AA149" s="2">
        <v>7.8422000000000001</v>
      </c>
      <c r="AB149" s="2">
        <v>0</v>
      </c>
      <c r="AC149" s="2">
        <v>1.6999999999999999E-3</v>
      </c>
      <c r="AD149" s="2">
        <v>4.9599999999999998E-2</v>
      </c>
      <c r="AE149" s="2">
        <v>7.6999999999999999E-2</v>
      </c>
      <c r="AF149" s="2">
        <v>2.7400000000000001E-2</v>
      </c>
      <c r="AG149" s="2">
        <v>0.14019999999999999</v>
      </c>
      <c r="AH149" s="2">
        <v>4.2644000000000002</v>
      </c>
      <c r="AI149" s="2">
        <v>16.0641</v>
      </c>
    </row>
    <row r="150" spans="1:35" x14ac:dyDescent="0.25">
      <c r="A150" s="2" t="s">
        <v>338</v>
      </c>
      <c r="B150" s="10">
        <v>594.25157999999999</v>
      </c>
      <c r="C150" s="2">
        <v>18.693000000000001</v>
      </c>
      <c r="D150" s="2">
        <v>7.0540000000000003</v>
      </c>
      <c r="E150" s="2">
        <v>0.14599999999999999</v>
      </c>
      <c r="F150" s="2">
        <v>52.597999999999999</v>
      </c>
      <c r="G150" s="2">
        <v>0</v>
      </c>
      <c r="H150" s="2">
        <v>8.9999999999999993E-3</v>
      </c>
      <c r="I150" s="2">
        <v>0.44700000000000001</v>
      </c>
      <c r="J150" s="2">
        <v>0.60899999999999999</v>
      </c>
      <c r="K150" s="2">
        <v>0.11899999999999999</v>
      </c>
      <c r="L150" s="2">
        <v>0.98399999999999999</v>
      </c>
      <c r="M150" s="2">
        <v>19.286000000000001</v>
      </c>
      <c r="N150" s="2">
        <v>99.944999999999993</v>
      </c>
      <c r="P150" s="9">
        <f t="shared" si="24"/>
        <v>0.26018512074605055</v>
      </c>
      <c r="Q150" s="9">
        <f t="shared" si="25"/>
        <v>0.47850142662200723</v>
      </c>
      <c r="R150" s="9">
        <f t="shared" si="26"/>
        <v>0.12578907949641571</v>
      </c>
      <c r="S150" s="9">
        <f t="shared" si="27"/>
        <v>64.777330564216868</v>
      </c>
      <c r="T150" s="9">
        <f t="shared" si="28"/>
        <v>30.09745013746241</v>
      </c>
      <c r="U150" s="9">
        <f t="shared" si="29"/>
        <v>14.550911047968279</v>
      </c>
      <c r="V150" s="9">
        <f t="shared" si="30"/>
        <v>55.351638814569313</v>
      </c>
      <c r="X150" s="2">
        <v>2.3412000000000002</v>
      </c>
      <c r="Y150" s="2">
        <v>1.1317999999999999</v>
      </c>
      <c r="Z150" s="2">
        <v>1.6400000000000001E-2</v>
      </c>
      <c r="AA150" s="2">
        <v>7.8766999999999996</v>
      </c>
      <c r="AB150" s="2">
        <v>0</v>
      </c>
      <c r="AC150" s="2">
        <v>1.6999999999999999E-3</v>
      </c>
      <c r="AD150" s="2">
        <v>5.2900000000000003E-2</v>
      </c>
      <c r="AE150" s="2">
        <v>7.7299999999999994E-2</v>
      </c>
      <c r="AF150" s="2">
        <v>3.4599999999999999E-2</v>
      </c>
      <c r="AG150" s="2">
        <v>0.17380000000000001</v>
      </c>
      <c r="AH150" s="2">
        <v>4.3052999999999999</v>
      </c>
      <c r="AI150" s="2">
        <v>16.011700000000001</v>
      </c>
    </row>
    <row r="151" spans="1:35" x14ac:dyDescent="0.25">
      <c r="A151" s="2" t="s">
        <v>339</v>
      </c>
      <c r="B151" s="10">
        <v>652.22735</v>
      </c>
      <c r="C151" s="2">
        <v>25.472000000000001</v>
      </c>
      <c r="D151" s="2">
        <v>6.6369999999999996</v>
      </c>
      <c r="E151" s="2">
        <v>0.17599999999999999</v>
      </c>
      <c r="F151" s="2">
        <v>51.201000000000001</v>
      </c>
      <c r="G151" s="2">
        <v>0</v>
      </c>
      <c r="H151" s="2">
        <v>0</v>
      </c>
      <c r="I151" s="2">
        <v>0.25900000000000001</v>
      </c>
      <c r="J151" s="2">
        <v>0.76100000000000001</v>
      </c>
      <c r="K151" s="2">
        <v>0.08</v>
      </c>
      <c r="L151" s="2">
        <v>0.76700000000000002</v>
      </c>
      <c r="M151" s="2">
        <v>15.856</v>
      </c>
      <c r="N151" s="2">
        <v>101.209</v>
      </c>
      <c r="P151" s="9">
        <f t="shared" si="24"/>
        <v>0.3545410258194725</v>
      </c>
      <c r="Q151" s="9">
        <f t="shared" si="25"/>
        <v>0.39340032254062773</v>
      </c>
      <c r="R151" s="9">
        <f t="shared" si="26"/>
        <v>0.11835300830985412</v>
      </c>
      <c r="S151" s="9">
        <f t="shared" si="27"/>
        <v>52.59775026520169</v>
      </c>
      <c r="T151" s="9">
        <f t="shared" si="28"/>
        <v>40.926161308764883</v>
      </c>
      <c r="U151" s="9">
        <f t="shared" si="29"/>
        <v>13.661985374671545</v>
      </c>
      <c r="V151" s="9">
        <f t="shared" si="30"/>
        <v>45.411853316563572</v>
      </c>
      <c r="X151" s="2">
        <v>3.2544</v>
      </c>
      <c r="Y151" s="2">
        <v>1.0864</v>
      </c>
      <c r="Z151" s="2">
        <v>2.0199999999999999E-2</v>
      </c>
      <c r="AA151" s="2">
        <v>7.8217999999999996</v>
      </c>
      <c r="AB151" s="2">
        <v>0</v>
      </c>
      <c r="AC151" s="2">
        <v>0</v>
      </c>
      <c r="AD151" s="2">
        <v>3.1199999999999999E-2</v>
      </c>
      <c r="AE151" s="2">
        <v>9.8500000000000004E-2</v>
      </c>
      <c r="AF151" s="2">
        <v>2.3800000000000002E-2</v>
      </c>
      <c r="AG151" s="2">
        <v>0.13800000000000001</v>
      </c>
      <c r="AH151" s="2">
        <v>3.6107999999999998</v>
      </c>
      <c r="AI151" s="2">
        <v>16.085100000000001</v>
      </c>
    </row>
    <row r="152" spans="1:35" x14ac:dyDescent="0.25">
      <c r="A152" s="2" t="s">
        <v>85</v>
      </c>
      <c r="B152" s="10">
        <v>679.14466000000004</v>
      </c>
      <c r="C152" s="2">
        <v>27.635000000000002</v>
      </c>
      <c r="D152" s="2">
        <v>5.8490000000000002</v>
      </c>
      <c r="E152" s="2">
        <v>0.20599999999999999</v>
      </c>
      <c r="F152" s="2">
        <v>50.911000000000001</v>
      </c>
      <c r="G152" s="2">
        <v>0</v>
      </c>
      <c r="H152" s="2">
        <v>7.0000000000000001E-3</v>
      </c>
      <c r="I152" s="2">
        <v>0.17399999999999999</v>
      </c>
      <c r="J152" s="2">
        <v>0.81</v>
      </c>
      <c r="K152" s="2">
        <v>6.0999999999999999E-2</v>
      </c>
      <c r="L152" s="2">
        <v>0.65200000000000002</v>
      </c>
      <c r="M152" s="2">
        <v>14.891</v>
      </c>
      <c r="N152" s="2">
        <v>101.196</v>
      </c>
      <c r="P152" s="9">
        <f t="shared" si="24"/>
        <v>0.38464750504558426</v>
      </c>
      <c r="Q152" s="9">
        <f t="shared" si="25"/>
        <v>0.36945788363726584</v>
      </c>
      <c r="R152" s="9">
        <f t="shared" si="26"/>
        <v>0.10430115196690325</v>
      </c>
      <c r="S152" s="9">
        <f t="shared" si="27"/>
        <v>48.992871445007893</v>
      </c>
      <c r="T152" s="9">
        <f t="shared" si="28"/>
        <v>44.809479754713095</v>
      </c>
      <c r="U152" s="9">
        <f t="shared" si="29"/>
        <v>12.150554198708063</v>
      </c>
      <c r="V152" s="9">
        <f t="shared" si="30"/>
        <v>43.03996604657884</v>
      </c>
      <c r="X152" s="2">
        <v>3.5598000000000001</v>
      </c>
      <c r="Y152" s="2">
        <v>0.96530000000000005</v>
      </c>
      <c r="Z152" s="2">
        <v>2.3900000000000001E-2</v>
      </c>
      <c r="AA152" s="2">
        <v>7.8415999999999997</v>
      </c>
      <c r="AB152" s="2">
        <v>0</v>
      </c>
      <c r="AC152" s="2">
        <v>1.4E-3</v>
      </c>
      <c r="AD152" s="2">
        <v>2.12E-2</v>
      </c>
      <c r="AE152" s="2">
        <v>0.1057</v>
      </c>
      <c r="AF152" s="2">
        <v>1.83E-2</v>
      </c>
      <c r="AG152" s="2">
        <v>0.1183</v>
      </c>
      <c r="AH152" s="2">
        <v>3.419</v>
      </c>
      <c r="AI152" s="2">
        <v>16.0745</v>
      </c>
    </row>
    <row r="153" spans="1:35" x14ac:dyDescent="0.25">
      <c r="A153" s="2" t="s">
        <v>340</v>
      </c>
      <c r="B153" s="10">
        <v>691.56804</v>
      </c>
      <c r="C153" s="2">
        <v>28.238</v>
      </c>
      <c r="D153" s="2">
        <v>5.6550000000000002</v>
      </c>
      <c r="E153" s="2">
        <v>0.248</v>
      </c>
      <c r="F153" s="2">
        <v>50.779000000000003</v>
      </c>
      <c r="G153" s="2">
        <v>0</v>
      </c>
      <c r="H153" s="2">
        <v>0</v>
      </c>
      <c r="I153" s="2">
        <v>0.24299999999999999</v>
      </c>
      <c r="J153" s="2">
        <v>0.86499999999999999</v>
      </c>
      <c r="K153" s="2">
        <v>5.6000000000000001E-2</v>
      </c>
      <c r="L153" s="2">
        <v>0.72399999999999998</v>
      </c>
      <c r="M153" s="2">
        <v>14.834</v>
      </c>
      <c r="N153" s="2">
        <v>101.642</v>
      </c>
      <c r="P153" s="9">
        <f t="shared" si="24"/>
        <v>0.39304057345674714</v>
      </c>
      <c r="Q153" s="9">
        <f t="shared" si="25"/>
        <v>0.3680436670388289</v>
      </c>
      <c r="R153" s="9">
        <f t="shared" si="26"/>
        <v>0.10084168479617675</v>
      </c>
      <c r="S153" s="9">
        <f t="shared" si="27"/>
        <v>48.357809484949946</v>
      </c>
      <c r="T153" s="9">
        <f t="shared" si="28"/>
        <v>45.600272822018553</v>
      </c>
      <c r="U153" s="9">
        <f t="shared" si="29"/>
        <v>11.699576708061416</v>
      </c>
      <c r="V153" s="9">
        <f t="shared" si="30"/>
        <v>42.700150469920025</v>
      </c>
      <c r="X153" s="2">
        <v>3.6315</v>
      </c>
      <c r="Y153" s="2">
        <v>0.93169999999999997</v>
      </c>
      <c r="Z153" s="2">
        <v>2.87E-2</v>
      </c>
      <c r="AA153" s="2">
        <v>7.8083999999999998</v>
      </c>
      <c r="AB153" s="2">
        <v>0</v>
      </c>
      <c r="AC153" s="2">
        <v>0</v>
      </c>
      <c r="AD153" s="2">
        <v>2.9600000000000001E-2</v>
      </c>
      <c r="AE153" s="2">
        <v>0.11269999999999999</v>
      </c>
      <c r="AF153" s="2">
        <v>1.67E-2</v>
      </c>
      <c r="AG153" s="2">
        <v>0.13120000000000001</v>
      </c>
      <c r="AH153" s="2">
        <v>3.4005000000000001</v>
      </c>
      <c r="AI153" s="2">
        <v>16.091000000000001</v>
      </c>
    </row>
    <row r="154" spans="1:35" x14ac:dyDescent="0.25">
      <c r="A154" s="2" t="s">
        <v>94</v>
      </c>
      <c r="B154" s="10">
        <v>708.13255000000004</v>
      </c>
      <c r="C154" s="2">
        <v>20.792999999999999</v>
      </c>
      <c r="D154" s="2">
        <v>14.231999999999999</v>
      </c>
      <c r="E154" s="2">
        <v>0.433</v>
      </c>
      <c r="F154" s="2">
        <v>50.996000000000002</v>
      </c>
      <c r="G154" s="2">
        <v>2.4E-2</v>
      </c>
      <c r="H154" s="2">
        <v>0</v>
      </c>
      <c r="I154" s="2">
        <v>0.308</v>
      </c>
      <c r="J154" s="2">
        <v>0.628</v>
      </c>
      <c r="K154" s="2">
        <v>0.156</v>
      </c>
      <c r="L154" s="2">
        <v>1.105</v>
      </c>
      <c r="M154" s="2">
        <v>12.509</v>
      </c>
      <c r="N154" s="2">
        <v>101.184</v>
      </c>
      <c r="P154" s="9">
        <f t="shared" si="24"/>
        <v>0.28941471222771242</v>
      </c>
      <c r="Q154" s="9">
        <f t="shared" si="25"/>
        <v>0.31035851631311251</v>
      </c>
      <c r="R154" s="9">
        <f t="shared" si="26"/>
        <v>0.25378936481329573</v>
      </c>
      <c r="S154" s="9">
        <f t="shared" si="27"/>
        <v>51.745976903333435</v>
      </c>
      <c r="T154" s="9">
        <f t="shared" si="28"/>
        <v>33.906677082748146</v>
      </c>
      <c r="U154" s="9">
        <f t="shared" si="29"/>
        <v>29.732953012387362</v>
      </c>
      <c r="V154" s="9">
        <f t="shared" si="30"/>
        <v>36.360369904864484</v>
      </c>
      <c r="X154" s="2">
        <v>2.6585999999999999</v>
      </c>
      <c r="Y154" s="2">
        <v>2.3313999999999999</v>
      </c>
      <c r="Z154" s="2">
        <v>4.9799999999999997E-2</v>
      </c>
      <c r="AA154" s="2">
        <v>7.7962999999999996</v>
      </c>
      <c r="AB154" s="2">
        <v>3.0999999999999999E-3</v>
      </c>
      <c r="AC154" s="2">
        <v>0</v>
      </c>
      <c r="AD154" s="2">
        <v>3.7199999999999997E-2</v>
      </c>
      <c r="AE154" s="2">
        <v>8.1299999999999997E-2</v>
      </c>
      <c r="AF154" s="2">
        <v>4.6199999999999998E-2</v>
      </c>
      <c r="AG154" s="2">
        <v>0.1991</v>
      </c>
      <c r="AH154" s="2">
        <v>2.8509000000000002</v>
      </c>
      <c r="AI154" s="2">
        <v>16.053899999999999</v>
      </c>
    </row>
    <row r="155" spans="1:35" x14ac:dyDescent="0.25">
      <c r="A155" s="2" t="s">
        <v>341</v>
      </c>
      <c r="B155" s="10">
        <v>724.69704999999999</v>
      </c>
      <c r="C155" s="2">
        <v>21.013000000000002</v>
      </c>
      <c r="D155" s="2">
        <v>13.609</v>
      </c>
      <c r="E155" s="2">
        <v>0.377</v>
      </c>
      <c r="F155" s="2">
        <v>50.939</v>
      </c>
      <c r="G155" s="2">
        <v>0</v>
      </c>
      <c r="H155" s="2">
        <v>0</v>
      </c>
      <c r="I155" s="2">
        <v>0.33900000000000002</v>
      </c>
      <c r="J155" s="2">
        <v>0.61399999999999999</v>
      </c>
      <c r="K155" s="2">
        <v>0.17599999999999999</v>
      </c>
      <c r="L155" s="2">
        <v>1.1279999999999999</v>
      </c>
      <c r="M155" s="2">
        <v>12.933999999999999</v>
      </c>
      <c r="N155" s="2">
        <v>101.129</v>
      </c>
      <c r="P155" s="9">
        <f t="shared" si="24"/>
        <v>0.29247685990674371</v>
      </c>
      <c r="Q155" s="9">
        <f t="shared" si="25"/>
        <v>0.32090311375759828</v>
      </c>
      <c r="R155" s="9">
        <f t="shared" si="26"/>
        <v>0.24267983879596275</v>
      </c>
      <c r="S155" s="9">
        <f t="shared" si="27"/>
        <v>52.317181443097638</v>
      </c>
      <c r="T155" s="9">
        <f t="shared" si="28"/>
        <v>34.165470175053429</v>
      </c>
      <c r="U155" s="9">
        <f t="shared" si="29"/>
        <v>28.348467626170194</v>
      </c>
      <c r="V155" s="9">
        <f t="shared" si="30"/>
        <v>37.486062198776381</v>
      </c>
      <c r="X155" s="2">
        <v>2.6869999999999998</v>
      </c>
      <c r="Y155" s="2">
        <v>2.2294999999999998</v>
      </c>
      <c r="Z155" s="2">
        <v>4.3400000000000001E-2</v>
      </c>
      <c r="AA155" s="2">
        <v>7.7884000000000002</v>
      </c>
      <c r="AB155" s="2">
        <v>0</v>
      </c>
      <c r="AC155" s="2">
        <v>0</v>
      </c>
      <c r="AD155" s="2">
        <v>4.1000000000000002E-2</v>
      </c>
      <c r="AE155" s="2">
        <v>7.9500000000000001E-2</v>
      </c>
      <c r="AF155" s="2">
        <v>5.1999999999999998E-2</v>
      </c>
      <c r="AG155" s="2">
        <v>0.20330000000000001</v>
      </c>
      <c r="AH155" s="2">
        <v>2.948</v>
      </c>
      <c r="AI155" s="2">
        <v>16.072099999999999</v>
      </c>
    </row>
    <row r="156" spans="1:35" x14ac:dyDescent="0.25">
      <c r="A156" s="2" t="s">
        <v>342</v>
      </c>
      <c r="B156" s="10">
        <v>745.40268000000003</v>
      </c>
      <c r="C156" s="2">
        <v>12.662000000000001</v>
      </c>
      <c r="D156" s="2">
        <v>17.494</v>
      </c>
      <c r="E156" s="2">
        <v>0.19600000000000001</v>
      </c>
      <c r="F156" s="2">
        <v>52.002000000000002</v>
      </c>
      <c r="G156" s="2">
        <v>0.33</v>
      </c>
      <c r="H156" s="2">
        <v>4.0000000000000001E-3</v>
      </c>
      <c r="I156" s="2">
        <v>0.68300000000000005</v>
      </c>
      <c r="J156" s="2">
        <v>0.48599999999999999</v>
      </c>
      <c r="K156" s="2">
        <v>0.27</v>
      </c>
      <c r="L156" s="2">
        <v>1.4139999999999999</v>
      </c>
      <c r="M156" s="2">
        <v>15.576000000000001</v>
      </c>
      <c r="N156" s="2">
        <v>101.117</v>
      </c>
      <c r="P156" s="9">
        <f t="shared" si="24"/>
        <v>0.17624051778133484</v>
      </c>
      <c r="Q156" s="9">
        <f t="shared" si="25"/>
        <v>0.38645329363602532</v>
      </c>
      <c r="R156" s="9">
        <f t="shared" si="26"/>
        <v>0.31195834373551123</v>
      </c>
      <c r="S156" s="9">
        <f t="shared" si="27"/>
        <v>68.679144109048309</v>
      </c>
      <c r="T156" s="9">
        <f t="shared" si="28"/>
        <v>20.149783744662653</v>
      </c>
      <c r="U156" s="9">
        <f t="shared" si="29"/>
        <v>35.666560917692728</v>
      </c>
      <c r="V156" s="9">
        <f t="shared" si="30"/>
        <v>44.183655337644609</v>
      </c>
      <c r="X156" s="2">
        <v>1.5733999999999999</v>
      </c>
      <c r="Y156" s="2">
        <v>2.7850000000000001</v>
      </c>
      <c r="Z156" s="2">
        <v>2.1899999999999999E-2</v>
      </c>
      <c r="AA156" s="2">
        <v>7.7262000000000004</v>
      </c>
      <c r="AB156" s="2">
        <v>4.1500000000000002E-2</v>
      </c>
      <c r="AC156" s="2">
        <v>6.9999999999999999E-4</v>
      </c>
      <c r="AD156" s="2">
        <v>8.0199999999999994E-2</v>
      </c>
      <c r="AE156" s="2">
        <v>6.1100000000000002E-2</v>
      </c>
      <c r="AF156" s="2">
        <v>7.7700000000000005E-2</v>
      </c>
      <c r="AG156" s="2">
        <v>0.24759999999999999</v>
      </c>
      <c r="AH156" s="2">
        <v>3.4498000000000002</v>
      </c>
      <c r="AI156" s="2">
        <v>16.065100000000001</v>
      </c>
    </row>
    <row r="157" spans="1:35" x14ac:dyDescent="0.25">
      <c r="A157" s="2" t="s">
        <v>343</v>
      </c>
      <c r="B157" s="10">
        <v>766.10830999999996</v>
      </c>
      <c r="C157" s="2">
        <v>12.874000000000001</v>
      </c>
      <c r="D157" s="2">
        <v>17.407</v>
      </c>
      <c r="E157" s="2">
        <v>0.218</v>
      </c>
      <c r="F157" s="2">
        <v>52.151000000000003</v>
      </c>
      <c r="G157" s="2">
        <v>7.0000000000000001E-3</v>
      </c>
      <c r="H157" s="2">
        <v>1E-3</v>
      </c>
      <c r="I157" s="2">
        <v>0.70699999999999996</v>
      </c>
      <c r="J157" s="2">
        <v>0.41799999999999998</v>
      </c>
      <c r="K157" s="2">
        <v>0.18</v>
      </c>
      <c r="L157" s="2">
        <v>1.4450000000000001</v>
      </c>
      <c r="M157" s="2">
        <v>15.436999999999999</v>
      </c>
      <c r="N157" s="2">
        <v>100.845</v>
      </c>
      <c r="P157" s="9">
        <f t="shared" si="24"/>
        <v>0.17919131463567403</v>
      </c>
      <c r="Q157" s="9">
        <f t="shared" si="25"/>
        <v>0.38300459000124054</v>
      </c>
      <c r="R157" s="9">
        <f t="shared" si="26"/>
        <v>0.31040693320018542</v>
      </c>
      <c r="S157" s="9">
        <f t="shared" si="27"/>
        <v>68.126535046283919</v>
      </c>
      <c r="T157" s="9">
        <f t="shared" si="28"/>
        <v>20.535266087356682</v>
      </c>
      <c r="U157" s="9">
        <f t="shared" si="29"/>
        <v>35.572533086138449</v>
      </c>
      <c r="V157" s="9">
        <f t="shared" si="30"/>
        <v>43.892200826504869</v>
      </c>
      <c r="X157" s="2">
        <v>1.6051</v>
      </c>
      <c r="Y157" s="2">
        <v>2.7804000000000002</v>
      </c>
      <c r="Z157" s="2">
        <v>2.4400000000000002E-2</v>
      </c>
      <c r="AA157" s="2">
        <v>7.7742000000000004</v>
      </c>
      <c r="AB157" s="2">
        <v>8.9999999999999998E-4</v>
      </c>
      <c r="AC157" s="2">
        <v>2.0000000000000001E-4</v>
      </c>
      <c r="AD157" s="2">
        <v>8.3299999999999999E-2</v>
      </c>
      <c r="AE157" s="2">
        <v>5.28E-2</v>
      </c>
      <c r="AF157" s="2">
        <v>5.1999999999999998E-2</v>
      </c>
      <c r="AG157" s="2">
        <v>0.25390000000000001</v>
      </c>
      <c r="AH157" s="2">
        <v>3.4304000000000001</v>
      </c>
      <c r="AI157" s="2">
        <v>16.057600000000001</v>
      </c>
    </row>
    <row r="158" spans="1:35" x14ac:dyDescent="0.25">
      <c r="A158" s="2" t="s">
        <v>344</v>
      </c>
      <c r="B158" s="10">
        <v>786.81394</v>
      </c>
      <c r="C158" s="2">
        <v>13.336</v>
      </c>
      <c r="D158" s="2">
        <v>17.318999999999999</v>
      </c>
      <c r="E158" s="2">
        <v>0.19700000000000001</v>
      </c>
      <c r="F158" s="2">
        <v>52.021999999999998</v>
      </c>
      <c r="G158" s="2">
        <v>0</v>
      </c>
      <c r="H158" s="2">
        <v>0</v>
      </c>
      <c r="I158" s="2">
        <v>0.71499999999999997</v>
      </c>
      <c r="J158" s="2">
        <v>0.42599999999999999</v>
      </c>
      <c r="K158" s="2">
        <v>0.217</v>
      </c>
      <c r="L158" s="2">
        <v>1.3759999999999999</v>
      </c>
      <c r="M158" s="2">
        <v>15.403</v>
      </c>
      <c r="N158" s="2">
        <v>101.011</v>
      </c>
      <c r="P158" s="9">
        <f t="shared" si="24"/>
        <v>0.18562182476163966</v>
      </c>
      <c r="Q158" s="9">
        <f t="shared" si="25"/>
        <v>0.38216102220568171</v>
      </c>
      <c r="R158" s="9">
        <f t="shared" si="26"/>
        <v>0.30883769035985587</v>
      </c>
      <c r="S158" s="9">
        <f t="shared" si="27"/>
        <v>67.307602589071678</v>
      </c>
      <c r="T158" s="9">
        <f t="shared" si="28"/>
        <v>21.174706370398532</v>
      </c>
      <c r="U158" s="9">
        <f t="shared" si="29"/>
        <v>35.230487675032613</v>
      </c>
      <c r="V158" s="9">
        <f t="shared" si="30"/>
        <v>43.594805954568848</v>
      </c>
      <c r="X158" s="2">
        <v>1.6639999999999999</v>
      </c>
      <c r="Y158" s="2">
        <v>2.7686000000000002</v>
      </c>
      <c r="Z158" s="2">
        <v>2.2100000000000002E-2</v>
      </c>
      <c r="AA158" s="2">
        <v>7.7614000000000001</v>
      </c>
      <c r="AB158" s="2">
        <v>0</v>
      </c>
      <c r="AC158" s="2">
        <v>0</v>
      </c>
      <c r="AD158" s="2">
        <v>8.4400000000000003E-2</v>
      </c>
      <c r="AE158" s="2">
        <v>5.3900000000000003E-2</v>
      </c>
      <c r="AF158" s="2">
        <v>6.2700000000000006E-2</v>
      </c>
      <c r="AG158" s="2">
        <v>0.24199999999999999</v>
      </c>
      <c r="AH158" s="2">
        <v>3.4256000000000002</v>
      </c>
      <c r="AI158" s="2">
        <v>16.084700000000002</v>
      </c>
    </row>
    <row r="159" spans="1:35" x14ac:dyDescent="0.25">
      <c r="A159" s="2" t="s">
        <v>345</v>
      </c>
      <c r="B159" s="10">
        <v>807.51957000000004</v>
      </c>
      <c r="C159" s="2">
        <v>13.696999999999999</v>
      </c>
      <c r="D159" s="2">
        <v>17.047999999999998</v>
      </c>
      <c r="E159" s="2">
        <v>0.20599999999999999</v>
      </c>
      <c r="F159" s="2">
        <v>51.994</v>
      </c>
      <c r="G159" s="2">
        <v>0.377</v>
      </c>
      <c r="H159" s="2">
        <v>0</v>
      </c>
      <c r="I159" s="2">
        <v>0.67100000000000004</v>
      </c>
      <c r="J159" s="2">
        <v>0.42699999999999999</v>
      </c>
      <c r="K159" s="2">
        <v>0.216</v>
      </c>
      <c r="L159" s="2">
        <v>1.381</v>
      </c>
      <c r="M159" s="2">
        <v>15.192</v>
      </c>
      <c r="N159" s="2">
        <v>101.209</v>
      </c>
      <c r="P159" s="9">
        <f t="shared" si="24"/>
        <v>0.19064653072586818</v>
      </c>
      <c r="Q159" s="9">
        <f t="shared" si="25"/>
        <v>0.37692593970971344</v>
      </c>
      <c r="R159" s="9">
        <f t="shared" si="26"/>
        <v>0.30400513570384102</v>
      </c>
      <c r="S159" s="9">
        <f t="shared" si="27"/>
        <v>66.410187129133107</v>
      </c>
      <c r="T159" s="9">
        <f t="shared" si="28"/>
        <v>21.873729818543687</v>
      </c>
      <c r="U159" s="9">
        <f t="shared" si="29"/>
        <v>34.879869969400126</v>
      </c>
      <c r="V159" s="9">
        <f t="shared" si="30"/>
        <v>43.24640021205618</v>
      </c>
      <c r="X159" s="2">
        <v>1.7048000000000001</v>
      </c>
      <c r="Y159" s="2">
        <v>2.7185000000000001</v>
      </c>
      <c r="Z159" s="2">
        <v>2.3E-2</v>
      </c>
      <c r="AA159" s="2">
        <v>7.7375999999999996</v>
      </c>
      <c r="AB159" s="2">
        <v>4.7500000000000001E-2</v>
      </c>
      <c r="AC159" s="2">
        <v>0</v>
      </c>
      <c r="AD159" s="2">
        <v>7.8899999999999998E-2</v>
      </c>
      <c r="AE159" s="2">
        <v>5.3900000000000003E-2</v>
      </c>
      <c r="AF159" s="2">
        <v>6.2300000000000001E-2</v>
      </c>
      <c r="AG159" s="2">
        <v>0.2422</v>
      </c>
      <c r="AH159" s="2">
        <v>3.3702000000000001</v>
      </c>
      <c r="AI159" s="2">
        <v>16.038900000000002</v>
      </c>
    </row>
    <row r="160" spans="1:35" x14ac:dyDescent="0.25">
      <c r="A160" s="2" t="s">
        <v>346</v>
      </c>
      <c r="B160" s="10">
        <v>828.22519999999997</v>
      </c>
      <c r="C160" s="2">
        <v>14.042</v>
      </c>
      <c r="D160" s="2">
        <v>16.433</v>
      </c>
      <c r="E160" s="2">
        <v>0.27200000000000002</v>
      </c>
      <c r="F160" s="2">
        <v>51.843000000000004</v>
      </c>
      <c r="G160" s="2">
        <v>1.7000000000000001E-2</v>
      </c>
      <c r="H160" s="2">
        <v>0</v>
      </c>
      <c r="I160" s="2">
        <v>0.66600000000000004</v>
      </c>
      <c r="J160" s="2">
        <v>0.47099999999999997</v>
      </c>
      <c r="K160" s="2">
        <v>0.187</v>
      </c>
      <c r="L160" s="2">
        <v>1.391</v>
      </c>
      <c r="M160" s="2">
        <v>15.163</v>
      </c>
      <c r="N160" s="2">
        <v>100.485</v>
      </c>
      <c r="P160" s="9">
        <f t="shared" si="24"/>
        <v>0.19544853504071263</v>
      </c>
      <c r="Q160" s="9">
        <f t="shared" si="25"/>
        <v>0.37620642600173676</v>
      </c>
      <c r="R160" s="9">
        <f t="shared" si="26"/>
        <v>0.29303826812653799</v>
      </c>
      <c r="S160" s="9">
        <f t="shared" si="27"/>
        <v>65.810051803923869</v>
      </c>
      <c r="T160" s="9">
        <f t="shared" si="28"/>
        <v>22.603222558889268</v>
      </c>
      <c r="U160" s="9">
        <f t="shared" si="29"/>
        <v>33.889275206672096</v>
      </c>
      <c r="V160" s="9">
        <f t="shared" si="30"/>
        <v>43.507502234438633</v>
      </c>
      <c r="X160" s="2">
        <v>1.7625</v>
      </c>
      <c r="Y160" s="2">
        <v>2.6425000000000001</v>
      </c>
      <c r="Z160" s="2">
        <v>3.0700000000000002E-2</v>
      </c>
      <c r="AA160" s="2">
        <v>7.7805</v>
      </c>
      <c r="AB160" s="2">
        <v>2.2000000000000001E-3</v>
      </c>
      <c r="AC160" s="2">
        <v>0</v>
      </c>
      <c r="AD160" s="2">
        <v>7.9100000000000004E-2</v>
      </c>
      <c r="AE160" s="2">
        <v>5.9799999999999999E-2</v>
      </c>
      <c r="AF160" s="2">
        <v>5.4399999999999997E-2</v>
      </c>
      <c r="AG160" s="2">
        <v>0.246</v>
      </c>
      <c r="AH160" s="2">
        <v>3.3921999999999999</v>
      </c>
      <c r="AI160" s="2">
        <v>16.049900000000001</v>
      </c>
    </row>
    <row r="161" spans="1:35" x14ac:dyDescent="0.25">
      <c r="A161" s="2" t="s">
        <v>347</v>
      </c>
      <c r="B161" s="10">
        <v>848.93083000000001</v>
      </c>
      <c r="C161" s="2">
        <v>12.920999999999999</v>
      </c>
      <c r="D161" s="2">
        <v>17.698</v>
      </c>
      <c r="E161" s="2">
        <v>0.25800000000000001</v>
      </c>
      <c r="F161" s="2">
        <v>51.817</v>
      </c>
      <c r="G161" s="2">
        <v>0.29899999999999999</v>
      </c>
      <c r="H161" s="2">
        <v>0</v>
      </c>
      <c r="I161" s="2">
        <v>0.63700000000000001</v>
      </c>
      <c r="J161" s="2">
        <v>0.40400000000000003</v>
      </c>
      <c r="K161" s="2">
        <v>0.218</v>
      </c>
      <c r="L161" s="2">
        <v>1.361</v>
      </c>
      <c r="M161" s="2">
        <v>14.991</v>
      </c>
      <c r="N161" s="2">
        <v>100.604</v>
      </c>
      <c r="P161" s="9">
        <f t="shared" si="24"/>
        <v>0.17984550073073979</v>
      </c>
      <c r="Q161" s="9">
        <f t="shared" si="25"/>
        <v>0.37193896538890958</v>
      </c>
      <c r="R161" s="9">
        <f t="shared" si="26"/>
        <v>0.31559613395627517</v>
      </c>
      <c r="S161" s="9">
        <f t="shared" si="27"/>
        <v>67.406566916339756</v>
      </c>
      <c r="T161" s="9">
        <f t="shared" si="28"/>
        <v>20.734323630825653</v>
      </c>
      <c r="U161" s="9">
        <f t="shared" si="29"/>
        <v>36.384965715010232</v>
      </c>
      <c r="V161" s="9">
        <f t="shared" si="30"/>
        <v>42.880710654164112</v>
      </c>
      <c r="X161" s="2">
        <v>1.6160000000000001</v>
      </c>
      <c r="Y161" s="2">
        <v>2.8359000000000001</v>
      </c>
      <c r="Z161" s="2">
        <v>2.9000000000000001E-2</v>
      </c>
      <c r="AA161" s="2">
        <v>7.7488999999999999</v>
      </c>
      <c r="AB161" s="2">
        <v>3.7900000000000003E-2</v>
      </c>
      <c r="AC161" s="2">
        <v>0</v>
      </c>
      <c r="AD161" s="2">
        <v>7.5300000000000006E-2</v>
      </c>
      <c r="AE161" s="2">
        <v>5.1200000000000002E-2</v>
      </c>
      <c r="AF161" s="2">
        <v>6.3299999999999995E-2</v>
      </c>
      <c r="AG161" s="2">
        <v>0.24</v>
      </c>
      <c r="AH161" s="2">
        <v>3.3418999999999999</v>
      </c>
      <c r="AI161" s="2">
        <v>16.039400000000001</v>
      </c>
    </row>
    <row r="162" spans="1:35" x14ac:dyDescent="0.25">
      <c r="A162" s="2" t="s">
        <v>348</v>
      </c>
      <c r="B162" s="10">
        <v>869.63646000000006</v>
      </c>
      <c r="C162" s="2">
        <v>12.617000000000001</v>
      </c>
      <c r="D162" s="2">
        <v>17.835999999999999</v>
      </c>
      <c r="E162" s="2">
        <v>0.23499999999999999</v>
      </c>
      <c r="F162" s="2">
        <v>52.051000000000002</v>
      </c>
      <c r="G162" s="2">
        <v>0.32200000000000001</v>
      </c>
      <c r="H162" s="2">
        <v>0</v>
      </c>
      <c r="I162" s="2">
        <v>0.66500000000000004</v>
      </c>
      <c r="J162" s="2">
        <v>0.438</v>
      </c>
      <c r="K162" s="2">
        <v>0.16900000000000001</v>
      </c>
      <c r="L162" s="2">
        <v>1.393</v>
      </c>
      <c r="M162" s="2">
        <v>15.018000000000001</v>
      </c>
      <c r="N162" s="2">
        <v>100.744</v>
      </c>
      <c r="P162" s="9">
        <f t="shared" si="24"/>
        <v>0.17561416939244207</v>
      </c>
      <c r="Q162" s="9">
        <f t="shared" si="25"/>
        <v>0.3726088574618534</v>
      </c>
      <c r="R162" s="9">
        <f t="shared" si="26"/>
        <v>0.31805699204679194</v>
      </c>
      <c r="S162" s="9">
        <f t="shared" si="27"/>
        <v>67.966655760500174</v>
      </c>
      <c r="T162" s="9">
        <f t="shared" si="28"/>
        <v>20.272217477117387</v>
      </c>
      <c r="U162" s="9">
        <f t="shared" si="29"/>
        <v>36.715263553032266</v>
      </c>
      <c r="V162" s="9">
        <f t="shared" si="30"/>
        <v>43.012518969850348</v>
      </c>
      <c r="X162" s="2">
        <v>1.5731999999999999</v>
      </c>
      <c r="Y162" s="2">
        <v>2.8492999999999999</v>
      </c>
      <c r="Z162" s="2">
        <v>2.64E-2</v>
      </c>
      <c r="AA162" s="2">
        <v>7.7605000000000004</v>
      </c>
      <c r="AB162" s="2">
        <v>4.0599999999999997E-2</v>
      </c>
      <c r="AC162" s="2">
        <v>0</v>
      </c>
      <c r="AD162" s="2">
        <v>7.8399999999999997E-2</v>
      </c>
      <c r="AE162" s="2">
        <v>5.5300000000000002E-2</v>
      </c>
      <c r="AF162" s="2">
        <v>4.87E-2</v>
      </c>
      <c r="AG162" s="2">
        <v>0.2447</v>
      </c>
      <c r="AH162" s="2">
        <v>3.3378999999999999</v>
      </c>
      <c r="AI162" s="2">
        <v>16.015000000000001</v>
      </c>
    </row>
    <row r="163" spans="1:35" x14ac:dyDescent="0.25">
      <c r="A163" s="2" t="s">
        <v>349</v>
      </c>
      <c r="B163" s="10">
        <v>890.34208999999998</v>
      </c>
      <c r="C163" s="2">
        <v>13.305999999999999</v>
      </c>
      <c r="D163" s="2">
        <v>17.452999999999999</v>
      </c>
      <c r="E163" s="2">
        <v>0.26900000000000002</v>
      </c>
      <c r="F163" s="2">
        <v>51.924999999999997</v>
      </c>
      <c r="G163" s="2">
        <v>0.36299999999999999</v>
      </c>
      <c r="H163" s="2">
        <v>2E-3</v>
      </c>
      <c r="I163" s="2">
        <v>0.61899999999999999</v>
      </c>
      <c r="J163" s="2">
        <v>0.40799999999999997</v>
      </c>
      <c r="K163" s="2">
        <v>0.217</v>
      </c>
      <c r="L163" s="2">
        <v>1.4630000000000001</v>
      </c>
      <c r="M163" s="2">
        <v>15.003</v>
      </c>
      <c r="N163" s="2">
        <v>101.02800000000001</v>
      </c>
      <c r="P163" s="9">
        <f t="shared" si="24"/>
        <v>0.18520425916904446</v>
      </c>
      <c r="Q163" s="9">
        <f t="shared" si="25"/>
        <v>0.37223669519910679</v>
      </c>
      <c r="R163" s="9">
        <f t="shared" si="26"/>
        <v>0.31122721923035768</v>
      </c>
      <c r="S163" s="9">
        <f t="shared" si="27"/>
        <v>66.775986278408638</v>
      </c>
      <c r="T163" s="9">
        <f t="shared" si="28"/>
        <v>21.320484023470659</v>
      </c>
      <c r="U163" s="9">
        <f t="shared" si="29"/>
        <v>35.828090482592522</v>
      </c>
      <c r="V163" s="9">
        <f t="shared" si="30"/>
        <v>42.851425493936816</v>
      </c>
      <c r="X163" s="2">
        <v>1.6578999999999999</v>
      </c>
      <c r="Y163" s="2">
        <v>2.786</v>
      </c>
      <c r="Z163" s="2">
        <v>3.0200000000000001E-2</v>
      </c>
      <c r="AA163" s="2">
        <v>7.7358000000000002</v>
      </c>
      <c r="AB163" s="2">
        <v>4.58E-2</v>
      </c>
      <c r="AC163" s="2">
        <v>4.0000000000000002E-4</v>
      </c>
      <c r="AD163" s="2">
        <v>7.2900000000000006E-2</v>
      </c>
      <c r="AE163" s="2">
        <v>5.1499999999999997E-2</v>
      </c>
      <c r="AF163" s="2">
        <v>6.2700000000000006E-2</v>
      </c>
      <c r="AG163" s="2">
        <v>0.25700000000000001</v>
      </c>
      <c r="AH163" s="2">
        <v>3.3317999999999999</v>
      </c>
      <c r="AI163" s="2">
        <v>16.032</v>
      </c>
    </row>
    <row r="164" spans="1:35" x14ac:dyDescent="0.25">
      <c r="A164" s="2" t="s">
        <v>350</v>
      </c>
      <c r="B164" s="10">
        <v>923.47109999999998</v>
      </c>
      <c r="C164" s="2">
        <v>13.584</v>
      </c>
      <c r="D164" s="2">
        <v>17.245999999999999</v>
      </c>
      <c r="E164" s="2">
        <v>0.27</v>
      </c>
      <c r="F164" s="2">
        <v>51.972999999999999</v>
      </c>
      <c r="G164" s="2">
        <v>0.32800000000000001</v>
      </c>
      <c r="H164" s="2">
        <v>0</v>
      </c>
      <c r="I164" s="2">
        <v>0.66400000000000003</v>
      </c>
      <c r="J164" s="2">
        <v>0.434</v>
      </c>
      <c r="K164" s="2">
        <v>0.22</v>
      </c>
      <c r="L164" s="2">
        <v>1.379</v>
      </c>
      <c r="M164" s="2">
        <v>14.832000000000001</v>
      </c>
      <c r="N164" s="2">
        <v>100.93</v>
      </c>
      <c r="P164" s="9">
        <f t="shared" si="24"/>
        <v>0.18907370032709306</v>
      </c>
      <c r="Q164" s="9">
        <f t="shared" si="25"/>
        <v>0.3679940454037961</v>
      </c>
      <c r="R164" s="9">
        <f t="shared" si="26"/>
        <v>0.30753593209458252</v>
      </c>
      <c r="S164" s="9">
        <f t="shared" si="27"/>
        <v>66.059119061179388</v>
      </c>
      <c r="T164" s="9">
        <f t="shared" si="28"/>
        <v>21.868250757691012</v>
      </c>
      <c r="U164" s="9">
        <f t="shared" si="29"/>
        <v>35.569584074411203</v>
      </c>
      <c r="V164" s="9">
        <f t="shared" si="30"/>
        <v>42.562165167897788</v>
      </c>
      <c r="X164" s="2">
        <v>1.6956</v>
      </c>
      <c r="Y164" s="2">
        <v>2.7581000000000002</v>
      </c>
      <c r="Z164" s="2">
        <v>3.0300000000000001E-2</v>
      </c>
      <c r="AA164" s="2">
        <v>7.7571000000000003</v>
      </c>
      <c r="AB164" s="2">
        <v>4.1399999999999999E-2</v>
      </c>
      <c r="AC164" s="2">
        <v>0</v>
      </c>
      <c r="AD164" s="2">
        <v>7.8399999999999997E-2</v>
      </c>
      <c r="AE164" s="2">
        <v>5.4800000000000001E-2</v>
      </c>
      <c r="AF164" s="2">
        <v>6.3799999999999996E-2</v>
      </c>
      <c r="AG164" s="2">
        <v>0.24260000000000001</v>
      </c>
      <c r="AH164" s="2">
        <v>3.3</v>
      </c>
      <c r="AI164" s="2">
        <v>16.022099999999998</v>
      </c>
    </row>
    <row r="165" spans="1:35" x14ac:dyDescent="0.25">
      <c r="A165" s="2" t="s">
        <v>351</v>
      </c>
      <c r="B165" s="10">
        <v>942.10617000000002</v>
      </c>
      <c r="C165" s="2">
        <v>14.975</v>
      </c>
      <c r="D165" s="2">
        <v>17.146000000000001</v>
      </c>
      <c r="E165" s="2">
        <v>0.214</v>
      </c>
      <c r="F165" s="2">
        <v>51.417000000000002</v>
      </c>
      <c r="G165" s="2">
        <v>0.33300000000000002</v>
      </c>
      <c r="H165" s="2">
        <v>0</v>
      </c>
      <c r="I165" s="2">
        <v>0.57399999999999995</v>
      </c>
      <c r="J165" s="2">
        <v>0.46800000000000003</v>
      </c>
      <c r="K165" s="2">
        <v>0.19600000000000001</v>
      </c>
      <c r="L165" s="2">
        <v>1.448</v>
      </c>
      <c r="M165" s="2">
        <v>14.127000000000001</v>
      </c>
      <c r="N165" s="2">
        <v>100.898</v>
      </c>
      <c r="P165" s="9">
        <f t="shared" si="24"/>
        <v>0.20843482497042243</v>
      </c>
      <c r="Q165" s="9">
        <f t="shared" si="25"/>
        <v>0.35050241905470786</v>
      </c>
      <c r="R165" s="9">
        <f t="shared" si="26"/>
        <v>0.30575270159420809</v>
      </c>
      <c r="S165" s="9">
        <f t="shared" si="27"/>
        <v>62.708724959997284</v>
      </c>
      <c r="T165" s="9">
        <f t="shared" si="28"/>
        <v>24.105151913282622</v>
      </c>
      <c r="U165" s="9">
        <f t="shared" si="29"/>
        <v>35.359807656282065</v>
      </c>
      <c r="V165" s="9">
        <f t="shared" si="30"/>
        <v>40.535040430435302</v>
      </c>
      <c r="X165" s="2">
        <v>1.8827</v>
      </c>
      <c r="Y165" s="2">
        <v>2.762</v>
      </c>
      <c r="Z165" s="2">
        <v>2.41E-2</v>
      </c>
      <c r="AA165" s="2">
        <v>7.7298</v>
      </c>
      <c r="AB165" s="2">
        <v>4.24E-2</v>
      </c>
      <c r="AC165" s="2">
        <v>0</v>
      </c>
      <c r="AD165" s="2">
        <v>6.8199999999999997E-2</v>
      </c>
      <c r="AE165" s="2">
        <v>5.96E-2</v>
      </c>
      <c r="AF165" s="2">
        <v>5.7099999999999998E-2</v>
      </c>
      <c r="AG165" s="2">
        <v>0.25659999999999999</v>
      </c>
      <c r="AH165" s="2">
        <v>3.1659000000000002</v>
      </c>
      <c r="AI165" s="2">
        <v>16.048400000000001</v>
      </c>
    </row>
    <row r="166" spans="1:35" x14ac:dyDescent="0.25">
      <c r="A166" s="2" t="s">
        <v>352</v>
      </c>
      <c r="B166" s="10">
        <v>956.60010999999997</v>
      </c>
      <c r="C166" s="2">
        <v>16.402000000000001</v>
      </c>
      <c r="D166" s="2">
        <v>16.815000000000001</v>
      </c>
      <c r="E166" s="2">
        <v>0.27900000000000003</v>
      </c>
      <c r="F166" s="2">
        <v>51.018999999999998</v>
      </c>
      <c r="G166" s="2">
        <v>0.28100000000000003</v>
      </c>
      <c r="H166" s="2">
        <v>0</v>
      </c>
      <c r="I166" s="2">
        <v>0.47199999999999998</v>
      </c>
      <c r="J166" s="2">
        <v>0.48599999999999999</v>
      </c>
      <c r="K166" s="2">
        <v>0.219</v>
      </c>
      <c r="L166" s="2">
        <v>1.389</v>
      </c>
      <c r="M166" s="2">
        <v>12.983000000000001</v>
      </c>
      <c r="N166" s="2">
        <v>100.345</v>
      </c>
      <c r="P166" s="9">
        <f t="shared" si="24"/>
        <v>0.22829702832486604</v>
      </c>
      <c r="Q166" s="9">
        <f t="shared" si="25"/>
        <v>0.32211884381590378</v>
      </c>
      <c r="R166" s="9">
        <f t="shared" si="26"/>
        <v>0.29985020863796857</v>
      </c>
      <c r="S166" s="9">
        <f t="shared" si="27"/>
        <v>58.522811590273569</v>
      </c>
      <c r="T166" s="9">
        <f t="shared" si="28"/>
        <v>26.850068876765526</v>
      </c>
      <c r="U166" s="9">
        <f t="shared" si="29"/>
        <v>35.265455769250835</v>
      </c>
      <c r="V166" s="9">
        <f t="shared" si="30"/>
        <v>37.884475353983646</v>
      </c>
      <c r="X166" s="2">
        <v>2.0865999999999998</v>
      </c>
      <c r="Y166" s="2">
        <v>2.7406000000000001</v>
      </c>
      <c r="Z166" s="2">
        <v>3.1899999999999998E-2</v>
      </c>
      <c r="AA166" s="2">
        <v>7.7603999999999997</v>
      </c>
      <c r="AB166" s="2">
        <v>3.6200000000000003E-2</v>
      </c>
      <c r="AC166" s="2">
        <v>0</v>
      </c>
      <c r="AD166" s="2">
        <v>5.67E-2</v>
      </c>
      <c r="AE166" s="2">
        <v>6.2600000000000003E-2</v>
      </c>
      <c r="AF166" s="2">
        <v>6.4600000000000005E-2</v>
      </c>
      <c r="AG166" s="2">
        <v>0.24909999999999999</v>
      </c>
      <c r="AH166" s="2">
        <v>2.9439000000000002</v>
      </c>
      <c r="AI166" s="2">
        <v>16.032599999999999</v>
      </c>
    </row>
    <row r="167" spans="1:35" x14ac:dyDescent="0.25">
      <c r="A167" s="39" t="s">
        <v>454</v>
      </c>
      <c r="B167" s="39"/>
      <c r="P167" s="9"/>
      <c r="Q167" s="9"/>
      <c r="R167" s="9"/>
      <c r="S167" s="9"/>
      <c r="T167" s="9"/>
      <c r="U167" s="9"/>
      <c r="V167" s="9"/>
    </row>
    <row r="168" spans="1:35" x14ac:dyDescent="0.25">
      <c r="A168" s="2" t="s">
        <v>401</v>
      </c>
      <c r="B168" s="10">
        <v>107.86475</v>
      </c>
      <c r="C168" s="2">
        <v>14.4</v>
      </c>
      <c r="D168" s="2">
        <v>15.497</v>
      </c>
      <c r="E168" s="2">
        <v>0.34699999999999998</v>
      </c>
      <c r="F168" s="2">
        <v>51.848999999999997</v>
      </c>
      <c r="H168" s="2">
        <v>8.0000000000000002E-3</v>
      </c>
      <c r="I168" s="2">
        <v>0.73</v>
      </c>
      <c r="J168" s="2">
        <v>0.48399999999999999</v>
      </c>
      <c r="K168" s="2">
        <v>0.23499999999999999</v>
      </c>
      <c r="L168" s="2">
        <v>1.4319999999999999</v>
      </c>
      <c r="M168" s="2">
        <v>15.57</v>
      </c>
      <c r="N168" s="2">
        <v>100.55200000000001</v>
      </c>
      <c r="P168" s="9">
        <f t="shared" ref="P168:P230" si="31">C168/(55.845+16)</f>
        <v>0.20043148444568168</v>
      </c>
      <c r="Q168" s="9">
        <f t="shared" ref="Q168:Q230" si="32">M168/(24.305+16)</f>
        <v>0.38630442873092669</v>
      </c>
      <c r="R168" s="9">
        <f t="shared" ref="R168:R230" si="33">D168/(40.078+16)</f>
        <v>0.2763472306430329</v>
      </c>
      <c r="S168" s="9">
        <f t="shared" ref="S168:S230" si="34">Q168/(P168+Q168)*100</f>
        <v>65.839574509673568</v>
      </c>
      <c r="T168" s="9">
        <f t="shared" ref="T168:T230" si="35">P168/(P168+R168+Q168)*100</f>
        <v>23.22273188636921</v>
      </c>
      <c r="U168" s="9">
        <f t="shared" ref="U168:U230" si="36">R168/(P168+R168+Q168)*100</f>
        <v>32.018610561670435</v>
      </c>
      <c r="V168" s="9">
        <f t="shared" ref="V168:V230" si="37">Q168/(P168+Q168+R168)*100</f>
        <v>44.758657551960354</v>
      </c>
      <c r="X168" s="2">
        <v>1.8050999999999999</v>
      </c>
      <c r="Y168" s="2">
        <v>2.4889000000000001</v>
      </c>
      <c r="Z168" s="2">
        <v>3.9100000000000003E-2</v>
      </c>
      <c r="AA168" s="2">
        <v>7.7716000000000003</v>
      </c>
      <c r="AC168" s="2">
        <v>1.6000000000000001E-3</v>
      </c>
      <c r="AD168" s="2">
        <v>8.6499999999999994E-2</v>
      </c>
      <c r="AE168" s="2">
        <v>6.1499999999999999E-2</v>
      </c>
      <c r="AF168" s="2">
        <v>6.83E-2</v>
      </c>
      <c r="AG168" s="2">
        <v>0.253</v>
      </c>
      <c r="AH168" s="2">
        <v>3.4790000000000001</v>
      </c>
      <c r="AI168" s="2">
        <v>16.054600000000001</v>
      </c>
    </row>
    <row r="169" spans="1:35" x14ac:dyDescent="0.25">
      <c r="A169" s="2" t="s">
        <v>83</v>
      </c>
      <c r="B169" s="10">
        <v>115.56938</v>
      </c>
      <c r="C169" s="2">
        <v>13.646000000000001</v>
      </c>
      <c r="D169" s="2">
        <v>15.951000000000001</v>
      </c>
      <c r="E169" s="2">
        <v>0.315</v>
      </c>
      <c r="F169" s="2">
        <v>51.808999999999997</v>
      </c>
      <c r="H169" s="2">
        <v>3.9E-2</v>
      </c>
      <c r="I169" s="2">
        <v>0.73699999999999999</v>
      </c>
      <c r="J169" s="2">
        <v>0.46800000000000003</v>
      </c>
      <c r="K169" s="2">
        <v>0.156</v>
      </c>
      <c r="L169" s="2">
        <v>1.4339999999999999</v>
      </c>
      <c r="M169" s="2">
        <v>15.276999999999999</v>
      </c>
      <c r="N169" s="2">
        <v>99.831999999999994</v>
      </c>
      <c r="P169" s="9">
        <f t="shared" si="31"/>
        <v>0.18993666921845642</v>
      </c>
      <c r="Q169" s="9">
        <f t="shared" si="32"/>
        <v>0.37903485919861057</v>
      </c>
      <c r="R169" s="9">
        <f t="shared" si="33"/>
        <v>0.28444309711473303</v>
      </c>
      <c r="S169" s="9">
        <f t="shared" si="34"/>
        <v>66.61754415956834</v>
      </c>
      <c r="T169" s="9">
        <f t="shared" si="35"/>
        <v>22.256083213959283</v>
      </c>
      <c r="U169" s="9">
        <f t="shared" si="36"/>
        <v>33.330000284150749</v>
      </c>
      <c r="V169" s="9">
        <f t="shared" si="37"/>
        <v>44.413916501889965</v>
      </c>
      <c r="X169" s="2">
        <v>1.7188000000000001</v>
      </c>
      <c r="Y169" s="2">
        <v>2.5743</v>
      </c>
      <c r="Z169" s="2">
        <v>3.5700000000000003E-2</v>
      </c>
      <c r="AA169" s="2">
        <v>7.8029999999999999</v>
      </c>
      <c r="AC169" s="2">
        <v>7.4999999999999997E-3</v>
      </c>
      <c r="AD169" s="2">
        <v>8.7800000000000003E-2</v>
      </c>
      <c r="AE169" s="2">
        <v>5.9700000000000003E-2</v>
      </c>
      <c r="AF169" s="2">
        <v>4.5499999999999999E-2</v>
      </c>
      <c r="AG169" s="2">
        <v>0.2545</v>
      </c>
      <c r="AH169" s="2">
        <v>3.4298000000000002</v>
      </c>
      <c r="AI169" s="2">
        <v>16.0166</v>
      </c>
    </row>
    <row r="170" spans="1:35" x14ac:dyDescent="0.25">
      <c r="A170" s="2" t="s">
        <v>79</v>
      </c>
      <c r="B170" s="10">
        <v>123.274</v>
      </c>
      <c r="C170" s="2">
        <v>12.88</v>
      </c>
      <c r="D170" s="2">
        <v>16.533000000000001</v>
      </c>
      <c r="E170" s="2">
        <v>0.38400000000000001</v>
      </c>
      <c r="F170" s="2">
        <v>51.511000000000003</v>
      </c>
      <c r="H170" s="2">
        <v>2.5999999999999999E-2</v>
      </c>
      <c r="I170" s="2">
        <v>0.70399999999999996</v>
      </c>
      <c r="J170" s="2">
        <v>0.46800000000000003</v>
      </c>
      <c r="K170" s="2">
        <v>0.2</v>
      </c>
      <c r="L170" s="2">
        <v>1.508</v>
      </c>
      <c r="M170" s="2">
        <v>15.032999999999999</v>
      </c>
      <c r="N170" s="2">
        <v>99.247</v>
      </c>
      <c r="P170" s="9">
        <f t="shared" si="31"/>
        <v>0.17927482775419307</v>
      </c>
      <c r="Q170" s="9">
        <f t="shared" si="32"/>
        <v>0.3729810197245999</v>
      </c>
      <c r="R170" s="9">
        <f t="shared" si="33"/>
        <v>0.29482149862691254</v>
      </c>
      <c r="S170" s="9">
        <f t="shared" si="34"/>
        <v>67.537722131393579</v>
      </c>
      <c r="T170" s="9">
        <f t="shared" si="35"/>
        <v>21.163926597539021</v>
      </c>
      <c r="U170" s="9">
        <f t="shared" si="36"/>
        <v>34.804554741347339</v>
      </c>
      <c r="V170" s="9">
        <f t="shared" si="37"/>
        <v>44.031518661113637</v>
      </c>
      <c r="X170" s="2">
        <v>1.63</v>
      </c>
      <c r="Y170" s="2">
        <v>2.6806999999999999</v>
      </c>
      <c r="Z170" s="2">
        <v>4.3700000000000003E-2</v>
      </c>
      <c r="AA170" s="2">
        <v>7.7946</v>
      </c>
      <c r="AC170" s="2">
        <v>5.0000000000000001E-3</v>
      </c>
      <c r="AD170" s="2">
        <v>8.4199999999999997E-2</v>
      </c>
      <c r="AE170" s="2">
        <v>0.06</v>
      </c>
      <c r="AF170" s="2">
        <v>5.8799999999999998E-2</v>
      </c>
      <c r="AG170" s="2">
        <v>0.26900000000000002</v>
      </c>
      <c r="AH170" s="2">
        <v>3.391</v>
      </c>
      <c r="AI170" s="2">
        <v>16.016999999999999</v>
      </c>
    </row>
    <row r="171" spans="1:35" x14ac:dyDescent="0.25">
      <c r="A171" s="2" t="s">
        <v>97</v>
      </c>
      <c r="B171" s="10">
        <v>130.97863000000001</v>
      </c>
      <c r="C171" s="2">
        <v>13.525</v>
      </c>
      <c r="D171" s="2">
        <v>16.619</v>
      </c>
      <c r="E171" s="2">
        <v>0.35499999999999998</v>
      </c>
      <c r="F171" s="2">
        <v>51.866999999999997</v>
      </c>
      <c r="H171" s="2">
        <v>8.0000000000000002E-3</v>
      </c>
      <c r="I171" s="2">
        <v>0.74399999999999999</v>
      </c>
      <c r="J171" s="2">
        <v>0.45800000000000002</v>
      </c>
      <c r="K171" s="2">
        <v>0.17100000000000001</v>
      </c>
      <c r="L171" s="2">
        <v>1.44</v>
      </c>
      <c r="M171" s="2">
        <v>15.164999999999999</v>
      </c>
      <c r="N171" s="2">
        <v>100.352</v>
      </c>
      <c r="P171" s="9">
        <f t="shared" si="31"/>
        <v>0.18825248799498923</v>
      </c>
      <c r="Q171" s="9">
        <f t="shared" si="32"/>
        <v>0.37625604763676962</v>
      </c>
      <c r="R171" s="9">
        <f t="shared" si="33"/>
        <v>0.29635507685723456</v>
      </c>
      <c r="S171" s="9">
        <f t="shared" si="34"/>
        <v>66.651967842379918</v>
      </c>
      <c r="T171" s="9">
        <f t="shared" si="35"/>
        <v>21.867864463535579</v>
      </c>
      <c r="U171" s="9">
        <f t="shared" si="36"/>
        <v>34.425322729159213</v>
      </c>
      <c r="V171" s="9">
        <f t="shared" si="37"/>
        <v>43.706812807305198</v>
      </c>
      <c r="X171" s="2">
        <v>1.6970000000000001</v>
      </c>
      <c r="Y171" s="2">
        <v>2.6714000000000002</v>
      </c>
      <c r="Z171" s="2">
        <v>0.04</v>
      </c>
      <c r="AA171" s="2">
        <v>7.7809999999999997</v>
      </c>
      <c r="AC171" s="2">
        <v>1.5E-3</v>
      </c>
      <c r="AD171" s="2">
        <v>8.8300000000000003E-2</v>
      </c>
      <c r="AE171" s="2">
        <v>5.8200000000000002E-2</v>
      </c>
      <c r="AF171" s="2">
        <v>4.9700000000000001E-2</v>
      </c>
      <c r="AG171" s="2">
        <v>0.25469999999999998</v>
      </c>
      <c r="AH171" s="2">
        <v>3.3913000000000002</v>
      </c>
      <c r="AI171" s="2">
        <v>16.033100000000001</v>
      </c>
    </row>
    <row r="172" spans="1:35" x14ac:dyDescent="0.25">
      <c r="A172" s="2" t="s">
        <v>81</v>
      </c>
      <c r="B172" s="10">
        <v>138.68324999999999</v>
      </c>
      <c r="C172" s="2">
        <v>13.381</v>
      </c>
      <c r="D172" s="2">
        <v>16.393000000000001</v>
      </c>
      <c r="E172" s="2">
        <v>0.38600000000000001</v>
      </c>
      <c r="F172" s="2">
        <v>51.786000000000001</v>
      </c>
      <c r="H172" s="2">
        <v>0.01</v>
      </c>
      <c r="I172" s="2">
        <v>0.72</v>
      </c>
      <c r="J172" s="2">
        <v>0.503</v>
      </c>
      <c r="K172" s="2">
        <v>0.21299999999999999</v>
      </c>
      <c r="L172" s="2">
        <v>1.4139999999999999</v>
      </c>
      <c r="M172" s="2">
        <v>15.305</v>
      </c>
      <c r="N172" s="2">
        <v>100.111</v>
      </c>
      <c r="P172" s="9">
        <f t="shared" si="31"/>
        <v>0.18624817315053241</v>
      </c>
      <c r="Q172" s="9">
        <f t="shared" si="32"/>
        <v>0.37972956208907083</v>
      </c>
      <c r="R172" s="9">
        <f t="shared" si="33"/>
        <v>0.29232497592638823</v>
      </c>
      <c r="S172" s="9">
        <f t="shared" si="34"/>
        <v>67.092667864101514</v>
      </c>
      <c r="T172" s="9">
        <f t="shared" si="35"/>
        <v>21.699590450730028</v>
      </c>
      <c r="U172" s="9">
        <f t="shared" si="36"/>
        <v>34.058493830139383</v>
      </c>
      <c r="V172" s="9">
        <f t="shared" si="37"/>
        <v>44.241915719130589</v>
      </c>
      <c r="X172" s="2">
        <v>1.6816</v>
      </c>
      <c r="Y172" s="2">
        <v>2.6394000000000002</v>
      </c>
      <c r="Z172" s="2">
        <v>4.3700000000000003E-2</v>
      </c>
      <c r="AA172" s="2">
        <v>7.7816000000000001</v>
      </c>
      <c r="AC172" s="2">
        <v>1.9E-3</v>
      </c>
      <c r="AD172" s="2">
        <v>8.5500000000000007E-2</v>
      </c>
      <c r="AE172" s="2">
        <v>6.4000000000000001E-2</v>
      </c>
      <c r="AF172" s="2">
        <v>6.2199999999999998E-2</v>
      </c>
      <c r="AG172" s="2">
        <v>0.25040000000000001</v>
      </c>
      <c r="AH172" s="2">
        <v>3.4283999999999999</v>
      </c>
      <c r="AI172" s="2">
        <v>16.038699999999999</v>
      </c>
    </row>
    <row r="173" spans="1:35" x14ac:dyDescent="0.25">
      <c r="A173" s="2" t="s">
        <v>402</v>
      </c>
      <c r="B173" s="10">
        <v>146.38788</v>
      </c>
      <c r="C173" s="2">
        <v>13.438000000000001</v>
      </c>
      <c r="D173" s="2">
        <v>16.623000000000001</v>
      </c>
      <c r="E173" s="2">
        <v>0.372</v>
      </c>
      <c r="F173" s="2">
        <v>51.834000000000003</v>
      </c>
      <c r="H173" s="2">
        <v>1.0999999999999999E-2</v>
      </c>
      <c r="I173" s="2">
        <v>0.74299999999999999</v>
      </c>
      <c r="J173" s="2">
        <v>0.46500000000000002</v>
      </c>
      <c r="K173" s="2">
        <v>0.2</v>
      </c>
      <c r="L173" s="2">
        <v>1.411</v>
      </c>
      <c r="M173" s="2">
        <v>15.188000000000001</v>
      </c>
      <c r="N173" s="2">
        <v>100.285</v>
      </c>
      <c r="P173" s="9">
        <f t="shared" si="31"/>
        <v>0.18704154777646323</v>
      </c>
      <c r="Q173" s="9">
        <f t="shared" si="32"/>
        <v>0.37682669643964772</v>
      </c>
      <c r="R173" s="9">
        <f t="shared" si="33"/>
        <v>0.29642640607724957</v>
      </c>
      <c r="S173" s="9">
        <f t="shared" si="34"/>
        <v>66.828855908264856</v>
      </c>
      <c r="T173" s="9">
        <f t="shared" si="35"/>
        <v>21.741568160708898</v>
      </c>
      <c r="U173" s="9">
        <f t="shared" si="36"/>
        <v>34.456381424221128</v>
      </c>
      <c r="V173" s="9">
        <f t="shared" si="37"/>
        <v>43.802050415069978</v>
      </c>
      <c r="X173" s="2">
        <v>1.6869000000000001</v>
      </c>
      <c r="Y173" s="2">
        <v>2.6735000000000002</v>
      </c>
      <c r="Z173" s="2">
        <v>4.2000000000000003E-2</v>
      </c>
      <c r="AA173" s="2">
        <v>7.7805</v>
      </c>
      <c r="AC173" s="2">
        <v>2E-3</v>
      </c>
      <c r="AD173" s="2">
        <v>8.8200000000000001E-2</v>
      </c>
      <c r="AE173" s="2">
        <v>5.91E-2</v>
      </c>
      <c r="AF173" s="2">
        <v>5.8200000000000002E-2</v>
      </c>
      <c r="AG173" s="2">
        <v>0.24970000000000001</v>
      </c>
      <c r="AH173" s="2">
        <v>3.3984000000000001</v>
      </c>
      <c r="AI173" s="2">
        <v>16.038499999999999</v>
      </c>
    </row>
    <row r="174" spans="1:35" x14ac:dyDescent="0.25">
      <c r="A174" s="2" t="s">
        <v>403</v>
      </c>
      <c r="B174" s="10">
        <v>154.0925</v>
      </c>
      <c r="C174" s="2">
        <v>14.195</v>
      </c>
      <c r="D174" s="2">
        <v>15.66</v>
      </c>
      <c r="E174" s="2">
        <v>0.376</v>
      </c>
      <c r="F174" s="2">
        <v>51.792000000000002</v>
      </c>
      <c r="H174" s="2">
        <v>0.02</v>
      </c>
      <c r="I174" s="2">
        <v>0.67600000000000005</v>
      </c>
      <c r="J174" s="2">
        <v>0.48699999999999999</v>
      </c>
      <c r="K174" s="2">
        <v>0.17799999999999999</v>
      </c>
      <c r="L174" s="2">
        <v>1.341</v>
      </c>
      <c r="M174" s="2">
        <v>15.56</v>
      </c>
      <c r="N174" s="2">
        <v>100.285</v>
      </c>
      <c r="P174" s="9">
        <f t="shared" si="31"/>
        <v>0.19757811956294802</v>
      </c>
      <c r="Q174" s="9">
        <f t="shared" si="32"/>
        <v>0.38605632055576233</v>
      </c>
      <c r="R174" s="9">
        <f t="shared" si="33"/>
        <v>0.27925389635864328</v>
      </c>
      <c r="S174" s="9">
        <f t="shared" si="34"/>
        <v>66.146939594112894</v>
      </c>
      <c r="T174" s="9">
        <f t="shared" si="35"/>
        <v>22.897298666654699</v>
      </c>
      <c r="U174" s="9">
        <f t="shared" si="36"/>
        <v>32.362692199394708</v>
      </c>
      <c r="V174" s="9">
        <f t="shared" si="37"/>
        <v>44.740009133950593</v>
      </c>
      <c r="X174" s="2">
        <v>1.7834000000000001</v>
      </c>
      <c r="Y174" s="2">
        <v>2.5207000000000002</v>
      </c>
      <c r="Z174" s="2">
        <v>4.2500000000000003E-2</v>
      </c>
      <c r="AA174" s="2">
        <v>7.7801</v>
      </c>
      <c r="AC174" s="2">
        <v>3.8E-3</v>
      </c>
      <c r="AD174" s="2">
        <v>8.0299999999999996E-2</v>
      </c>
      <c r="AE174" s="2">
        <v>6.2E-2</v>
      </c>
      <c r="AF174" s="2">
        <v>5.1900000000000002E-2</v>
      </c>
      <c r="AG174" s="2">
        <v>0.2374</v>
      </c>
      <c r="AH174" s="2">
        <v>3.4843000000000002</v>
      </c>
      <c r="AI174" s="2">
        <v>16.046399999999998</v>
      </c>
    </row>
    <row r="175" spans="1:35" s="32" customFormat="1" x14ac:dyDescent="0.25">
      <c r="A175" s="2" t="s">
        <v>105</v>
      </c>
      <c r="B175" s="40">
        <v>161.79713000000001</v>
      </c>
      <c r="C175" s="32">
        <v>15.48</v>
      </c>
      <c r="D175" s="32">
        <v>14.378</v>
      </c>
      <c r="E175" s="32">
        <v>0.26900000000000002</v>
      </c>
      <c r="F175" s="32">
        <v>51.439</v>
      </c>
      <c r="H175" s="32">
        <v>1.9E-2</v>
      </c>
      <c r="I175" s="32">
        <v>0.67900000000000005</v>
      </c>
      <c r="J175" s="32">
        <v>0.49299999999999999</v>
      </c>
      <c r="K175" s="32">
        <v>0.16700000000000001</v>
      </c>
      <c r="L175" s="32">
        <v>1.32</v>
      </c>
      <c r="M175" s="32">
        <v>15.808999999999999</v>
      </c>
      <c r="N175" s="32">
        <v>100.053</v>
      </c>
      <c r="P175" s="34">
        <f t="shared" si="31"/>
        <v>0.21546384577910782</v>
      </c>
      <c r="Q175" s="34">
        <f t="shared" si="32"/>
        <v>0.39223421411735515</v>
      </c>
      <c r="R175" s="34">
        <f t="shared" si="33"/>
        <v>0.25639288134384247</v>
      </c>
      <c r="S175" s="34">
        <f t="shared" si="34"/>
        <v>64.544259724012008</v>
      </c>
      <c r="T175" s="34">
        <f t="shared" si="35"/>
        <v>24.93532051960106</v>
      </c>
      <c r="U175" s="34">
        <f t="shared" si="36"/>
        <v>29.671978851649488</v>
      </c>
      <c r="V175" s="34">
        <f t="shared" si="37"/>
        <v>45.392700628749445</v>
      </c>
      <c r="X175" s="32">
        <v>1.9551000000000001</v>
      </c>
      <c r="Y175" s="32">
        <v>2.3264</v>
      </c>
      <c r="Z175" s="32">
        <v>3.0499999999999999E-2</v>
      </c>
      <c r="AA175" s="32">
        <v>7.7678000000000003</v>
      </c>
      <c r="AC175" s="32">
        <v>3.5999999999999999E-3</v>
      </c>
      <c r="AD175" s="32">
        <v>8.1000000000000003E-2</v>
      </c>
      <c r="AE175" s="32">
        <v>6.3E-2</v>
      </c>
      <c r="AF175" s="32">
        <v>4.8800000000000003E-2</v>
      </c>
      <c r="AG175" s="32">
        <v>0.2349</v>
      </c>
      <c r="AH175" s="32">
        <v>3.5587</v>
      </c>
      <c r="AI175" s="32">
        <v>16.069800000000001</v>
      </c>
    </row>
    <row r="176" spans="1:35" s="32" customFormat="1" x14ac:dyDescent="0.25">
      <c r="A176" s="2" t="s">
        <v>87</v>
      </c>
      <c r="B176" s="40">
        <v>169.50174999999999</v>
      </c>
      <c r="C176" s="32">
        <v>14.586</v>
      </c>
      <c r="D176" s="32">
        <v>15.391</v>
      </c>
      <c r="E176" s="32">
        <v>0.27500000000000002</v>
      </c>
      <c r="F176" s="32">
        <v>51.759</v>
      </c>
      <c r="H176" s="32">
        <v>0.05</v>
      </c>
      <c r="I176" s="32">
        <v>0.71</v>
      </c>
      <c r="J176" s="32">
        <v>0.47099999999999997</v>
      </c>
      <c r="K176" s="32">
        <v>0.19</v>
      </c>
      <c r="L176" s="32">
        <v>1.32</v>
      </c>
      <c r="M176" s="32">
        <v>15.349</v>
      </c>
      <c r="N176" s="32">
        <v>100.101</v>
      </c>
      <c r="P176" s="34">
        <f t="shared" si="31"/>
        <v>0.20302039111977174</v>
      </c>
      <c r="Q176" s="34">
        <f t="shared" si="32"/>
        <v>0.38082123805979406</v>
      </c>
      <c r="R176" s="34">
        <f t="shared" si="33"/>
        <v>0.27445700631263598</v>
      </c>
      <c r="S176" s="34">
        <f t="shared" si="34"/>
        <v>65.226804500894701</v>
      </c>
      <c r="T176" s="34">
        <f t="shared" si="35"/>
        <v>23.653817299074142</v>
      </c>
      <c r="U176" s="34">
        <f t="shared" si="36"/>
        <v>31.976866205227655</v>
      </c>
      <c r="V176" s="34">
        <f t="shared" si="37"/>
        <v>44.3693164956982</v>
      </c>
      <c r="X176" s="32">
        <v>1.8379000000000001</v>
      </c>
      <c r="Y176" s="32">
        <v>2.4845999999999999</v>
      </c>
      <c r="Z176" s="32">
        <v>3.1199999999999999E-2</v>
      </c>
      <c r="AA176" s="32">
        <v>7.7983000000000002</v>
      </c>
      <c r="AC176" s="32">
        <v>9.7000000000000003E-3</v>
      </c>
      <c r="AD176" s="32">
        <v>8.4500000000000006E-2</v>
      </c>
      <c r="AE176" s="32">
        <v>6.0100000000000001E-2</v>
      </c>
      <c r="AF176" s="32">
        <v>5.5399999999999998E-2</v>
      </c>
      <c r="AG176" s="32">
        <v>0.2344</v>
      </c>
      <c r="AH176" s="32">
        <v>3.4472999999999998</v>
      </c>
      <c r="AI176" s="32">
        <v>16.043399999999998</v>
      </c>
    </row>
    <row r="177" spans="1:35" s="32" customFormat="1" x14ac:dyDescent="0.25">
      <c r="A177" s="2" t="s">
        <v>101</v>
      </c>
      <c r="B177" s="40">
        <v>177.20638</v>
      </c>
      <c r="C177" s="32">
        <v>14.458</v>
      </c>
      <c r="D177" s="32">
        <v>14.896000000000001</v>
      </c>
      <c r="E177" s="32">
        <v>0.30199999999999999</v>
      </c>
      <c r="F177" s="32">
        <v>51.893000000000001</v>
      </c>
      <c r="H177" s="32">
        <v>1.2999999999999999E-2</v>
      </c>
      <c r="I177" s="32">
        <v>0.7</v>
      </c>
      <c r="J177" s="32">
        <v>0.49</v>
      </c>
      <c r="K177" s="32">
        <v>0.17899999999999999</v>
      </c>
      <c r="L177" s="32">
        <v>1.335</v>
      </c>
      <c r="M177" s="32">
        <v>15.759</v>
      </c>
      <c r="N177" s="32">
        <v>100.02500000000001</v>
      </c>
      <c r="P177" s="34">
        <f t="shared" si="31"/>
        <v>0.20123877792469902</v>
      </c>
      <c r="Q177" s="34">
        <f t="shared" si="32"/>
        <v>0.39099367324153333</v>
      </c>
      <c r="R177" s="34">
        <f t="shared" si="33"/>
        <v>0.26563001533578229</v>
      </c>
      <c r="S177" s="34">
        <f t="shared" si="34"/>
        <v>66.020305451277309</v>
      </c>
      <c r="T177" s="34">
        <f t="shared" si="35"/>
        <v>23.458163258413919</v>
      </c>
      <c r="U177" s="34">
        <f t="shared" si="36"/>
        <v>30.964172662653549</v>
      </c>
      <c r="V177" s="34">
        <f t="shared" si="37"/>
        <v>45.577664078932528</v>
      </c>
      <c r="X177" s="32">
        <v>1.8186</v>
      </c>
      <c r="Y177" s="32">
        <v>2.4005999999999998</v>
      </c>
      <c r="Z177" s="32">
        <v>3.4200000000000001E-2</v>
      </c>
      <c r="AA177" s="32">
        <v>7.8048000000000002</v>
      </c>
      <c r="AC177" s="32">
        <v>2.3999999999999998E-3</v>
      </c>
      <c r="AD177" s="32">
        <v>8.3199999999999996E-2</v>
      </c>
      <c r="AE177" s="32">
        <v>6.2399999999999997E-2</v>
      </c>
      <c r="AF177" s="32">
        <v>5.2299999999999999E-2</v>
      </c>
      <c r="AG177" s="32">
        <v>0.2366</v>
      </c>
      <c r="AH177" s="32">
        <v>3.5333000000000001</v>
      </c>
      <c r="AI177" s="32">
        <v>16.028400000000001</v>
      </c>
    </row>
    <row r="178" spans="1:35" s="32" customFormat="1" x14ac:dyDescent="0.25">
      <c r="A178" s="2" t="s">
        <v>144</v>
      </c>
      <c r="B178" s="40">
        <v>184.911</v>
      </c>
      <c r="C178" s="32">
        <v>14.945</v>
      </c>
      <c r="D178" s="32">
        <v>14.58</v>
      </c>
      <c r="E178" s="32">
        <v>0.308</v>
      </c>
      <c r="F178" s="32">
        <v>51.963999999999999</v>
      </c>
      <c r="H178" s="32">
        <v>4.0000000000000001E-3</v>
      </c>
      <c r="I178" s="32">
        <v>0.7</v>
      </c>
      <c r="J178" s="32">
        <v>0.48899999999999999</v>
      </c>
      <c r="K178" s="32">
        <v>0.187</v>
      </c>
      <c r="L178" s="32">
        <v>1.33</v>
      </c>
      <c r="M178" s="32">
        <v>15.949</v>
      </c>
      <c r="N178" s="32">
        <v>100.456</v>
      </c>
      <c r="P178" s="34">
        <f t="shared" si="31"/>
        <v>0.20801725937782728</v>
      </c>
      <c r="Q178" s="34">
        <f t="shared" si="32"/>
        <v>0.39570772856965636</v>
      </c>
      <c r="R178" s="34">
        <f t="shared" si="33"/>
        <v>0.25999500695459893</v>
      </c>
      <c r="S178" s="34">
        <f t="shared" si="34"/>
        <v>65.544368126117362</v>
      </c>
      <c r="T178" s="34">
        <f t="shared" si="35"/>
        <v>24.083876789422895</v>
      </c>
      <c r="U178" s="34">
        <f t="shared" si="36"/>
        <v>30.101770074695771</v>
      </c>
      <c r="V178" s="34">
        <f t="shared" si="37"/>
        <v>45.814353135881333</v>
      </c>
      <c r="X178" s="32">
        <v>1.8741000000000001</v>
      </c>
      <c r="Y178" s="32">
        <v>2.3422999999999998</v>
      </c>
      <c r="Z178" s="32">
        <v>3.4700000000000002E-2</v>
      </c>
      <c r="AA178" s="32">
        <v>7.7912999999999997</v>
      </c>
      <c r="AC178" s="32">
        <v>8.0000000000000004E-4</v>
      </c>
      <c r="AD178" s="32">
        <v>8.3000000000000004E-2</v>
      </c>
      <c r="AE178" s="32">
        <v>6.2100000000000002E-2</v>
      </c>
      <c r="AF178" s="32">
        <v>5.4300000000000001E-2</v>
      </c>
      <c r="AG178" s="32">
        <v>0.2351</v>
      </c>
      <c r="AH178" s="32">
        <v>3.5648</v>
      </c>
      <c r="AI178" s="32">
        <v>16.0425</v>
      </c>
    </row>
    <row r="179" spans="1:35" s="32" customFormat="1" x14ac:dyDescent="0.25">
      <c r="A179" s="2" t="s">
        <v>76</v>
      </c>
      <c r="B179" s="40">
        <v>192.61563000000001</v>
      </c>
      <c r="C179" s="32">
        <v>15.569000000000001</v>
      </c>
      <c r="D179" s="32">
        <v>13.738</v>
      </c>
      <c r="E179" s="32">
        <v>0.33300000000000002</v>
      </c>
      <c r="F179" s="32">
        <v>51.706000000000003</v>
      </c>
      <c r="H179" s="32">
        <v>3.0000000000000001E-3</v>
      </c>
      <c r="I179" s="32">
        <v>0.67100000000000004</v>
      </c>
      <c r="J179" s="32">
        <v>0.50600000000000001</v>
      </c>
      <c r="K179" s="32">
        <v>0.13500000000000001</v>
      </c>
      <c r="L179" s="32">
        <v>1.3149999999999999</v>
      </c>
      <c r="M179" s="32">
        <v>16.077000000000002</v>
      </c>
      <c r="N179" s="32">
        <v>100.053</v>
      </c>
      <c r="P179" s="34">
        <f t="shared" si="31"/>
        <v>0.21670262370380683</v>
      </c>
      <c r="Q179" s="34">
        <f t="shared" si="32"/>
        <v>0.39888351321176035</v>
      </c>
      <c r="R179" s="34">
        <f t="shared" si="33"/>
        <v>0.24498020614144583</v>
      </c>
      <c r="S179" s="34">
        <f t="shared" si="34"/>
        <v>64.797351546997334</v>
      </c>
      <c r="T179" s="34">
        <f t="shared" si="35"/>
        <v>25.181396582860572</v>
      </c>
      <c r="U179" s="34">
        <f t="shared" si="36"/>
        <v>28.467323654698838</v>
      </c>
      <c r="V179" s="34">
        <f t="shared" si="37"/>
        <v>46.351279762440598</v>
      </c>
      <c r="X179" s="32">
        <v>1.9617</v>
      </c>
      <c r="Y179" s="32">
        <v>2.2178</v>
      </c>
      <c r="Z179" s="32">
        <v>3.78E-2</v>
      </c>
      <c r="AA179" s="32">
        <v>7.7899000000000003</v>
      </c>
      <c r="AC179" s="32">
        <v>5.9999999999999995E-4</v>
      </c>
      <c r="AD179" s="32">
        <v>7.9899999999999999E-2</v>
      </c>
      <c r="AE179" s="32">
        <v>6.4600000000000005E-2</v>
      </c>
      <c r="AF179" s="32">
        <v>3.9300000000000002E-2</v>
      </c>
      <c r="AG179" s="32">
        <v>0.2334</v>
      </c>
      <c r="AH179" s="32">
        <v>3.6105999999999998</v>
      </c>
      <c r="AI179" s="32">
        <v>16.035599999999999</v>
      </c>
    </row>
    <row r="180" spans="1:35" s="32" customFormat="1" x14ac:dyDescent="0.25">
      <c r="A180" s="2" t="s">
        <v>404</v>
      </c>
      <c r="B180" s="40">
        <v>200.32024999999999</v>
      </c>
      <c r="C180" s="32">
        <v>16.786999999999999</v>
      </c>
      <c r="D180" s="32">
        <v>14.077999999999999</v>
      </c>
      <c r="E180" s="32">
        <v>0.29599999999999999</v>
      </c>
      <c r="F180" s="32">
        <v>51.543999999999997</v>
      </c>
      <c r="H180" s="32">
        <v>0</v>
      </c>
      <c r="I180" s="32">
        <v>0.70199999999999996</v>
      </c>
      <c r="J180" s="32">
        <v>0.52600000000000002</v>
      </c>
      <c r="K180" s="32">
        <v>0.154</v>
      </c>
      <c r="L180" s="32">
        <v>1.375</v>
      </c>
      <c r="M180" s="32">
        <v>15.137</v>
      </c>
      <c r="N180" s="32">
        <v>100.599</v>
      </c>
      <c r="P180" s="34">
        <f t="shared" si="31"/>
        <v>0.2336557867631707</v>
      </c>
      <c r="Q180" s="34">
        <f t="shared" si="32"/>
        <v>0.37556134474630942</v>
      </c>
      <c r="R180" s="34">
        <f t="shared" si="33"/>
        <v>0.25104318984271906</v>
      </c>
      <c r="S180" s="34">
        <f t="shared" si="34"/>
        <v>61.646550190695891</v>
      </c>
      <c r="T180" s="34">
        <f t="shared" si="35"/>
        <v>27.161055899439734</v>
      </c>
      <c r="U180" s="34">
        <f t="shared" si="36"/>
        <v>29.182235145765773</v>
      </c>
      <c r="V180" s="34">
        <f t="shared" si="37"/>
        <v>43.656708954794496</v>
      </c>
      <c r="X180" s="32">
        <v>2.1181000000000001</v>
      </c>
      <c r="Y180" s="32">
        <v>2.2759</v>
      </c>
      <c r="Z180" s="32">
        <v>3.3599999999999998E-2</v>
      </c>
      <c r="AA180" s="32">
        <v>7.7763</v>
      </c>
      <c r="AC180" s="32">
        <v>0</v>
      </c>
      <c r="AD180" s="32">
        <v>8.3699999999999997E-2</v>
      </c>
      <c r="AE180" s="32">
        <v>6.7199999999999996E-2</v>
      </c>
      <c r="AF180" s="32">
        <v>4.5100000000000001E-2</v>
      </c>
      <c r="AG180" s="32">
        <v>0.24440000000000001</v>
      </c>
      <c r="AH180" s="32">
        <v>3.4043000000000001</v>
      </c>
      <c r="AI180" s="32">
        <v>16.0486</v>
      </c>
    </row>
    <row r="181" spans="1:35" s="32" customFormat="1" x14ac:dyDescent="0.25">
      <c r="A181" s="2" t="s">
        <v>140</v>
      </c>
      <c r="B181" s="40">
        <v>208.02488</v>
      </c>
      <c r="C181" s="32">
        <v>13.429</v>
      </c>
      <c r="D181" s="32">
        <v>16.204000000000001</v>
      </c>
      <c r="E181" s="32">
        <v>0.308</v>
      </c>
      <c r="F181" s="32">
        <v>51.679000000000002</v>
      </c>
      <c r="H181" s="32">
        <v>0</v>
      </c>
      <c r="I181" s="32">
        <v>0.84</v>
      </c>
      <c r="J181" s="32">
        <v>0.497</v>
      </c>
      <c r="K181" s="32">
        <v>0.20899999999999999</v>
      </c>
      <c r="L181" s="32">
        <v>1.4730000000000001</v>
      </c>
      <c r="M181" s="32">
        <v>15.326000000000001</v>
      </c>
      <c r="N181" s="32">
        <v>99.965000000000003</v>
      </c>
      <c r="P181" s="34">
        <f t="shared" si="31"/>
        <v>0.18691627809868466</v>
      </c>
      <c r="Q181" s="34">
        <f t="shared" si="32"/>
        <v>0.38025058925691602</v>
      </c>
      <c r="R181" s="34">
        <f t="shared" si="33"/>
        <v>0.2889546702806805</v>
      </c>
      <c r="S181" s="34">
        <f t="shared" si="34"/>
        <v>67.043865067404852</v>
      </c>
      <c r="T181" s="34">
        <f t="shared" si="35"/>
        <v>21.832913889160334</v>
      </c>
      <c r="U181" s="34">
        <f t="shared" si="36"/>
        <v>33.751594554959254</v>
      </c>
      <c r="V181" s="34">
        <f t="shared" si="37"/>
        <v>44.415491555880408</v>
      </c>
      <c r="X181" s="32">
        <v>1.69</v>
      </c>
      <c r="Y181" s="32">
        <v>2.6128</v>
      </c>
      <c r="Z181" s="32">
        <v>3.49E-2</v>
      </c>
      <c r="AA181" s="32">
        <v>7.7767999999999997</v>
      </c>
      <c r="AC181" s="32">
        <v>0</v>
      </c>
      <c r="AD181" s="32">
        <v>9.9900000000000003E-2</v>
      </c>
      <c r="AE181" s="32">
        <v>6.3399999999999998E-2</v>
      </c>
      <c r="AF181" s="32">
        <v>6.0999999999999999E-2</v>
      </c>
      <c r="AG181" s="32">
        <v>0.26129999999999998</v>
      </c>
      <c r="AH181" s="32">
        <v>3.4380000000000002</v>
      </c>
      <c r="AI181" s="32">
        <v>16.0381</v>
      </c>
    </row>
    <row r="182" spans="1:35" s="32" customFormat="1" x14ac:dyDescent="0.25">
      <c r="A182" s="2" t="s">
        <v>405</v>
      </c>
      <c r="B182" s="40">
        <v>213.41811000000001</v>
      </c>
      <c r="C182" s="32">
        <v>15.686</v>
      </c>
      <c r="D182" s="32">
        <v>13.82</v>
      </c>
      <c r="E182" s="32">
        <v>0.28999999999999998</v>
      </c>
      <c r="F182" s="32">
        <v>52.104999999999997</v>
      </c>
      <c r="H182" s="32">
        <v>0</v>
      </c>
      <c r="I182" s="32">
        <v>0.625</v>
      </c>
      <c r="J182" s="32">
        <v>0.49</v>
      </c>
      <c r="K182" s="32">
        <v>0.16200000000000001</v>
      </c>
      <c r="L182" s="32">
        <v>1.33</v>
      </c>
      <c r="M182" s="32">
        <v>16.055</v>
      </c>
      <c r="N182" s="32">
        <v>100.563</v>
      </c>
      <c r="P182" s="34">
        <f t="shared" si="31"/>
        <v>0.21833112951492797</v>
      </c>
      <c r="Q182" s="34">
        <f t="shared" si="32"/>
        <v>0.39833767522639868</v>
      </c>
      <c r="R182" s="34">
        <f t="shared" si="33"/>
        <v>0.24644245515175292</v>
      </c>
      <c r="S182" s="34">
        <f t="shared" si="34"/>
        <v>64.59507472467152</v>
      </c>
      <c r="T182" s="34">
        <f t="shared" si="35"/>
        <v>25.29582681402794</v>
      </c>
      <c r="U182" s="34">
        <f t="shared" si="36"/>
        <v>28.552802703823112</v>
      </c>
      <c r="V182" s="34">
        <f t="shared" si="37"/>
        <v>46.151370482148955</v>
      </c>
      <c r="X182" s="32">
        <v>1.9656</v>
      </c>
      <c r="Y182" s="32">
        <v>2.2187999999999999</v>
      </c>
      <c r="Z182" s="32">
        <v>3.2599999999999997E-2</v>
      </c>
      <c r="AA182" s="32">
        <v>7.8074000000000003</v>
      </c>
      <c r="AC182" s="32">
        <v>0</v>
      </c>
      <c r="AD182" s="32">
        <v>7.3999999999999996E-2</v>
      </c>
      <c r="AE182" s="32">
        <v>6.2199999999999998E-2</v>
      </c>
      <c r="AF182" s="32">
        <v>4.7199999999999999E-2</v>
      </c>
      <c r="AG182" s="32">
        <v>0.2349</v>
      </c>
      <c r="AH182" s="32">
        <v>3.5861999999999998</v>
      </c>
      <c r="AI182" s="32">
        <v>16.0289</v>
      </c>
    </row>
    <row r="183" spans="1:35" s="32" customFormat="1" x14ac:dyDescent="0.25">
      <c r="A183" s="2" t="s">
        <v>143</v>
      </c>
      <c r="B183" s="40">
        <v>218.81135</v>
      </c>
      <c r="C183" s="32">
        <v>15.993</v>
      </c>
      <c r="D183" s="32">
        <v>13.218999999999999</v>
      </c>
      <c r="E183" s="32">
        <v>0.34399999999999997</v>
      </c>
      <c r="F183" s="32">
        <v>51.91</v>
      </c>
      <c r="H183" s="32">
        <v>6.0000000000000001E-3</v>
      </c>
      <c r="I183" s="32">
        <v>0.66300000000000003</v>
      </c>
      <c r="J183" s="32">
        <v>0.55900000000000005</v>
      </c>
      <c r="K183" s="32">
        <v>0.14699999999999999</v>
      </c>
      <c r="L183" s="32">
        <v>1.3819999999999999</v>
      </c>
      <c r="M183" s="32">
        <v>16.414999999999999</v>
      </c>
      <c r="N183" s="32">
        <v>100.63800000000001</v>
      </c>
      <c r="P183" s="34">
        <f t="shared" si="31"/>
        <v>0.22260421741248521</v>
      </c>
      <c r="Q183" s="34">
        <f t="shared" si="32"/>
        <v>0.40726956953231608</v>
      </c>
      <c r="R183" s="34">
        <f t="shared" si="33"/>
        <v>0.23572523984450228</v>
      </c>
      <c r="S183" s="34">
        <f t="shared" si="34"/>
        <v>64.658917067778688</v>
      </c>
      <c r="T183" s="34">
        <f t="shared" si="35"/>
        <v>25.716782311802383</v>
      </c>
      <c r="U183" s="34">
        <f t="shared" si="36"/>
        <v>27.232613779483884</v>
      </c>
      <c r="V183" s="34">
        <f t="shared" si="37"/>
        <v>47.05060390871374</v>
      </c>
      <c r="X183" s="32">
        <v>2.0038999999999998</v>
      </c>
      <c r="Y183" s="32">
        <v>2.1219999999999999</v>
      </c>
      <c r="Z183" s="32">
        <v>3.8800000000000001E-2</v>
      </c>
      <c r="AA183" s="32">
        <v>7.7769000000000004</v>
      </c>
      <c r="AC183" s="32">
        <v>1.1000000000000001E-3</v>
      </c>
      <c r="AD183" s="32">
        <v>7.85E-2</v>
      </c>
      <c r="AE183" s="32">
        <v>7.0999999999999994E-2</v>
      </c>
      <c r="AF183" s="32">
        <v>4.2799999999999998E-2</v>
      </c>
      <c r="AG183" s="32">
        <v>0.24410000000000001</v>
      </c>
      <c r="AH183" s="32">
        <v>3.6659000000000002</v>
      </c>
      <c r="AI183" s="32">
        <v>16.045000000000002</v>
      </c>
    </row>
    <row r="184" spans="1:35" s="32" customFormat="1" x14ac:dyDescent="0.25">
      <c r="A184" s="2" t="s">
        <v>406</v>
      </c>
      <c r="B184" s="40">
        <v>224.20459</v>
      </c>
      <c r="C184" s="32">
        <v>15.39</v>
      </c>
      <c r="D184" s="32">
        <v>13.837999999999999</v>
      </c>
      <c r="E184" s="32">
        <v>0.33</v>
      </c>
      <c r="F184" s="32">
        <v>51.618000000000002</v>
      </c>
      <c r="H184" s="32">
        <v>1E-3</v>
      </c>
      <c r="I184" s="32">
        <v>0.70199999999999996</v>
      </c>
      <c r="J184" s="32">
        <v>0.50700000000000001</v>
      </c>
      <c r="K184" s="32">
        <v>0.16200000000000001</v>
      </c>
      <c r="L184" s="32">
        <v>1.359</v>
      </c>
      <c r="M184" s="32">
        <v>16.469000000000001</v>
      </c>
      <c r="N184" s="32">
        <v>100.376</v>
      </c>
      <c r="P184" s="34">
        <f t="shared" si="31"/>
        <v>0.21421114900132229</v>
      </c>
      <c r="Q184" s="34">
        <f t="shared" si="32"/>
        <v>0.40860935367820372</v>
      </c>
      <c r="R184" s="34">
        <f t="shared" si="33"/>
        <v>0.24676343664182029</v>
      </c>
      <c r="S184" s="34">
        <f t="shared" si="34"/>
        <v>65.606278521703516</v>
      </c>
      <c r="T184" s="34">
        <f t="shared" si="35"/>
        <v>24.633751765068265</v>
      </c>
      <c r="U184" s="34">
        <f t="shared" si="36"/>
        <v>28.37718424680234</v>
      </c>
      <c r="V184" s="34">
        <f t="shared" si="37"/>
        <v>46.989063988129395</v>
      </c>
      <c r="X184" s="32">
        <v>1.9330000000000001</v>
      </c>
      <c r="Y184" s="32">
        <v>2.2267999999999999</v>
      </c>
      <c r="Z184" s="32">
        <v>3.73E-2</v>
      </c>
      <c r="AA184" s="32">
        <v>7.7522000000000002</v>
      </c>
      <c r="AC184" s="32">
        <v>2.9999999999999997E-4</v>
      </c>
      <c r="AD184" s="32">
        <v>8.3400000000000002E-2</v>
      </c>
      <c r="AE184" s="32">
        <v>6.4399999999999999E-2</v>
      </c>
      <c r="AF184" s="32">
        <v>4.7199999999999999E-2</v>
      </c>
      <c r="AG184" s="32">
        <v>0.24060000000000001</v>
      </c>
      <c r="AH184" s="32">
        <v>3.6871</v>
      </c>
      <c r="AI184" s="32">
        <v>16.072299999999998</v>
      </c>
    </row>
    <row r="185" spans="1:35" s="32" customFormat="1" x14ac:dyDescent="0.25">
      <c r="A185" s="2" t="s">
        <v>407</v>
      </c>
      <c r="B185" s="40">
        <v>229.59782999999999</v>
      </c>
      <c r="C185" s="32">
        <v>20.638999999999999</v>
      </c>
      <c r="D185" s="32">
        <v>11.064</v>
      </c>
      <c r="E185" s="32">
        <v>0.54100000000000004</v>
      </c>
      <c r="F185" s="32">
        <v>50.536000000000001</v>
      </c>
      <c r="H185" s="32">
        <v>1.6E-2</v>
      </c>
      <c r="I185" s="32">
        <v>0.58299999999999996</v>
      </c>
      <c r="J185" s="32">
        <v>0.59399999999999997</v>
      </c>
      <c r="K185" s="32">
        <v>0.113</v>
      </c>
      <c r="L185" s="32">
        <v>1.681</v>
      </c>
      <c r="M185" s="32">
        <v>14.904</v>
      </c>
      <c r="N185" s="32">
        <v>100.67100000000001</v>
      </c>
      <c r="P185" s="34">
        <f t="shared" si="31"/>
        <v>0.28727120885239055</v>
      </c>
      <c r="Q185" s="34">
        <f t="shared" si="32"/>
        <v>0.36978042426497953</v>
      </c>
      <c r="R185" s="34">
        <f t="shared" si="33"/>
        <v>0.19729662256143229</v>
      </c>
      <c r="S185" s="34">
        <f t="shared" si="34"/>
        <v>56.278746696140558</v>
      </c>
      <c r="T185" s="34">
        <f t="shared" si="35"/>
        <v>33.624602958210048</v>
      </c>
      <c r="U185" s="34">
        <f t="shared" si="36"/>
        <v>23.093231741273339</v>
      </c>
      <c r="V185" s="34">
        <f t="shared" si="37"/>
        <v>43.28216530051661</v>
      </c>
      <c r="X185" s="32">
        <v>2.6301000000000001</v>
      </c>
      <c r="Y185" s="32">
        <v>1.8065</v>
      </c>
      <c r="Z185" s="32">
        <v>6.2100000000000002E-2</v>
      </c>
      <c r="AA185" s="32">
        <v>7.7004000000000001</v>
      </c>
      <c r="AC185" s="32">
        <v>3.0999999999999999E-3</v>
      </c>
      <c r="AD185" s="32">
        <v>7.0199999999999999E-2</v>
      </c>
      <c r="AE185" s="32">
        <v>7.6600000000000001E-2</v>
      </c>
      <c r="AF185" s="32">
        <v>3.3399999999999999E-2</v>
      </c>
      <c r="AG185" s="32">
        <v>0.30199999999999999</v>
      </c>
      <c r="AH185" s="32">
        <v>3.3853</v>
      </c>
      <c r="AI185" s="32">
        <v>16.069700000000001</v>
      </c>
    </row>
    <row r="186" spans="1:35" s="32" customFormat="1" x14ac:dyDescent="0.25">
      <c r="A186" s="2" t="s">
        <v>408</v>
      </c>
      <c r="B186" s="40">
        <v>234.99106</v>
      </c>
      <c r="C186" s="32">
        <v>19.635999999999999</v>
      </c>
      <c r="D186" s="32">
        <v>10.919</v>
      </c>
      <c r="E186" s="32">
        <v>0.379</v>
      </c>
      <c r="F186" s="32">
        <v>51.372999999999998</v>
      </c>
      <c r="H186" s="32">
        <v>4.0000000000000001E-3</v>
      </c>
      <c r="I186" s="32">
        <v>0.52300000000000002</v>
      </c>
      <c r="J186" s="32">
        <v>0.54400000000000004</v>
      </c>
      <c r="K186" s="32">
        <v>0.14599999999999999</v>
      </c>
      <c r="L186" s="32">
        <v>1.254</v>
      </c>
      <c r="M186" s="32">
        <v>15.641999999999999</v>
      </c>
      <c r="N186" s="32">
        <v>100.42</v>
      </c>
      <c r="P186" s="34">
        <f t="shared" si="31"/>
        <v>0.27331059920662537</v>
      </c>
      <c r="Q186" s="34">
        <f t="shared" si="32"/>
        <v>0.38809080759211018</v>
      </c>
      <c r="R186" s="34">
        <f t="shared" si="33"/>
        <v>0.19471093833588929</v>
      </c>
      <c r="S186" s="34">
        <f t="shared" si="34"/>
        <v>58.677045981882259</v>
      </c>
      <c r="T186" s="34">
        <f t="shared" si="35"/>
        <v>31.924618393821536</v>
      </c>
      <c r="U186" s="34">
        <f t="shared" si="36"/>
        <v>22.743619974931061</v>
      </c>
      <c r="V186" s="34">
        <f t="shared" si="37"/>
        <v>45.331761631247403</v>
      </c>
      <c r="X186" s="32">
        <v>2.4914000000000001</v>
      </c>
      <c r="Y186" s="32">
        <v>1.7748999999999999</v>
      </c>
      <c r="Z186" s="32">
        <v>4.3200000000000002E-2</v>
      </c>
      <c r="AA186" s="32">
        <v>7.7938000000000001</v>
      </c>
      <c r="AC186" s="32">
        <v>6.9999999999999999E-4</v>
      </c>
      <c r="AD186" s="32">
        <v>6.2799999999999995E-2</v>
      </c>
      <c r="AE186" s="32">
        <v>6.9900000000000004E-2</v>
      </c>
      <c r="AF186" s="32">
        <v>4.2999999999999997E-2</v>
      </c>
      <c r="AG186" s="32">
        <v>0.22420000000000001</v>
      </c>
      <c r="AH186" s="32">
        <v>3.5375000000000001</v>
      </c>
      <c r="AI186" s="32">
        <v>16.041399999999999</v>
      </c>
    </row>
    <row r="187" spans="1:35" s="32" customFormat="1" x14ac:dyDescent="0.25">
      <c r="A187" s="2" t="s">
        <v>309</v>
      </c>
      <c r="B187" s="40">
        <v>240.3843</v>
      </c>
      <c r="C187" s="32">
        <v>18.545000000000002</v>
      </c>
      <c r="D187" s="32">
        <v>11.19</v>
      </c>
      <c r="E187" s="32">
        <v>0.26300000000000001</v>
      </c>
      <c r="F187" s="32">
        <v>51.524999999999999</v>
      </c>
      <c r="H187" s="32">
        <v>8.9999999999999993E-3</v>
      </c>
      <c r="I187" s="32">
        <v>0.61499999999999999</v>
      </c>
      <c r="J187" s="32">
        <v>0.58299999999999996</v>
      </c>
      <c r="K187" s="32">
        <v>0.12</v>
      </c>
      <c r="L187" s="32">
        <v>1.282</v>
      </c>
      <c r="M187" s="32">
        <v>16.184000000000001</v>
      </c>
      <c r="N187" s="32">
        <v>100.316</v>
      </c>
      <c r="P187" s="34">
        <f t="shared" si="31"/>
        <v>0.25812513048924773</v>
      </c>
      <c r="Q187" s="34">
        <f t="shared" si="32"/>
        <v>0.40153827068601916</v>
      </c>
      <c r="R187" s="34">
        <f t="shared" si="33"/>
        <v>0.1995434929919041</v>
      </c>
      <c r="S187" s="34">
        <f t="shared" si="34"/>
        <v>60.870175603289823</v>
      </c>
      <c r="T187" s="34">
        <f t="shared" si="35"/>
        <v>30.042255508139093</v>
      </c>
      <c r="U187" s="34">
        <f t="shared" si="36"/>
        <v>23.224149427399738</v>
      </c>
      <c r="V187" s="34">
        <f t="shared" si="37"/>
        <v>46.733595064461177</v>
      </c>
      <c r="X187" s="32">
        <v>2.3458000000000001</v>
      </c>
      <c r="Y187" s="32">
        <v>1.8134999999999999</v>
      </c>
      <c r="Z187" s="32">
        <v>2.9899999999999999E-2</v>
      </c>
      <c r="AA187" s="32">
        <v>7.7930000000000001</v>
      </c>
      <c r="AC187" s="32">
        <v>1.6999999999999999E-3</v>
      </c>
      <c r="AD187" s="32">
        <v>7.3499999999999996E-2</v>
      </c>
      <c r="AE187" s="32">
        <v>7.4700000000000003E-2</v>
      </c>
      <c r="AF187" s="32">
        <v>3.5099999999999999E-2</v>
      </c>
      <c r="AG187" s="32">
        <v>0.22850000000000001</v>
      </c>
      <c r="AH187" s="32">
        <v>3.6488999999999998</v>
      </c>
      <c r="AI187" s="32">
        <v>16.044599999999999</v>
      </c>
    </row>
    <row r="188" spans="1:35" s="32" customFormat="1" x14ac:dyDescent="0.25">
      <c r="A188" s="2" t="s">
        <v>300</v>
      </c>
      <c r="B188" s="40">
        <v>245.77753999999999</v>
      </c>
      <c r="C188" s="32">
        <v>18.347999999999999</v>
      </c>
      <c r="D188" s="32">
        <v>10.554</v>
      </c>
      <c r="E188" s="32">
        <v>0.247</v>
      </c>
      <c r="F188" s="32">
        <v>51.844000000000001</v>
      </c>
      <c r="H188" s="32">
        <v>8.9999999999999993E-3</v>
      </c>
      <c r="I188" s="32">
        <v>0.67100000000000004</v>
      </c>
      <c r="J188" s="32">
        <v>0.56599999999999995</v>
      </c>
      <c r="K188" s="32">
        <v>0.111</v>
      </c>
      <c r="L188" s="32">
        <v>1.1579999999999999</v>
      </c>
      <c r="M188" s="32">
        <v>16.919</v>
      </c>
      <c r="N188" s="32">
        <v>100.42700000000001</v>
      </c>
      <c r="P188" s="34">
        <f t="shared" si="31"/>
        <v>0.25538311643120604</v>
      </c>
      <c r="Q188" s="34">
        <f t="shared" si="32"/>
        <v>0.41977422156060046</v>
      </c>
      <c r="R188" s="34">
        <f t="shared" si="33"/>
        <v>0.18820214700952245</v>
      </c>
      <c r="S188" s="34">
        <f t="shared" si="34"/>
        <v>62.174281154846113</v>
      </c>
      <c r="T188" s="34">
        <f t="shared" si="35"/>
        <v>29.580159929651202</v>
      </c>
      <c r="U188" s="34">
        <f t="shared" si="36"/>
        <v>21.798816168589703</v>
      </c>
      <c r="V188" s="34">
        <f t="shared" si="37"/>
        <v>48.621023901759102</v>
      </c>
      <c r="X188" s="32">
        <v>2.3109000000000002</v>
      </c>
      <c r="Y188" s="32">
        <v>1.7030000000000001</v>
      </c>
      <c r="Z188" s="32">
        <v>2.8000000000000001E-2</v>
      </c>
      <c r="AA188" s="32">
        <v>7.8072999999999997</v>
      </c>
      <c r="AC188" s="32">
        <v>1.6000000000000001E-3</v>
      </c>
      <c r="AD188" s="32">
        <v>7.9899999999999999E-2</v>
      </c>
      <c r="AE188" s="32">
        <v>7.22E-2</v>
      </c>
      <c r="AF188" s="32">
        <v>3.2399999999999998E-2</v>
      </c>
      <c r="AG188" s="32">
        <v>0.20549999999999999</v>
      </c>
      <c r="AH188" s="32">
        <v>3.7982</v>
      </c>
      <c r="AI188" s="32">
        <v>16.039000000000001</v>
      </c>
    </row>
    <row r="189" spans="1:35" s="32" customFormat="1" x14ac:dyDescent="0.25">
      <c r="A189" s="2" t="s">
        <v>409</v>
      </c>
      <c r="B189" s="40">
        <v>251.17078000000001</v>
      </c>
      <c r="C189" s="32">
        <v>18.396000000000001</v>
      </c>
      <c r="D189" s="32">
        <v>10.613</v>
      </c>
      <c r="E189" s="32">
        <v>0.29399999999999998</v>
      </c>
      <c r="F189" s="32">
        <v>51.97</v>
      </c>
      <c r="H189" s="32">
        <v>0</v>
      </c>
      <c r="I189" s="32">
        <v>0.60099999999999998</v>
      </c>
      <c r="J189" s="32">
        <v>0.57799999999999996</v>
      </c>
      <c r="K189" s="32">
        <v>0.161</v>
      </c>
      <c r="L189" s="32">
        <v>1.1990000000000001</v>
      </c>
      <c r="M189" s="32">
        <v>17.228999999999999</v>
      </c>
      <c r="N189" s="32">
        <v>101.041</v>
      </c>
      <c r="P189" s="34">
        <f t="shared" si="31"/>
        <v>0.25605122137935837</v>
      </c>
      <c r="Q189" s="34">
        <f t="shared" si="32"/>
        <v>0.42746557499069593</v>
      </c>
      <c r="R189" s="34">
        <f t="shared" si="33"/>
        <v>0.18925425300474338</v>
      </c>
      <c r="S189" s="34">
        <f t="shared" si="34"/>
        <v>62.539147137397791</v>
      </c>
      <c r="T189" s="34">
        <f t="shared" si="35"/>
        <v>29.337730847371546</v>
      </c>
      <c r="U189" s="34">
        <f t="shared" si="36"/>
        <v>21.684295456444634</v>
      </c>
      <c r="V189" s="34">
        <f t="shared" si="37"/>
        <v>48.977973696183817</v>
      </c>
      <c r="X189" s="32">
        <v>2.3035000000000001</v>
      </c>
      <c r="Y189" s="32">
        <v>1.7024999999999999</v>
      </c>
      <c r="Z189" s="32">
        <v>3.3099999999999997E-2</v>
      </c>
      <c r="AA189" s="32">
        <v>7.7808999999999999</v>
      </c>
      <c r="AC189" s="32">
        <v>0</v>
      </c>
      <c r="AD189" s="32">
        <v>7.1199999999999999E-2</v>
      </c>
      <c r="AE189" s="32">
        <v>7.3300000000000004E-2</v>
      </c>
      <c r="AF189" s="32">
        <v>4.6800000000000001E-2</v>
      </c>
      <c r="AG189" s="32">
        <v>0.21160000000000001</v>
      </c>
      <c r="AH189" s="32">
        <v>3.8452999999999999</v>
      </c>
      <c r="AI189" s="32">
        <v>16.068200000000001</v>
      </c>
    </row>
    <row r="190" spans="1:35" s="32" customFormat="1" x14ac:dyDescent="0.25">
      <c r="A190" s="2" t="s">
        <v>292</v>
      </c>
      <c r="B190" s="40">
        <v>256.56401</v>
      </c>
      <c r="C190" s="32">
        <v>18.475000000000001</v>
      </c>
      <c r="D190" s="32">
        <v>10.164</v>
      </c>
      <c r="E190" s="32">
        <v>0.28699999999999998</v>
      </c>
      <c r="F190" s="32">
        <v>51.244999999999997</v>
      </c>
      <c r="H190" s="32">
        <v>7.0000000000000001E-3</v>
      </c>
      <c r="I190" s="32">
        <v>0.57099999999999995</v>
      </c>
      <c r="J190" s="32">
        <v>0.59599999999999997</v>
      </c>
      <c r="K190" s="32">
        <v>0.157</v>
      </c>
      <c r="L190" s="32">
        <v>1.206</v>
      </c>
      <c r="M190" s="32">
        <v>16.532</v>
      </c>
      <c r="N190" s="32">
        <v>99.24</v>
      </c>
      <c r="P190" s="34">
        <f t="shared" si="31"/>
        <v>0.2571508107731923</v>
      </c>
      <c r="Q190" s="34">
        <f t="shared" si="32"/>
        <v>0.41017243518173924</v>
      </c>
      <c r="R190" s="34">
        <f t="shared" si="33"/>
        <v>0.18124754805806198</v>
      </c>
      <c r="S190" s="34">
        <f t="shared" si="34"/>
        <v>61.465329983340744</v>
      </c>
      <c r="T190" s="34">
        <f t="shared" si="35"/>
        <v>30.303990260741255</v>
      </c>
      <c r="U190" s="34">
        <f t="shared" si="36"/>
        <v>21.359154632334267</v>
      </c>
      <c r="V190" s="34">
        <f t="shared" si="37"/>
        <v>48.336855106924475</v>
      </c>
      <c r="X190" s="32">
        <v>2.3563000000000001</v>
      </c>
      <c r="Y190" s="32">
        <v>1.6608000000000001</v>
      </c>
      <c r="Z190" s="32">
        <v>3.2899999999999999E-2</v>
      </c>
      <c r="AA190" s="32">
        <v>7.8148</v>
      </c>
      <c r="AC190" s="32">
        <v>1.2999999999999999E-3</v>
      </c>
      <c r="AD190" s="32">
        <v>6.8900000000000003E-2</v>
      </c>
      <c r="AE190" s="32">
        <v>7.6899999999999996E-2</v>
      </c>
      <c r="AF190" s="32">
        <v>4.6600000000000003E-2</v>
      </c>
      <c r="AG190" s="32">
        <v>0.21679999999999999</v>
      </c>
      <c r="AH190" s="32">
        <v>3.7582</v>
      </c>
      <c r="AI190" s="32">
        <v>16.0335</v>
      </c>
    </row>
    <row r="191" spans="1:35" s="32" customFormat="1" x14ac:dyDescent="0.25">
      <c r="A191" s="2" t="s">
        <v>281</v>
      </c>
      <c r="B191" s="40">
        <v>261.95724999999999</v>
      </c>
      <c r="C191" s="32">
        <v>20.600999999999999</v>
      </c>
      <c r="D191" s="32">
        <v>9.3439999999999994</v>
      </c>
      <c r="E191" s="32">
        <v>0.27600000000000002</v>
      </c>
      <c r="F191" s="32">
        <v>51.606999999999999</v>
      </c>
      <c r="H191" s="32">
        <v>2E-3</v>
      </c>
      <c r="I191" s="32">
        <v>0.52</v>
      </c>
      <c r="J191" s="32">
        <v>0.63</v>
      </c>
      <c r="K191" s="32">
        <v>0.14799999999999999</v>
      </c>
      <c r="L191" s="32">
        <v>1.0629999999999999</v>
      </c>
      <c r="M191" s="32">
        <v>16.614000000000001</v>
      </c>
      <c r="N191" s="32">
        <v>100.80500000000001</v>
      </c>
      <c r="P191" s="34">
        <f t="shared" si="31"/>
        <v>0.28674229243510335</v>
      </c>
      <c r="Q191" s="34">
        <f t="shared" si="32"/>
        <v>0.41220692221808714</v>
      </c>
      <c r="R191" s="34">
        <f t="shared" si="33"/>
        <v>0.16662505795499125</v>
      </c>
      <c r="S191" s="34">
        <f t="shared" si="34"/>
        <v>58.975232188023682</v>
      </c>
      <c r="T191" s="34">
        <f t="shared" si="35"/>
        <v>33.127404719537289</v>
      </c>
      <c r="U191" s="34">
        <f t="shared" si="36"/>
        <v>19.250232270988164</v>
      </c>
      <c r="V191" s="34">
        <f t="shared" si="37"/>
        <v>47.622363009474547</v>
      </c>
      <c r="X191" s="32">
        <v>2.6036000000000001</v>
      </c>
      <c r="Y191" s="32">
        <v>1.5129999999999999</v>
      </c>
      <c r="Z191" s="32">
        <v>3.1399999999999997E-2</v>
      </c>
      <c r="AA191" s="32">
        <v>7.7988999999999997</v>
      </c>
      <c r="AC191" s="32">
        <v>5.0000000000000001E-4</v>
      </c>
      <c r="AD191" s="32">
        <v>6.2199999999999998E-2</v>
      </c>
      <c r="AE191" s="32">
        <v>8.0699999999999994E-2</v>
      </c>
      <c r="AF191" s="32">
        <v>4.3299999999999998E-2</v>
      </c>
      <c r="AG191" s="32">
        <v>0.18940000000000001</v>
      </c>
      <c r="AH191" s="32">
        <v>3.7427999999999999</v>
      </c>
      <c r="AI191" s="32">
        <v>16.065799999999999</v>
      </c>
    </row>
    <row r="192" spans="1:35" s="32" customFormat="1" x14ac:dyDescent="0.25">
      <c r="A192" s="2" t="s">
        <v>410</v>
      </c>
      <c r="B192" s="40">
        <v>267.35048999999998</v>
      </c>
      <c r="C192" s="32">
        <v>21.068000000000001</v>
      </c>
      <c r="D192" s="32">
        <v>9.4960000000000004</v>
      </c>
      <c r="E192" s="32">
        <v>0.32600000000000001</v>
      </c>
      <c r="F192" s="32">
        <v>51.576999999999998</v>
      </c>
      <c r="H192" s="32">
        <v>0</v>
      </c>
      <c r="I192" s="32">
        <v>0.54600000000000004</v>
      </c>
      <c r="J192" s="32">
        <v>0.66800000000000004</v>
      </c>
      <c r="K192" s="32">
        <v>0.111</v>
      </c>
      <c r="L192" s="32">
        <v>1.1419999999999999</v>
      </c>
      <c r="M192" s="32">
        <v>16.152999999999999</v>
      </c>
      <c r="N192" s="32">
        <v>101.087</v>
      </c>
      <c r="P192" s="34">
        <f t="shared" si="31"/>
        <v>0.29324239682650149</v>
      </c>
      <c r="Q192" s="34">
        <f t="shared" si="32"/>
        <v>0.40076913534300951</v>
      </c>
      <c r="R192" s="34">
        <f t="shared" si="33"/>
        <v>0.16933556831556046</v>
      </c>
      <c r="S192" s="34">
        <f t="shared" si="34"/>
        <v>57.746754450922055</v>
      </c>
      <c r="T192" s="34">
        <f t="shared" si="35"/>
        <v>33.965759155470991</v>
      </c>
      <c r="U192" s="34">
        <f t="shared" si="36"/>
        <v>19.613845719806008</v>
      </c>
      <c r="V192" s="34">
        <f t="shared" si="37"/>
        <v>46.420395124723001</v>
      </c>
      <c r="X192" s="32">
        <v>2.6619000000000002</v>
      </c>
      <c r="Y192" s="32">
        <v>1.5373000000000001</v>
      </c>
      <c r="Z192" s="32">
        <v>3.6999999999999998E-2</v>
      </c>
      <c r="AA192" s="32">
        <v>7.7922000000000002</v>
      </c>
      <c r="AC192" s="32">
        <v>0</v>
      </c>
      <c r="AD192" s="32">
        <v>6.5199999999999994E-2</v>
      </c>
      <c r="AE192" s="32">
        <v>8.5500000000000007E-2</v>
      </c>
      <c r="AF192" s="32">
        <v>3.2599999999999997E-2</v>
      </c>
      <c r="AG192" s="32">
        <v>0.2034</v>
      </c>
      <c r="AH192" s="32">
        <v>3.6379000000000001</v>
      </c>
      <c r="AI192" s="32">
        <v>16.053000000000001</v>
      </c>
    </row>
    <row r="193" spans="1:35" s="32" customFormat="1" x14ac:dyDescent="0.25">
      <c r="A193" s="2" t="s">
        <v>275</v>
      </c>
      <c r="B193" s="40">
        <v>272.74373000000003</v>
      </c>
      <c r="C193" s="32">
        <v>20.802</v>
      </c>
      <c r="D193" s="32">
        <v>8.9220000000000006</v>
      </c>
      <c r="E193" s="32">
        <v>0.27</v>
      </c>
      <c r="F193" s="32">
        <v>51.561</v>
      </c>
      <c r="H193" s="32">
        <v>0</v>
      </c>
      <c r="I193" s="32">
        <v>0.504</v>
      </c>
      <c r="J193" s="32">
        <v>0.623</v>
      </c>
      <c r="K193" s="32">
        <v>0.109</v>
      </c>
      <c r="L193" s="32">
        <v>1.0740000000000001</v>
      </c>
      <c r="M193" s="32">
        <v>16.553000000000001</v>
      </c>
      <c r="N193" s="32">
        <v>100.41800000000001</v>
      </c>
      <c r="P193" s="34">
        <f t="shared" si="31"/>
        <v>0.28953998190549096</v>
      </c>
      <c r="Q193" s="34">
        <f t="shared" si="32"/>
        <v>0.41069346234958443</v>
      </c>
      <c r="R193" s="34">
        <f t="shared" si="33"/>
        <v>0.15909982524341096</v>
      </c>
      <c r="S193" s="34">
        <f t="shared" si="34"/>
        <v>58.65093501589169</v>
      </c>
      <c r="T193" s="34">
        <f t="shared" si="35"/>
        <v>33.693561297175052</v>
      </c>
      <c r="U193" s="34">
        <f t="shared" si="36"/>
        <v>18.514333250039634</v>
      </c>
      <c r="V193" s="34">
        <f t="shared" si="37"/>
        <v>47.792105452785314</v>
      </c>
      <c r="X193" s="32">
        <v>2.6377000000000002</v>
      </c>
      <c r="Y193" s="32">
        <v>1.4495</v>
      </c>
      <c r="Z193" s="32">
        <v>3.0800000000000001E-2</v>
      </c>
      <c r="AA193" s="32">
        <v>7.8175999999999997</v>
      </c>
      <c r="AC193" s="32">
        <v>0</v>
      </c>
      <c r="AD193" s="32">
        <v>6.0499999999999998E-2</v>
      </c>
      <c r="AE193" s="32">
        <v>0.08</v>
      </c>
      <c r="AF193" s="32">
        <v>3.2199999999999999E-2</v>
      </c>
      <c r="AG193" s="32">
        <v>0.192</v>
      </c>
      <c r="AH193" s="32">
        <v>3.7412000000000001</v>
      </c>
      <c r="AI193" s="32">
        <v>16.041499999999999</v>
      </c>
    </row>
    <row r="194" spans="1:35" s="32" customFormat="1" x14ac:dyDescent="0.25">
      <c r="A194" s="2" t="s">
        <v>271</v>
      </c>
      <c r="B194" s="40">
        <v>278.13695999999999</v>
      </c>
      <c r="C194" s="32">
        <v>21.42</v>
      </c>
      <c r="D194" s="32">
        <v>8.7479999999999993</v>
      </c>
      <c r="E194" s="32">
        <v>0.35</v>
      </c>
      <c r="F194" s="32">
        <v>51.518999999999998</v>
      </c>
      <c r="H194" s="32">
        <v>3.0000000000000001E-3</v>
      </c>
      <c r="I194" s="32">
        <v>0.39800000000000002</v>
      </c>
      <c r="J194" s="32">
        <v>0.66200000000000003</v>
      </c>
      <c r="K194" s="32">
        <v>8.4000000000000005E-2</v>
      </c>
      <c r="L194" s="32">
        <v>1.171</v>
      </c>
      <c r="M194" s="32">
        <v>16.324999999999999</v>
      </c>
      <c r="N194" s="32">
        <v>100.68</v>
      </c>
      <c r="P194" s="34">
        <f t="shared" si="31"/>
        <v>0.2981418331129515</v>
      </c>
      <c r="Q194" s="34">
        <f t="shared" si="32"/>
        <v>0.40503659595583674</v>
      </c>
      <c r="R194" s="34">
        <f t="shared" si="33"/>
        <v>0.15599700417275936</v>
      </c>
      <c r="S194" s="34">
        <f t="shared" si="34"/>
        <v>57.600827785946507</v>
      </c>
      <c r="T194" s="34">
        <f t="shared" si="35"/>
        <v>34.700926211088749</v>
      </c>
      <c r="U194" s="34">
        <f t="shared" si="36"/>
        <v>18.15659504883708</v>
      </c>
      <c r="V194" s="34">
        <f t="shared" si="37"/>
        <v>47.142478740074175</v>
      </c>
      <c r="X194" s="32">
        <v>2.7147999999999999</v>
      </c>
      <c r="Y194" s="32">
        <v>1.4205000000000001</v>
      </c>
      <c r="Z194" s="32">
        <v>3.9899999999999998E-2</v>
      </c>
      <c r="AA194" s="32">
        <v>7.8071999999999999</v>
      </c>
      <c r="AC194" s="32">
        <v>5.9999999999999995E-4</v>
      </c>
      <c r="AD194" s="32">
        <v>4.7600000000000003E-2</v>
      </c>
      <c r="AE194" s="32">
        <v>8.5000000000000006E-2</v>
      </c>
      <c r="AF194" s="32">
        <v>2.4799999999999999E-2</v>
      </c>
      <c r="AG194" s="32">
        <v>0.20910000000000001</v>
      </c>
      <c r="AH194" s="32">
        <v>3.6878000000000002</v>
      </c>
      <c r="AI194" s="32">
        <v>16.037299999999998</v>
      </c>
    </row>
    <row r="195" spans="1:35" s="32" customFormat="1" x14ac:dyDescent="0.25">
      <c r="A195" s="2" t="s">
        <v>313</v>
      </c>
      <c r="B195" s="40">
        <v>283.53019999999998</v>
      </c>
      <c r="C195" s="32">
        <v>20.093</v>
      </c>
      <c r="D195" s="32">
        <v>9.7789999999999999</v>
      </c>
      <c r="E195" s="32">
        <v>0.26800000000000002</v>
      </c>
      <c r="F195" s="32">
        <v>51.868000000000002</v>
      </c>
      <c r="H195" s="32">
        <v>2E-3</v>
      </c>
      <c r="I195" s="32">
        <v>0.48</v>
      </c>
      <c r="J195" s="32">
        <v>0.63800000000000001</v>
      </c>
      <c r="K195" s="32">
        <v>0.112</v>
      </c>
      <c r="L195" s="32">
        <v>1.1399999999999999</v>
      </c>
      <c r="M195" s="32">
        <v>16.506</v>
      </c>
      <c r="N195" s="32">
        <v>100.886</v>
      </c>
      <c r="P195" s="34">
        <f t="shared" si="31"/>
        <v>0.27967151506715848</v>
      </c>
      <c r="Q195" s="34">
        <f t="shared" si="32"/>
        <v>0.4095273539263119</v>
      </c>
      <c r="R195" s="34">
        <f t="shared" si="33"/>
        <v>0.17438211063162024</v>
      </c>
      <c r="S195" s="34">
        <f t="shared" si="34"/>
        <v>59.42078148276704</v>
      </c>
      <c r="T195" s="34">
        <f t="shared" si="35"/>
        <v>32.385094353117097</v>
      </c>
      <c r="U195" s="34">
        <f t="shared" si="36"/>
        <v>20.192907758033918</v>
      </c>
      <c r="V195" s="34">
        <f t="shared" si="37"/>
        <v>47.421997888848985</v>
      </c>
      <c r="X195" s="32">
        <v>2.5323000000000002</v>
      </c>
      <c r="Y195" s="32">
        <v>1.579</v>
      </c>
      <c r="Z195" s="32">
        <v>3.0300000000000001E-2</v>
      </c>
      <c r="AA195" s="32">
        <v>7.8162000000000003</v>
      </c>
      <c r="AC195" s="32">
        <v>4.0000000000000002E-4</v>
      </c>
      <c r="AD195" s="32">
        <v>5.7099999999999998E-2</v>
      </c>
      <c r="AE195" s="32">
        <v>8.1500000000000003E-2</v>
      </c>
      <c r="AF195" s="32">
        <v>3.27E-2</v>
      </c>
      <c r="AG195" s="32">
        <v>0.2026</v>
      </c>
      <c r="AH195" s="32">
        <v>3.7080000000000002</v>
      </c>
      <c r="AI195" s="32">
        <v>16.040099999999999</v>
      </c>
    </row>
    <row r="196" spans="1:35" s="32" customFormat="1" x14ac:dyDescent="0.25">
      <c r="A196" s="2" t="s">
        <v>411</v>
      </c>
      <c r="B196" s="40">
        <v>288.92344000000003</v>
      </c>
      <c r="C196" s="32">
        <v>21.007000000000001</v>
      </c>
      <c r="D196" s="32">
        <v>9.0030000000000001</v>
      </c>
      <c r="E196" s="32">
        <v>0.311</v>
      </c>
      <c r="F196" s="32">
        <v>51.417999999999999</v>
      </c>
      <c r="H196" s="32">
        <v>2.7E-2</v>
      </c>
      <c r="I196" s="32">
        <v>0.41799999999999998</v>
      </c>
      <c r="J196" s="32">
        <v>0.626</v>
      </c>
      <c r="K196" s="32">
        <v>0.124</v>
      </c>
      <c r="L196" s="32">
        <v>1.29</v>
      </c>
      <c r="M196" s="32">
        <v>16.623000000000001</v>
      </c>
      <c r="N196" s="32">
        <v>100.84699999999999</v>
      </c>
      <c r="P196" s="34">
        <f t="shared" si="31"/>
        <v>0.29239334678822465</v>
      </c>
      <c r="Q196" s="34">
        <f t="shared" si="32"/>
        <v>0.41243021957573506</v>
      </c>
      <c r="R196" s="34">
        <f t="shared" si="33"/>
        <v>0.16054424194871428</v>
      </c>
      <c r="S196" s="34">
        <f t="shared" si="34"/>
        <v>58.515384453357314</v>
      </c>
      <c r="T196" s="34">
        <f t="shared" si="35"/>
        <v>33.788331849129442</v>
      </c>
      <c r="U196" s="34">
        <f t="shared" si="36"/>
        <v>18.552139380103515</v>
      </c>
      <c r="V196" s="34">
        <f t="shared" si="37"/>
        <v>47.659528770767039</v>
      </c>
      <c r="X196" s="32">
        <v>2.6562000000000001</v>
      </c>
      <c r="Y196" s="32">
        <v>1.4583999999999999</v>
      </c>
      <c r="Z196" s="32">
        <v>3.5400000000000001E-2</v>
      </c>
      <c r="AA196" s="32">
        <v>7.7737999999999996</v>
      </c>
      <c r="AC196" s="32">
        <v>5.1000000000000004E-3</v>
      </c>
      <c r="AD196" s="32">
        <v>4.99E-2</v>
      </c>
      <c r="AE196" s="32">
        <v>8.0100000000000005E-2</v>
      </c>
      <c r="AF196" s="32">
        <v>3.6299999999999999E-2</v>
      </c>
      <c r="AG196" s="32">
        <v>0.22989999999999999</v>
      </c>
      <c r="AH196" s="32">
        <v>3.7464</v>
      </c>
      <c r="AI196" s="32">
        <v>16.0715</v>
      </c>
    </row>
    <row r="197" spans="1:35" s="32" customFormat="1" x14ac:dyDescent="0.25">
      <c r="A197" s="2" t="s">
        <v>412</v>
      </c>
      <c r="B197" s="40">
        <v>294.31668000000002</v>
      </c>
      <c r="C197" s="32">
        <v>21.376000000000001</v>
      </c>
      <c r="D197" s="32">
        <v>8.6159999999999997</v>
      </c>
      <c r="E197" s="32">
        <v>0.28399999999999997</v>
      </c>
      <c r="F197" s="32">
        <v>51.781999999999996</v>
      </c>
      <c r="H197" s="32">
        <v>7.0000000000000001E-3</v>
      </c>
      <c r="I197" s="32">
        <v>0.45400000000000001</v>
      </c>
      <c r="J197" s="32">
        <v>0.66300000000000003</v>
      </c>
      <c r="K197" s="32">
        <v>0.11700000000000001</v>
      </c>
      <c r="L197" s="32">
        <v>1.1240000000000001</v>
      </c>
      <c r="M197" s="32">
        <v>16.527999999999999</v>
      </c>
      <c r="N197" s="32">
        <v>100.95099999999999</v>
      </c>
      <c r="P197" s="34">
        <f t="shared" si="31"/>
        <v>0.29752940357714525</v>
      </c>
      <c r="Q197" s="34">
        <f t="shared" si="32"/>
        <v>0.41007319191167346</v>
      </c>
      <c r="R197" s="34">
        <f t="shared" si="33"/>
        <v>0.15364313991226505</v>
      </c>
      <c r="S197" s="34">
        <f t="shared" si="34"/>
        <v>57.952471419129111</v>
      </c>
      <c r="T197" s="34">
        <f t="shared" si="35"/>
        <v>34.546400794493948</v>
      </c>
      <c r="U197" s="34">
        <f t="shared" si="36"/>
        <v>17.839640139490871</v>
      </c>
      <c r="V197" s="34">
        <f t="shared" si="37"/>
        <v>47.613959066015177</v>
      </c>
      <c r="X197" s="32">
        <v>2.6993999999999998</v>
      </c>
      <c r="Y197" s="32">
        <v>1.3939999999999999</v>
      </c>
      <c r="Z197" s="32">
        <v>3.2300000000000002E-2</v>
      </c>
      <c r="AA197" s="32">
        <v>7.8189000000000002</v>
      </c>
      <c r="AC197" s="32">
        <v>1.2999999999999999E-3</v>
      </c>
      <c r="AD197" s="32">
        <v>5.4100000000000002E-2</v>
      </c>
      <c r="AE197" s="32">
        <v>8.48E-2</v>
      </c>
      <c r="AF197" s="32">
        <v>3.4200000000000001E-2</v>
      </c>
      <c r="AG197" s="32">
        <v>0.2001</v>
      </c>
      <c r="AH197" s="32">
        <v>3.7202000000000002</v>
      </c>
      <c r="AI197" s="32">
        <v>16.039300000000001</v>
      </c>
    </row>
    <row r="198" spans="1:35" s="32" customFormat="1" x14ac:dyDescent="0.25">
      <c r="A198" s="2" t="s">
        <v>302</v>
      </c>
      <c r="B198" s="40">
        <v>299.70990999999998</v>
      </c>
      <c r="C198" s="32">
        <v>21.803999999999998</v>
      </c>
      <c r="D198" s="32">
        <v>8.3759999999999994</v>
      </c>
      <c r="E198" s="32">
        <v>0.35799999999999998</v>
      </c>
      <c r="F198" s="32">
        <v>51.436</v>
      </c>
      <c r="H198" s="32">
        <v>0</v>
      </c>
      <c r="I198" s="32">
        <v>0.43</v>
      </c>
      <c r="J198" s="32">
        <v>0.67</v>
      </c>
      <c r="K198" s="32">
        <v>7.3999999999999996E-2</v>
      </c>
      <c r="L198" s="32">
        <v>1.2050000000000001</v>
      </c>
      <c r="M198" s="32">
        <v>16.526</v>
      </c>
      <c r="N198" s="32">
        <v>100.879</v>
      </c>
      <c r="P198" s="34">
        <f t="shared" si="31"/>
        <v>0.30348667269816965</v>
      </c>
      <c r="Q198" s="34">
        <f t="shared" si="32"/>
        <v>0.4100235702766406</v>
      </c>
      <c r="R198" s="34">
        <f t="shared" si="33"/>
        <v>0.14936338671136629</v>
      </c>
      <c r="S198" s="34">
        <f t="shared" si="34"/>
        <v>57.46568802812773</v>
      </c>
      <c r="T198" s="34">
        <f t="shared" si="35"/>
        <v>35.171624471655996</v>
      </c>
      <c r="U198" s="34">
        <f t="shared" si="36"/>
        <v>17.309995528046109</v>
      </c>
      <c r="V198" s="34">
        <f t="shared" si="37"/>
        <v>47.518380000297896</v>
      </c>
      <c r="X198" s="32">
        <v>2.7606000000000002</v>
      </c>
      <c r="Y198" s="32">
        <v>1.3586</v>
      </c>
      <c r="Z198" s="32">
        <v>4.07E-2</v>
      </c>
      <c r="AA198" s="32">
        <v>7.7866999999999997</v>
      </c>
      <c r="AC198" s="32">
        <v>0</v>
      </c>
      <c r="AD198" s="32">
        <v>5.1400000000000001E-2</v>
      </c>
      <c r="AE198" s="32">
        <v>8.5900000000000004E-2</v>
      </c>
      <c r="AF198" s="32">
        <v>2.18E-2</v>
      </c>
      <c r="AG198" s="32">
        <v>0.215</v>
      </c>
      <c r="AH198" s="32">
        <v>3.7294999999999998</v>
      </c>
      <c r="AI198" s="32">
        <v>16.0502</v>
      </c>
    </row>
    <row r="199" spans="1:35" s="32" customFormat="1" x14ac:dyDescent="0.25">
      <c r="A199" s="2" t="s">
        <v>413</v>
      </c>
      <c r="B199" s="40">
        <v>305.10315000000003</v>
      </c>
      <c r="C199" s="32">
        <v>21.216000000000001</v>
      </c>
      <c r="D199" s="32">
        <v>8.48</v>
      </c>
      <c r="E199" s="32">
        <v>0.255</v>
      </c>
      <c r="F199" s="32">
        <v>50.704000000000001</v>
      </c>
      <c r="H199" s="32">
        <v>1.0999999999999999E-2</v>
      </c>
      <c r="I199" s="32">
        <v>0.60499999999999998</v>
      </c>
      <c r="J199" s="32">
        <v>0.624</v>
      </c>
      <c r="K199" s="32">
        <v>0.13</v>
      </c>
      <c r="L199" s="32">
        <v>1.3879999999999999</v>
      </c>
      <c r="M199" s="32">
        <v>16.300999999999998</v>
      </c>
      <c r="N199" s="32">
        <v>99.713999999999999</v>
      </c>
      <c r="P199" s="34">
        <f t="shared" si="31"/>
        <v>0.29530238708330436</v>
      </c>
      <c r="Q199" s="34">
        <f t="shared" si="32"/>
        <v>0.40444113633544221</v>
      </c>
      <c r="R199" s="34">
        <f t="shared" si="33"/>
        <v>0.15121794643175576</v>
      </c>
      <c r="S199" s="34">
        <f t="shared" si="34"/>
        <v>57.798482272398687</v>
      </c>
      <c r="T199" s="34">
        <f t="shared" si="35"/>
        <v>34.702204217916396</v>
      </c>
      <c r="U199" s="34">
        <f t="shared" si="36"/>
        <v>17.770245985205634</v>
      </c>
      <c r="V199" s="34">
        <f t="shared" si="37"/>
        <v>47.527549796877963</v>
      </c>
      <c r="X199" s="32">
        <v>2.7166999999999999</v>
      </c>
      <c r="Y199" s="32">
        <v>1.3912</v>
      </c>
      <c r="Z199" s="32">
        <v>2.9399999999999999E-2</v>
      </c>
      <c r="AA199" s="32">
        <v>7.7629999999999999</v>
      </c>
      <c r="AC199" s="32">
        <v>2.0999999999999999E-3</v>
      </c>
      <c r="AD199" s="32">
        <v>7.3200000000000001E-2</v>
      </c>
      <c r="AE199" s="32">
        <v>8.09E-2</v>
      </c>
      <c r="AF199" s="32">
        <v>3.85E-2</v>
      </c>
      <c r="AG199" s="32">
        <v>0.25040000000000001</v>
      </c>
      <c r="AH199" s="32">
        <v>3.7206000000000001</v>
      </c>
      <c r="AI199" s="32">
        <v>16.065999999999999</v>
      </c>
    </row>
    <row r="200" spans="1:35" s="32" customFormat="1" x14ac:dyDescent="0.25">
      <c r="A200" s="2" t="s">
        <v>297</v>
      </c>
      <c r="B200" s="40">
        <v>310.49639000000002</v>
      </c>
      <c r="C200" s="32">
        <v>21.884</v>
      </c>
      <c r="D200" s="32">
        <v>8.0869999999999997</v>
      </c>
      <c r="E200" s="32">
        <v>0.312</v>
      </c>
      <c r="F200" s="32">
        <v>51.372</v>
      </c>
      <c r="H200" s="32">
        <v>3.0000000000000001E-3</v>
      </c>
      <c r="I200" s="32">
        <v>0.64300000000000002</v>
      </c>
      <c r="J200" s="32">
        <v>0.65300000000000002</v>
      </c>
      <c r="K200" s="32">
        <v>0.107</v>
      </c>
      <c r="L200" s="32">
        <v>1.4379999999999999</v>
      </c>
      <c r="M200" s="32">
        <v>16.491</v>
      </c>
      <c r="N200" s="32">
        <v>100.99</v>
      </c>
      <c r="P200" s="34">
        <f t="shared" si="31"/>
        <v>0.30460018094509012</v>
      </c>
      <c r="Q200" s="34">
        <f t="shared" si="32"/>
        <v>0.40915519166356529</v>
      </c>
      <c r="R200" s="34">
        <f t="shared" si="33"/>
        <v>0.14420985056528407</v>
      </c>
      <c r="S200" s="34">
        <f t="shared" si="34"/>
        <v>57.324288876197471</v>
      </c>
      <c r="T200" s="34">
        <f t="shared" si="35"/>
        <v>35.502625598070082</v>
      </c>
      <c r="U200" s="34">
        <f t="shared" si="36"/>
        <v>16.808356174600764</v>
      </c>
      <c r="V200" s="34">
        <f t="shared" si="37"/>
        <v>47.689018227329157</v>
      </c>
      <c r="X200" s="32">
        <v>2.7673000000000001</v>
      </c>
      <c r="Y200" s="32">
        <v>1.3102</v>
      </c>
      <c r="Z200" s="32">
        <v>3.5499999999999997E-2</v>
      </c>
      <c r="AA200" s="32">
        <v>7.7675000000000001</v>
      </c>
      <c r="AC200" s="32">
        <v>5.9999999999999995E-4</v>
      </c>
      <c r="AD200" s="32">
        <v>7.6899999999999996E-2</v>
      </c>
      <c r="AE200" s="32">
        <v>8.3599999999999994E-2</v>
      </c>
      <c r="AF200" s="32">
        <v>3.1399999999999997E-2</v>
      </c>
      <c r="AG200" s="32">
        <v>0.25640000000000002</v>
      </c>
      <c r="AH200" s="32">
        <v>3.7170000000000001</v>
      </c>
      <c r="AI200" s="32">
        <v>16.046399999999998</v>
      </c>
    </row>
    <row r="201" spans="1:35" s="32" customFormat="1" x14ac:dyDescent="0.25">
      <c r="A201" s="2" t="s">
        <v>284</v>
      </c>
      <c r="B201" s="40">
        <v>315.88963000000001</v>
      </c>
      <c r="C201" s="32">
        <v>24.693000000000001</v>
      </c>
      <c r="D201" s="32">
        <v>6.3010000000000002</v>
      </c>
      <c r="E201" s="32">
        <v>0.38400000000000001</v>
      </c>
      <c r="F201" s="32">
        <v>50.982999999999997</v>
      </c>
      <c r="H201" s="32">
        <v>0</v>
      </c>
      <c r="I201" s="32">
        <v>0.439</v>
      </c>
      <c r="J201" s="32">
        <v>0.72499999999999998</v>
      </c>
      <c r="K201" s="32">
        <v>0.08</v>
      </c>
      <c r="L201" s="32">
        <v>1.228</v>
      </c>
      <c r="M201" s="32">
        <v>15.827999999999999</v>
      </c>
      <c r="N201" s="32">
        <v>100.661</v>
      </c>
      <c r="P201" s="34">
        <f t="shared" si="31"/>
        <v>0.34369823926508458</v>
      </c>
      <c r="Q201" s="34">
        <f t="shared" si="32"/>
        <v>0.39270561965016748</v>
      </c>
      <c r="R201" s="34">
        <f t="shared" si="33"/>
        <v>0.11236135382859588</v>
      </c>
      <c r="S201" s="34">
        <f t="shared" si="34"/>
        <v>53.327479873426554</v>
      </c>
      <c r="T201" s="34">
        <f t="shared" si="35"/>
        <v>40.493912109568349</v>
      </c>
      <c r="U201" s="34">
        <f t="shared" si="36"/>
        <v>13.238213835998227</v>
      </c>
      <c r="V201" s="34">
        <f t="shared" si="37"/>
        <v>46.26787405443342</v>
      </c>
      <c r="X201" s="32">
        <v>3.1583999999999999</v>
      </c>
      <c r="Y201" s="32">
        <v>1.0326</v>
      </c>
      <c r="Z201" s="32">
        <v>4.4200000000000003E-2</v>
      </c>
      <c r="AA201" s="32">
        <v>7.7972999999999999</v>
      </c>
      <c r="AC201" s="32">
        <v>0</v>
      </c>
      <c r="AD201" s="32">
        <v>5.3100000000000001E-2</v>
      </c>
      <c r="AE201" s="32">
        <v>9.4E-2</v>
      </c>
      <c r="AF201" s="32">
        <v>2.3699999999999999E-2</v>
      </c>
      <c r="AG201" s="32">
        <v>0.22140000000000001</v>
      </c>
      <c r="AH201" s="32">
        <v>3.6086</v>
      </c>
      <c r="AI201" s="32">
        <v>16.033300000000001</v>
      </c>
    </row>
    <row r="202" spans="1:35" s="32" customFormat="1" x14ac:dyDescent="0.25">
      <c r="A202" s="2" t="s">
        <v>141</v>
      </c>
      <c r="B202" s="40">
        <v>325.90564000000001</v>
      </c>
      <c r="C202" s="32">
        <v>22.148</v>
      </c>
      <c r="D202" s="32">
        <v>5.9050000000000002</v>
      </c>
      <c r="E202" s="32">
        <v>0.30199999999999999</v>
      </c>
      <c r="F202" s="32">
        <v>49.024999999999999</v>
      </c>
      <c r="H202" s="32">
        <v>1.2E-2</v>
      </c>
      <c r="I202" s="32">
        <v>0.54800000000000004</v>
      </c>
      <c r="J202" s="32">
        <v>0.69499999999999995</v>
      </c>
      <c r="K202" s="32">
        <v>0.111</v>
      </c>
      <c r="L202" s="32">
        <v>1.347</v>
      </c>
      <c r="M202" s="32">
        <v>18.074000000000002</v>
      </c>
      <c r="N202" s="32">
        <v>98.167000000000002</v>
      </c>
      <c r="P202" s="34">
        <f t="shared" si="31"/>
        <v>0.30827475815992761</v>
      </c>
      <c r="Q202" s="34">
        <f t="shared" si="32"/>
        <v>0.44843071579208538</v>
      </c>
      <c r="R202" s="34">
        <f t="shared" si="33"/>
        <v>0.10529976104711294</v>
      </c>
      <c r="S202" s="34">
        <f t="shared" si="34"/>
        <v>59.260931925083838</v>
      </c>
      <c r="T202" s="34">
        <f t="shared" si="35"/>
        <v>35.762515776396668</v>
      </c>
      <c r="U202" s="34">
        <f t="shared" si="36"/>
        <v>12.215675354595696</v>
      </c>
      <c r="V202" s="34">
        <f t="shared" si="37"/>
        <v>52.021808869007636</v>
      </c>
      <c r="X202" s="32">
        <v>2.8860999999999999</v>
      </c>
      <c r="Y202" s="32">
        <v>0.9859</v>
      </c>
      <c r="Z202" s="32">
        <v>3.5400000000000001E-2</v>
      </c>
      <c r="AA202" s="32">
        <v>7.6384999999999996</v>
      </c>
      <c r="AC202" s="32">
        <v>2.5000000000000001E-3</v>
      </c>
      <c r="AD202" s="32">
        <v>6.7500000000000004E-2</v>
      </c>
      <c r="AE202" s="32">
        <v>9.1700000000000004E-2</v>
      </c>
      <c r="AF202" s="32">
        <v>3.3700000000000001E-2</v>
      </c>
      <c r="AG202" s="32">
        <v>0.24740000000000001</v>
      </c>
      <c r="AH202" s="32">
        <v>4.1980000000000004</v>
      </c>
      <c r="AI202" s="32">
        <v>16.186699999999998</v>
      </c>
    </row>
    <row r="203" spans="1:35" s="32" customFormat="1" x14ac:dyDescent="0.25">
      <c r="A203" s="2" t="s">
        <v>142</v>
      </c>
      <c r="B203" s="40">
        <v>331.29888</v>
      </c>
      <c r="C203" s="32">
        <v>23.68</v>
      </c>
      <c r="D203" s="32">
        <v>5.8419999999999996</v>
      </c>
      <c r="E203" s="32">
        <v>0.28699999999999998</v>
      </c>
      <c r="F203" s="32">
        <v>51.133000000000003</v>
      </c>
      <c r="H203" s="32">
        <v>0</v>
      </c>
      <c r="I203" s="32">
        <v>0.50700000000000001</v>
      </c>
      <c r="J203" s="32">
        <v>0.71599999999999997</v>
      </c>
      <c r="K203" s="32">
        <v>6.5000000000000002E-2</v>
      </c>
      <c r="L203" s="32">
        <v>1.206</v>
      </c>
      <c r="M203" s="32">
        <v>17.231000000000002</v>
      </c>
      <c r="N203" s="32">
        <v>100.667</v>
      </c>
      <c r="P203" s="34">
        <f t="shared" si="31"/>
        <v>0.32959844108845432</v>
      </c>
      <c r="Q203" s="34">
        <f t="shared" si="32"/>
        <v>0.42751519662572884</v>
      </c>
      <c r="R203" s="34">
        <f t="shared" si="33"/>
        <v>0.10417632583187701</v>
      </c>
      <c r="S203" s="34">
        <f t="shared" si="34"/>
        <v>56.466450388669323</v>
      </c>
      <c r="T203" s="34">
        <f t="shared" si="35"/>
        <v>38.267999749056401</v>
      </c>
      <c r="U203" s="34">
        <f t="shared" si="36"/>
        <v>12.095383696678343</v>
      </c>
      <c r="V203" s="34">
        <f t="shared" si="37"/>
        <v>49.636616554265252</v>
      </c>
      <c r="X203" s="32">
        <v>3.0110999999999999</v>
      </c>
      <c r="Y203" s="32">
        <v>0.95169999999999999</v>
      </c>
      <c r="Z203" s="32">
        <v>3.2800000000000003E-2</v>
      </c>
      <c r="AA203" s="32">
        <v>7.7744999999999997</v>
      </c>
      <c r="AC203" s="32">
        <v>0</v>
      </c>
      <c r="AD203" s="32">
        <v>6.0900000000000003E-2</v>
      </c>
      <c r="AE203" s="32">
        <v>9.2200000000000004E-2</v>
      </c>
      <c r="AF203" s="32">
        <v>1.9099999999999999E-2</v>
      </c>
      <c r="AG203" s="32">
        <v>0.21609999999999999</v>
      </c>
      <c r="AH203" s="32">
        <v>3.9054000000000002</v>
      </c>
      <c r="AI203" s="32">
        <v>16.063800000000001</v>
      </c>
    </row>
    <row r="204" spans="1:35" s="32" customFormat="1" x14ac:dyDescent="0.25">
      <c r="A204" s="2" t="s">
        <v>414</v>
      </c>
      <c r="B204" s="40">
        <v>336.69211000000001</v>
      </c>
      <c r="C204" s="32">
        <v>23.309000000000001</v>
      </c>
      <c r="D204" s="32">
        <v>5.7679999999999998</v>
      </c>
      <c r="E204" s="32">
        <v>0.26300000000000001</v>
      </c>
      <c r="F204" s="32">
        <v>51.262</v>
      </c>
      <c r="H204" s="32">
        <v>2E-3</v>
      </c>
      <c r="I204" s="32">
        <v>0.55200000000000005</v>
      </c>
      <c r="J204" s="32">
        <v>0.72199999999999998</v>
      </c>
      <c r="K204" s="32">
        <v>7.4999999999999997E-2</v>
      </c>
      <c r="L204" s="32">
        <v>1.2589999999999999</v>
      </c>
      <c r="M204" s="32">
        <v>17.486999999999998</v>
      </c>
      <c r="N204" s="32">
        <v>100.699</v>
      </c>
      <c r="P204" s="34">
        <f t="shared" si="31"/>
        <v>0.32443454659336074</v>
      </c>
      <c r="Q204" s="34">
        <f t="shared" si="32"/>
        <v>0.43386676590993667</v>
      </c>
      <c r="R204" s="34">
        <f t="shared" si="33"/>
        <v>0.1028567352615999</v>
      </c>
      <c r="S204" s="34">
        <f t="shared" si="34"/>
        <v>57.215615845060277</v>
      </c>
      <c r="T204" s="34">
        <f t="shared" si="35"/>
        <v>37.67421641537441</v>
      </c>
      <c r="U204" s="34">
        <f t="shared" si="36"/>
        <v>11.944002094454161</v>
      </c>
      <c r="V204" s="34">
        <f t="shared" si="37"/>
        <v>50.381781490171427</v>
      </c>
      <c r="X204" s="32">
        <v>2.9567999999999999</v>
      </c>
      <c r="Y204" s="32">
        <v>0.9375</v>
      </c>
      <c r="Z204" s="32">
        <v>0.03</v>
      </c>
      <c r="AA204" s="32">
        <v>7.7754000000000003</v>
      </c>
      <c r="AC204" s="32">
        <v>4.0000000000000002E-4</v>
      </c>
      <c r="AD204" s="32">
        <v>6.6199999999999995E-2</v>
      </c>
      <c r="AE204" s="32">
        <v>9.2700000000000005E-2</v>
      </c>
      <c r="AF204" s="32">
        <v>2.1999999999999999E-2</v>
      </c>
      <c r="AG204" s="32">
        <v>0.22520000000000001</v>
      </c>
      <c r="AH204" s="32">
        <v>3.9539</v>
      </c>
      <c r="AI204" s="32">
        <v>16.060099999999998</v>
      </c>
    </row>
    <row r="205" spans="1:35" s="32" customFormat="1" x14ac:dyDescent="0.25">
      <c r="A205" s="2" t="s">
        <v>95</v>
      </c>
      <c r="B205" s="40">
        <v>342.08535000000001</v>
      </c>
      <c r="C205" s="32">
        <v>23.838999999999999</v>
      </c>
      <c r="D205" s="32">
        <v>6.0469999999999997</v>
      </c>
      <c r="E205" s="32">
        <v>0.32300000000000001</v>
      </c>
      <c r="F205" s="32">
        <v>51.246000000000002</v>
      </c>
      <c r="H205" s="32">
        <v>0</v>
      </c>
      <c r="I205" s="32">
        <v>0.59799999999999998</v>
      </c>
      <c r="J205" s="32">
        <v>0.67100000000000004</v>
      </c>
      <c r="K205" s="32">
        <v>8.8999999999999996E-2</v>
      </c>
      <c r="L205" s="32">
        <v>1.2789999999999999</v>
      </c>
      <c r="M205" s="32">
        <v>17.082999999999998</v>
      </c>
      <c r="N205" s="32">
        <v>101.175</v>
      </c>
      <c r="P205" s="34">
        <f t="shared" si="31"/>
        <v>0.33181153872920871</v>
      </c>
      <c r="Q205" s="34">
        <f t="shared" si="32"/>
        <v>0.42384319563329609</v>
      </c>
      <c r="R205" s="34">
        <f t="shared" si="33"/>
        <v>0.1078319483576447</v>
      </c>
      <c r="S205" s="34">
        <f t="shared" si="34"/>
        <v>56.089530887524198</v>
      </c>
      <c r="T205" s="34">
        <f t="shared" si="35"/>
        <v>38.426943387700938</v>
      </c>
      <c r="U205" s="34">
        <f t="shared" si="36"/>
        <v>12.48796889582052</v>
      </c>
      <c r="V205" s="34">
        <f t="shared" si="37"/>
        <v>49.08508771647854</v>
      </c>
      <c r="X205" s="32">
        <v>3.0192000000000001</v>
      </c>
      <c r="Y205" s="32">
        <v>0.98119999999999996</v>
      </c>
      <c r="Z205" s="32">
        <v>3.6799999999999999E-2</v>
      </c>
      <c r="AA205" s="32">
        <v>7.7603999999999997</v>
      </c>
      <c r="AC205" s="32">
        <v>0</v>
      </c>
      <c r="AD205" s="32">
        <v>7.1599999999999997E-2</v>
      </c>
      <c r="AE205" s="32">
        <v>8.6099999999999996E-2</v>
      </c>
      <c r="AF205" s="32">
        <v>2.63E-2</v>
      </c>
      <c r="AG205" s="32">
        <v>0.22819999999999999</v>
      </c>
      <c r="AH205" s="32">
        <v>3.8563000000000001</v>
      </c>
      <c r="AI205" s="32">
        <v>16.066099999999999</v>
      </c>
    </row>
    <row r="206" spans="1:35" s="32" customFormat="1" x14ac:dyDescent="0.25">
      <c r="A206" s="2" t="s">
        <v>415</v>
      </c>
      <c r="B206" s="40">
        <v>347.47859</v>
      </c>
      <c r="C206" s="32">
        <v>23.742999999999999</v>
      </c>
      <c r="D206" s="32">
        <v>6.7069999999999999</v>
      </c>
      <c r="E206" s="32">
        <v>0.29499999999999998</v>
      </c>
      <c r="F206" s="32">
        <v>50.832999999999998</v>
      </c>
      <c r="H206" s="32">
        <v>0</v>
      </c>
      <c r="I206" s="32">
        <v>0.65500000000000003</v>
      </c>
      <c r="J206" s="32">
        <v>0.66800000000000004</v>
      </c>
      <c r="K206" s="32">
        <v>7.4999999999999997E-2</v>
      </c>
      <c r="L206" s="32">
        <v>1.329</v>
      </c>
      <c r="M206" s="32">
        <v>16.908999999999999</v>
      </c>
      <c r="N206" s="32">
        <v>101.214</v>
      </c>
      <c r="P206" s="34">
        <f t="shared" si="31"/>
        <v>0.33047532883290415</v>
      </c>
      <c r="Q206" s="34">
        <f t="shared" si="32"/>
        <v>0.41952611338543605</v>
      </c>
      <c r="R206" s="34">
        <f t="shared" si="33"/>
        <v>0.11960126966011626</v>
      </c>
      <c r="S206" s="34">
        <f t="shared" si="34"/>
        <v>55.93670755413077</v>
      </c>
      <c r="T206" s="34">
        <f t="shared" si="35"/>
        <v>38.003024176297004</v>
      </c>
      <c r="U206" s="34">
        <f t="shared" si="36"/>
        <v>13.753552976135708</v>
      </c>
      <c r="V206" s="34">
        <f t="shared" si="37"/>
        <v>48.243422847567288</v>
      </c>
      <c r="X206" s="32">
        <v>3.0137999999999998</v>
      </c>
      <c r="Y206" s="32">
        <v>1.0908</v>
      </c>
      <c r="Z206" s="32">
        <v>3.3700000000000001E-2</v>
      </c>
      <c r="AA206" s="32">
        <v>7.7153999999999998</v>
      </c>
      <c r="AC206" s="32">
        <v>0</v>
      </c>
      <c r="AD206" s="32">
        <v>7.8600000000000003E-2</v>
      </c>
      <c r="AE206" s="32">
        <v>8.5800000000000001E-2</v>
      </c>
      <c r="AF206" s="32">
        <v>2.2100000000000002E-2</v>
      </c>
      <c r="AG206" s="32">
        <v>0.23780000000000001</v>
      </c>
      <c r="AH206" s="32">
        <v>3.8258999999999999</v>
      </c>
      <c r="AI206" s="32">
        <v>16.103899999999999</v>
      </c>
    </row>
    <row r="207" spans="1:35" s="32" customFormat="1" x14ac:dyDescent="0.25">
      <c r="A207" s="2" t="s">
        <v>416</v>
      </c>
      <c r="B207" s="40">
        <v>352.87182999999999</v>
      </c>
      <c r="C207" s="32">
        <v>22.7</v>
      </c>
      <c r="D207" s="32">
        <v>7.367</v>
      </c>
      <c r="E207" s="32">
        <v>0.28999999999999998</v>
      </c>
      <c r="F207" s="32">
        <v>51.036999999999999</v>
      </c>
      <c r="H207" s="32">
        <v>0</v>
      </c>
      <c r="I207" s="32">
        <v>0.63</v>
      </c>
      <c r="J207" s="32">
        <v>0.68400000000000005</v>
      </c>
      <c r="K207" s="32">
        <v>0.16500000000000001</v>
      </c>
      <c r="L207" s="32">
        <v>1.3460000000000001</v>
      </c>
      <c r="M207" s="32">
        <v>16.359000000000002</v>
      </c>
      <c r="N207" s="32">
        <v>100.578</v>
      </c>
      <c r="P207" s="34">
        <f t="shared" si="31"/>
        <v>0.31595796506367874</v>
      </c>
      <c r="Q207" s="34">
        <f t="shared" si="32"/>
        <v>0.40588016375139563</v>
      </c>
      <c r="R207" s="34">
        <f t="shared" si="33"/>
        <v>0.13137059096258782</v>
      </c>
      <c r="S207" s="34">
        <f t="shared" si="34"/>
        <v>56.228695541154615</v>
      </c>
      <c r="T207" s="34">
        <f t="shared" si="35"/>
        <v>37.03173183063744</v>
      </c>
      <c r="U207" s="34">
        <f t="shared" si="36"/>
        <v>15.397239610586929</v>
      </c>
      <c r="V207" s="34">
        <f t="shared" si="37"/>
        <v>47.57102855877563</v>
      </c>
      <c r="X207" s="32">
        <v>2.8902999999999999</v>
      </c>
      <c r="Y207" s="32">
        <v>1.2017</v>
      </c>
      <c r="Z207" s="32">
        <v>3.32E-2</v>
      </c>
      <c r="AA207" s="32">
        <v>7.77</v>
      </c>
      <c r="AC207" s="32">
        <v>0</v>
      </c>
      <c r="AD207" s="32">
        <v>7.5800000000000006E-2</v>
      </c>
      <c r="AE207" s="32">
        <v>8.8200000000000001E-2</v>
      </c>
      <c r="AF207" s="32">
        <v>4.8800000000000003E-2</v>
      </c>
      <c r="AG207" s="32">
        <v>0.24160000000000001</v>
      </c>
      <c r="AH207" s="32">
        <v>3.7126999999999999</v>
      </c>
      <c r="AI207" s="32">
        <v>16.0623</v>
      </c>
    </row>
    <row r="208" spans="1:35" s="32" customFormat="1" x14ac:dyDescent="0.25">
      <c r="A208" s="2" t="s">
        <v>417</v>
      </c>
      <c r="B208" s="40">
        <v>358.26506000000001</v>
      </c>
      <c r="C208" s="32">
        <v>22.87</v>
      </c>
      <c r="D208" s="32">
        <v>7.274</v>
      </c>
      <c r="E208" s="32">
        <v>0.26200000000000001</v>
      </c>
      <c r="F208" s="32">
        <v>48.499000000000002</v>
      </c>
      <c r="H208" s="32">
        <v>2.5000000000000001E-2</v>
      </c>
      <c r="I208" s="32">
        <v>0.46899999999999997</v>
      </c>
      <c r="J208" s="32">
        <v>0.63600000000000001</v>
      </c>
      <c r="K208" s="32">
        <v>0.128</v>
      </c>
      <c r="L208" s="32">
        <v>1.524</v>
      </c>
      <c r="M208" s="32">
        <v>16.634</v>
      </c>
      <c r="N208" s="32">
        <v>98.320999999999998</v>
      </c>
      <c r="P208" s="34">
        <f t="shared" si="31"/>
        <v>0.31832417008838476</v>
      </c>
      <c r="Q208" s="34">
        <f t="shared" si="32"/>
        <v>0.41270313856841584</v>
      </c>
      <c r="R208" s="34">
        <f t="shared" si="33"/>
        <v>0.12971218659723954</v>
      </c>
      <c r="S208" s="34">
        <f t="shared" si="34"/>
        <v>56.455228646207779</v>
      </c>
      <c r="T208" s="34">
        <f t="shared" si="35"/>
        <v>36.982637818244186</v>
      </c>
      <c r="U208" s="34">
        <f t="shared" si="36"/>
        <v>15.069854155926244</v>
      </c>
      <c r="V208" s="34">
        <f t="shared" si="37"/>
        <v>47.94750802582957</v>
      </c>
      <c r="X208" s="32">
        <v>2.9994999999999998</v>
      </c>
      <c r="Y208" s="32">
        <v>1.2222999999999999</v>
      </c>
      <c r="Z208" s="32">
        <v>3.0800000000000001E-2</v>
      </c>
      <c r="AA208" s="32">
        <v>7.6058000000000003</v>
      </c>
      <c r="AC208" s="32">
        <v>5.0000000000000001E-3</v>
      </c>
      <c r="AD208" s="32">
        <v>5.8200000000000002E-2</v>
      </c>
      <c r="AE208" s="32">
        <v>8.4400000000000003E-2</v>
      </c>
      <c r="AF208" s="32">
        <v>3.9E-2</v>
      </c>
      <c r="AG208" s="32">
        <v>0.28170000000000001</v>
      </c>
      <c r="AH208" s="32">
        <v>3.8887</v>
      </c>
      <c r="AI208" s="32">
        <v>16.215399999999999</v>
      </c>
    </row>
    <row r="209" spans="1:35" s="32" customFormat="1" x14ac:dyDescent="0.25">
      <c r="A209" s="2" t="s">
        <v>418</v>
      </c>
      <c r="B209" s="40">
        <v>363.6583</v>
      </c>
      <c r="C209" s="32">
        <v>24.93</v>
      </c>
      <c r="D209" s="32">
        <v>6.43</v>
      </c>
      <c r="E209" s="32">
        <v>0.33300000000000002</v>
      </c>
      <c r="F209" s="32">
        <v>52.287999999999997</v>
      </c>
      <c r="H209" s="32">
        <v>3.0000000000000001E-3</v>
      </c>
      <c r="I209" s="32">
        <v>0.39100000000000001</v>
      </c>
      <c r="J209" s="32">
        <v>0.69699999999999995</v>
      </c>
      <c r="K209" s="32">
        <v>0.126</v>
      </c>
      <c r="L209" s="32">
        <v>1.121</v>
      </c>
      <c r="M209" s="32">
        <v>15.805</v>
      </c>
      <c r="N209" s="32">
        <v>102.124</v>
      </c>
      <c r="P209" s="34">
        <f t="shared" si="31"/>
        <v>0.3469970074465864</v>
      </c>
      <c r="Q209" s="34">
        <f t="shared" si="32"/>
        <v>0.39213497084728943</v>
      </c>
      <c r="R209" s="34">
        <f t="shared" si="33"/>
        <v>0.11466172117407895</v>
      </c>
      <c r="S209" s="34">
        <f t="shared" si="34"/>
        <v>53.05344408889561</v>
      </c>
      <c r="T209" s="34">
        <f t="shared" si="35"/>
        <v>40.641785909502389</v>
      </c>
      <c r="U209" s="34">
        <f t="shared" si="36"/>
        <v>13.429675253580683</v>
      </c>
      <c r="V209" s="34">
        <f t="shared" si="37"/>
        <v>45.928538836916928</v>
      </c>
      <c r="X209" s="32">
        <v>3.1364999999999998</v>
      </c>
      <c r="Y209" s="32">
        <v>1.0365</v>
      </c>
      <c r="Z209" s="32">
        <v>3.7699999999999997E-2</v>
      </c>
      <c r="AA209" s="32">
        <v>7.8658000000000001</v>
      </c>
      <c r="AC209" s="32">
        <v>5.9999999999999995E-4</v>
      </c>
      <c r="AD209" s="32">
        <v>4.6600000000000003E-2</v>
      </c>
      <c r="AE209" s="32">
        <v>8.8800000000000004E-2</v>
      </c>
      <c r="AF209" s="32">
        <v>3.6900000000000002E-2</v>
      </c>
      <c r="AG209" s="32">
        <v>0.1988</v>
      </c>
      <c r="AH209" s="32">
        <v>3.5444</v>
      </c>
      <c r="AI209" s="32">
        <v>15.992599999999999</v>
      </c>
    </row>
    <row r="210" spans="1:35" s="32" customFormat="1" x14ac:dyDescent="0.25">
      <c r="A210" s="2" t="s">
        <v>419</v>
      </c>
      <c r="B210" s="40">
        <v>369.05153999999999</v>
      </c>
      <c r="C210" s="32">
        <v>22.864999999999998</v>
      </c>
      <c r="D210" s="32">
        <v>8.1999999999999993</v>
      </c>
      <c r="E210" s="32">
        <v>0.29799999999999999</v>
      </c>
      <c r="F210" s="32">
        <v>51.308999999999997</v>
      </c>
      <c r="H210" s="32">
        <v>1.7999999999999999E-2</v>
      </c>
      <c r="I210" s="32">
        <v>0.38200000000000001</v>
      </c>
      <c r="J210" s="32">
        <v>0.67500000000000004</v>
      </c>
      <c r="K210" s="32">
        <v>0.15</v>
      </c>
      <c r="L210" s="32">
        <v>1.2030000000000001</v>
      </c>
      <c r="M210" s="32">
        <v>16.244</v>
      </c>
      <c r="N210" s="32">
        <v>101.34399999999999</v>
      </c>
      <c r="P210" s="34">
        <f t="shared" si="31"/>
        <v>0.31825457582295219</v>
      </c>
      <c r="Q210" s="34">
        <f t="shared" si="32"/>
        <v>0.40302691973700533</v>
      </c>
      <c r="R210" s="34">
        <f t="shared" si="33"/>
        <v>0.14622490103070721</v>
      </c>
      <c r="S210" s="34">
        <f t="shared" si="34"/>
        <v>55.876508993776497</v>
      </c>
      <c r="T210" s="34">
        <f t="shared" si="35"/>
        <v>36.686135926340782</v>
      </c>
      <c r="U210" s="34">
        <f t="shared" si="36"/>
        <v>16.855772084837298</v>
      </c>
      <c r="V210" s="34">
        <f t="shared" si="37"/>
        <v>46.45809198882192</v>
      </c>
      <c r="X210" s="32">
        <v>2.8956</v>
      </c>
      <c r="Y210" s="32">
        <v>1.3304</v>
      </c>
      <c r="Z210" s="32">
        <v>3.39E-2</v>
      </c>
      <c r="AA210" s="32">
        <v>7.7693000000000003</v>
      </c>
      <c r="AC210" s="32">
        <v>3.3999999999999998E-3</v>
      </c>
      <c r="AD210" s="32">
        <v>4.58E-2</v>
      </c>
      <c r="AE210" s="32">
        <v>8.6599999999999996E-2</v>
      </c>
      <c r="AF210" s="32">
        <v>4.3900000000000002E-2</v>
      </c>
      <c r="AG210" s="32">
        <v>0.21460000000000001</v>
      </c>
      <c r="AH210" s="32">
        <v>3.6667000000000001</v>
      </c>
      <c r="AI210" s="32">
        <v>16.090199999999999</v>
      </c>
    </row>
    <row r="211" spans="1:35" s="32" customFormat="1" x14ac:dyDescent="0.25">
      <c r="A211" s="2" t="s">
        <v>420</v>
      </c>
      <c r="B211" s="40">
        <v>374.44477999999998</v>
      </c>
      <c r="C211" s="32">
        <v>24.773</v>
      </c>
      <c r="D211" s="32">
        <v>5.0250000000000004</v>
      </c>
      <c r="E211" s="32">
        <v>0.23599999999999999</v>
      </c>
      <c r="F211" s="32">
        <v>51.128999999999998</v>
      </c>
      <c r="H211" s="32">
        <v>7.0000000000000001E-3</v>
      </c>
      <c r="I211" s="32">
        <v>0.28299999999999997</v>
      </c>
      <c r="J211" s="32">
        <v>0.73599999999999999</v>
      </c>
      <c r="K211" s="32">
        <v>6.5000000000000002E-2</v>
      </c>
      <c r="L211" s="32">
        <v>0.98799999999999999</v>
      </c>
      <c r="M211" s="32">
        <v>17.526</v>
      </c>
      <c r="N211" s="32">
        <v>100.768</v>
      </c>
      <c r="P211" s="34">
        <f t="shared" si="31"/>
        <v>0.344811747512005</v>
      </c>
      <c r="Q211" s="34">
        <f t="shared" si="32"/>
        <v>0.43483438779307776</v>
      </c>
      <c r="R211" s="34">
        <f t="shared" si="33"/>
        <v>8.9607332643817539E-2</v>
      </c>
      <c r="S211" s="34">
        <f t="shared" si="34"/>
        <v>55.773301258387306</v>
      </c>
      <c r="T211" s="34">
        <f t="shared" si="35"/>
        <v>39.667572258943807</v>
      </c>
      <c r="U211" s="34">
        <f t="shared" si="36"/>
        <v>10.308538987512577</v>
      </c>
      <c r="V211" s="34">
        <f t="shared" si="37"/>
        <v>50.023888753543609</v>
      </c>
      <c r="X211" s="32">
        <v>3.1547999999999998</v>
      </c>
      <c r="Y211" s="32">
        <v>0.81979999999999997</v>
      </c>
      <c r="Z211" s="32">
        <v>2.7099999999999999E-2</v>
      </c>
      <c r="AA211" s="32">
        <v>7.7854000000000001</v>
      </c>
      <c r="AC211" s="32">
        <v>1.4E-3</v>
      </c>
      <c r="AD211" s="32">
        <v>3.4099999999999998E-2</v>
      </c>
      <c r="AE211" s="32">
        <v>9.4899999999999998E-2</v>
      </c>
      <c r="AF211" s="32">
        <v>1.9199999999999998E-2</v>
      </c>
      <c r="AG211" s="32">
        <v>0.17730000000000001</v>
      </c>
      <c r="AH211" s="32">
        <v>3.9782000000000002</v>
      </c>
      <c r="AI211" s="32">
        <v>16.092199999999998</v>
      </c>
    </row>
    <row r="212" spans="1:35" s="32" customFormat="1" x14ac:dyDescent="0.25">
      <c r="A212" s="2" t="s">
        <v>421</v>
      </c>
      <c r="B212" s="40">
        <v>379.83801</v>
      </c>
      <c r="C212" s="32">
        <v>25.119</v>
      </c>
      <c r="D212" s="32">
        <v>5.0609999999999999</v>
      </c>
      <c r="E212" s="32">
        <v>0.219</v>
      </c>
      <c r="F212" s="32">
        <v>51.281999999999996</v>
      </c>
      <c r="H212" s="32">
        <v>0</v>
      </c>
      <c r="I212" s="32">
        <v>0.28199999999999997</v>
      </c>
      <c r="J212" s="32">
        <v>0.69899999999999995</v>
      </c>
      <c r="K212" s="32">
        <v>2.8000000000000001E-2</v>
      </c>
      <c r="L212" s="32">
        <v>0.95399999999999996</v>
      </c>
      <c r="M212" s="32">
        <v>17.119</v>
      </c>
      <c r="N212" s="32">
        <v>100.76300000000001</v>
      </c>
      <c r="P212" s="34">
        <f t="shared" si="31"/>
        <v>0.349627670679936</v>
      </c>
      <c r="Q212" s="34">
        <f t="shared" si="32"/>
        <v>0.42473638506388783</v>
      </c>
      <c r="R212" s="34">
        <f t="shared" si="33"/>
        <v>9.0249295623952341E-2</v>
      </c>
      <c r="S212" s="34">
        <f t="shared" si="34"/>
        <v>54.849703045152665</v>
      </c>
      <c r="T212" s="34">
        <f t="shared" si="35"/>
        <v>40.437459140185851</v>
      </c>
      <c r="U212" s="34">
        <f t="shared" si="36"/>
        <v>10.4381103392843</v>
      </c>
      <c r="V212" s="34">
        <f t="shared" si="37"/>
        <v>49.124430520529849</v>
      </c>
      <c r="X212" s="32">
        <v>3.2014999999999998</v>
      </c>
      <c r="Y212" s="32">
        <v>0.82640000000000002</v>
      </c>
      <c r="Z212" s="32">
        <v>2.5100000000000001E-2</v>
      </c>
      <c r="AA212" s="32">
        <v>7.8151999999999999</v>
      </c>
      <c r="AC212" s="32">
        <v>0</v>
      </c>
      <c r="AD212" s="32">
        <v>3.39E-2</v>
      </c>
      <c r="AE212" s="32">
        <v>9.0200000000000002E-2</v>
      </c>
      <c r="AF212" s="32">
        <v>8.0999999999999996E-3</v>
      </c>
      <c r="AG212" s="32">
        <v>0.1714</v>
      </c>
      <c r="AH212" s="32">
        <v>3.8891</v>
      </c>
      <c r="AI212" s="32">
        <v>16.0609</v>
      </c>
    </row>
    <row r="213" spans="1:35" s="32" customFormat="1" x14ac:dyDescent="0.25">
      <c r="A213" s="2" t="s">
        <v>422</v>
      </c>
      <c r="B213" s="40">
        <v>410.50241999999997</v>
      </c>
      <c r="C213" s="32">
        <v>25.280999999999999</v>
      </c>
      <c r="D213" s="32">
        <v>5.6479999999999997</v>
      </c>
      <c r="E213" s="32">
        <v>0.22700000000000001</v>
      </c>
      <c r="F213" s="32">
        <v>51.277000000000001</v>
      </c>
      <c r="H213" s="32">
        <v>1.2999999999999999E-2</v>
      </c>
      <c r="I213" s="32">
        <v>0.27200000000000002</v>
      </c>
      <c r="J213" s="32">
        <v>0.69899999999999995</v>
      </c>
      <c r="K213" s="32">
        <v>5.8000000000000003E-2</v>
      </c>
      <c r="L213" s="32">
        <v>0.99099999999999999</v>
      </c>
      <c r="M213" s="32">
        <v>16.797000000000001</v>
      </c>
      <c r="N213" s="32">
        <v>101.26300000000001</v>
      </c>
      <c r="P213" s="34">
        <f t="shared" si="31"/>
        <v>0.35188252487994987</v>
      </c>
      <c r="Q213" s="34">
        <f t="shared" si="32"/>
        <v>0.4167473018235951</v>
      </c>
      <c r="R213" s="34">
        <f t="shared" si="33"/>
        <v>0.10071685866115053</v>
      </c>
      <c r="S213" s="34">
        <f t="shared" si="34"/>
        <v>54.219506886808801</v>
      </c>
      <c r="T213" s="34">
        <f t="shared" si="35"/>
        <v>40.476662625375205</v>
      </c>
      <c r="U213" s="34">
        <f t="shared" si="36"/>
        <v>11.585350281619728</v>
      </c>
      <c r="V213" s="34">
        <f t="shared" si="37"/>
        <v>47.93798709300507</v>
      </c>
      <c r="X213" s="32">
        <v>3.2143999999999999</v>
      </c>
      <c r="Y213" s="32">
        <v>0.92010000000000003</v>
      </c>
      <c r="Z213" s="32">
        <v>2.5999999999999999E-2</v>
      </c>
      <c r="AA213" s="32">
        <v>7.7957999999999998</v>
      </c>
      <c r="AC213" s="32">
        <v>2.5000000000000001E-3</v>
      </c>
      <c r="AD213" s="32">
        <v>3.27E-2</v>
      </c>
      <c r="AE213" s="32">
        <v>0.09</v>
      </c>
      <c r="AF213" s="32">
        <v>1.7100000000000001E-2</v>
      </c>
      <c r="AG213" s="32">
        <v>0.17760000000000001</v>
      </c>
      <c r="AH213" s="32">
        <v>3.8069000000000002</v>
      </c>
      <c r="AI213" s="32">
        <v>16.083100000000002</v>
      </c>
    </row>
    <row r="214" spans="1:35" s="32" customFormat="1" x14ac:dyDescent="0.25">
      <c r="A214" s="2" t="s">
        <v>423</v>
      </c>
      <c r="B214" s="40">
        <v>426.83623</v>
      </c>
      <c r="C214" s="32">
        <v>22.617000000000001</v>
      </c>
      <c r="D214" s="32">
        <v>8.8249999999999993</v>
      </c>
      <c r="E214" s="32">
        <v>0.34</v>
      </c>
      <c r="F214" s="32">
        <v>50.893000000000001</v>
      </c>
      <c r="H214" s="32">
        <v>5.0000000000000001E-3</v>
      </c>
      <c r="I214" s="32">
        <v>0.41199999999999998</v>
      </c>
      <c r="J214" s="32">
        <v>0.65900000000000003</v>
      </c>
      <c r="K214" s="32">
        <v>0.11700000000000001</v>
      </c>
      <c r="L214" s="32">
        <v>1.254</v>
      </c>
      <c r="M214" s="32">
        <v>15.374000000000001</v>
      </c>
      <c r="N214" s="32">
        <v>100.496</v>
      </c>
      <c r="P214" s="34">
        <f t="shared" si="31"/>
        <v>0.31480270025749879</v>
      </c>
      <c r="Q214" s="34">
        <f t="shared" si="32"/>
        <v>0.38144150849770503</v>
      </c>
      <c r="R214" s="34">
        <f t="shared" si="33"/>
        <v>0.15737009165804769</v>
      </c>
      <c r="S214" s="34">
        <f t="shared" si="34"/>
        <v>54.785591564154466</v>
      </c>
      <c r="T214" s="34">
        <f t="shared" si="35"/>
        <v>36.878798785950117</v>
      </c>
      <c r="U214" s="34">
        <f t="shared" si="36"/>
        <v>18.435737496649452</v>
      </c>
      <c r="V214" s="34">
        <f t="shared" si="37"/>
        <v>44.685463717400424</v>
      </c>
      <c r="X214" s="32">
        <v>2.8921000000000001</v>
      </c>
      <c r="Y214" s="32">
        <v>1.4458</v>
      </c>
      <c r="Z214" s="32">
        <v>3.9100000000000003E-2</v>
      </c>
      <c r="AA214" s="32">
        <v>7.7813999999999997</v>
      </c>
      <c r="AC214" s="32">
        <v>1.1000000000000001E-3</v>
      </c>
      <c r="AD214" s="32">
        <v>4.9799999999999997E-2</v>
      </c>
      <c r="AE214" s="32">
        <v>8.5400000000000004E-2</v>
      </c>
      <c r="AF214" s="32">
        <v>3.4599999999999999E-2</v>
      </c>
      <c r="AG214" s="32">
        <v>0.22600000000000001</v>
      </c>
      <c r="AH214" s="32">
        <v>3.5041000000000002</v>
      </c>
      <c r="AI214" s="32">
        <v>16.0594</v>
      </c>
    </row>
    <row r="215" spans="1:35" s="32" customFormat="1" x14ac:dyDescent="0.25">
      <c r="A215" s="2" t="s">
        <v>424</v>
      </c>
      <c r="B215" s="40">
        <v>446.86824999999999</v>
      </c>
      <c r="C215" s="32">
        <v>26.04</v>
      </c>
      <c r="D215" s="32">
        <v>6.4939999999999998</v>
      </c>
      <c r="E215" s="32">
        <v>0.35099999999999998</v>
      </c>
      <c r="F215" s="32">
        <v>50.494999999999997</v>
      </c>
      <c r="H215" s="32">
        <v>7.0000000000000001E-3</v>
      </c>
      <c r="I215" s="32">
        <v>0.36799999999999999</v>
      </c>
      <c r="J215" s="32">
        <v>0.73499999999999999</v>
      </c>
      <c r="K215" s="32">
        <v>0.06</v>
      </c>
      <c r="L215" s="32">
        <v>1.258</v>
      </c>
      <c r="M215" s="32">
        <v>15.583</v>
      </c>
      <c r="N215" s="32">
        <v>101.39100000000001</v>
      </c>
      <c r="P215" s="34">
        <f t="shared" si="31"/>
        <v>0.36244693437260767</v>
      </c>
      <c r="Q215" s="34">
        <f t="shared" si="32"/>
        <v>0.38662696935864038</v>
      </c>
      <c r="R215" s="34">
        <f t="shared" si="33"/>
        <v>0.11580298869431861</v>
      </c>
      <c r="S215" s="34">
        <f t="shared" si="34"/>
        <v>51.6139952857514</v>
      </c>
      <c r="T215" s="34">
        <f t="shared" si="35"/>
        <v>41.907343986971036</v>
      </c>
      <c r="U215" s="34">
        <f t="shared" si="36"/>
        <v>13.389534361306213</v>
      </c>
      <c r="V215" s="34">
        <f t="shared" si="37"/>
        <v>44.703121651722753</v>
      </c>
      <c r="X215" s="32">
        <v>3.3327</v>
      </c>
      <c r="Y215" s="32">
        <v>1.0649</v>
      </c>
      <c r="Z215" s="32">
        <v>4.0300000000000002E-2</v>
      </c>
      <c r="AA215" s="32">
        <v>7.7274000000000003</v>
      </c>
      <c r="AC215" s="32">
        <v>1.2999999999999999E-3</v>
      </c>
      <c r="AD215" s="32">
        <v>4.4499999999999998E-2</v>
      </c>
      <c r="AE215" s="32">
        <v>9.5200000000000007E-2</v>
      </c>
      <c r="AF215" s="32">
        <v>1.78E-2</v>
      </c>
      <c r="AG215" s="32">
        <v>0.22700000000000001</v>
      </c>
      <c r="AH215" s="32">
        <v>3.5548999999999999</v>
      </c>
      <c r="AI215" s="32">
        <v>16.106000000000002</v>
      </c>
    </row>
    <row r="216" spans="1:35" s="32" customFormat="1" x14ac:dyDescent="0.25">
      <c r="A216" s="2" t="s">
        <v>425</v>
      </c>
      <c r="B216" s="40">
        <v>466.90028000000001</v>
      </c>
      <c r="C216" s="32">
        <v>26.885000000000002</v>
      </c>
      <c r="D216" s="32">
        <v>7.2859999999999996</v>
      </c>
      <c r="E216" s="32">
        <v>0.91600000000000004</v>
      </c>
      <c r="F216" s="32">
        <v>49.237000000000002</v>
      </c>
      <c r="H216" s="32">
        <v>5.0000000000000001E-3</v>
      </c>
      <c r="I216" s="32">
        <v>0.221</v>
      </c>
      <c r="J216" s="32">
        <v>0.753</v>
      </c>
      <c r="K216" s="32">
        <v>0.11799999999999999</v>
      </c>
      <c r="L216" s="32">
        <v>2.8159999999999998</v>
      </c>
      <c r="M216" s="32">
        <v>13.473000000000001</v>
      </c>
      <c r="N216" s="32">
        <v>101.71</v>
      </c>
      <c r="P216" s="34">
        <f t="shared" si="31"/>
        <v>0.374208365230705</v>
      </c>
      <c r="Q216" s="34">
        <f t="shared" si="32"/>
        <v>0.33427614439895798</v>
      </c>
      <c r="R216" s="34">
        <f t="shared" si="33"/>
        <v>0.12992617425728448</v>
      </c>
      <c r="S216" s="34">
        <f t="shared" si="34"/>
        <v>47.18185646340946</v>
      </c>
      <c r="T216" s="34">
        <f t="shared" si="35"/>
        <v>44.633062581674331</v>
      </c>
      <c r="U216" s="34">
        <f t="shared" si="36"/>
        <v>15.496722161856887</v>
      </c>
      <c r="V216" s="34">
        <f t="shared" si="37"/>
        <v>39.870215256468775</v>
      </c>
      <c r="X216" s="32">
        <v>3.4542999999999999</v>
      </c>
      <c r="Y216" s="32">
        <v>1.1994</v>
      </c>
      <c r="Z216" s="32">
        <v>0.10580000000000001</v>
      </c>
      <c r="AA216" s="32">
        <v>7.5640000000000001</v>
      </c>
      <c r="AC216" s="32">
        <v>8.9999999999999998E-4</v>
      </c>
      <c r="AD216" s="32">
        <v>2.6800000000000001E-2</v>
      </c>
      <c r="AE216" s="32">
        <v>9.8000000000000004E-2</v>
      </c>
      <c r="AF216" s="32">
        <v>3.5200000000000002E-2</v>
      </c>
      <c r="AG216" s="32">
        <v>0.51</v>
      </c>
      <c r="AH216" s="32">
        <v>3.0853999999999999</v>
      </c>
      <c r="AI216" s="32">
        <v>16.079799999999999</v>
      </c>
    </row>
    <row r="217" spans="1:35" s="32" customFormat="1" x14ac:dyDescent="0.25">
      <c r="A217" s="2" t="s">
        <v>426</v>
      </c>
      <c r="B217" s="40">
        <v>471.52305000000001</v>
      </c>
      <c r="C217" s="32">
        <v>22.428999999999998</v>
      </c>
      <c r="D217" s="32">
        <v>12.157</v>
      </c>
      <c r="E217" s="32">
        <v>1.3009999999999999</v>
      </c>
      <c r="F217" s="32">
        <v>48.868000000000002</v>
      </c>
      <c r="H217" s="32">
        <v>1.4E-2</v>
      </c>
      <c r="I217" s="32">
        <v>0.32800000000000001</v>
      </c>
      <c r="J217" s="32">
        <v>0.65200000000000002</v>
      </c>
      <c r="K217" s="32">
        <v>0.21199999999999999</v>
      </c>
      <c r="L217" s="32">
        <v>3.0209999999999999</v>
      </c>
      <c r="M217" s="32">
        <v>12.273999999999999</v>
      </c>
      <c r="N217" s="32">
        <v>101.256</v>
      </c>
      <c r="P217" s="34">
        <f t="shared" si="31"/>
        <v>0.31218595587723569</v>
      </c>
      <c r="Q217" s="34">
        <f t="shared" si="32"/>
        <v>0.30452797419674976</v>
      </c>
      <c r="R217" s="34">
        <f t="shared" si="33"/>
        <v>0.21678733193052532</v>
      </c>
      <c r="S217" s="34">
        <f t="shared" si="34"/>
        <v>49.379130152000364</v>
      </c>
      <c r="T217" s="34">
        <f t="shared" si="35"/>
        <v>37.454767030160319</v>
      </c>
      <c r="U217" s="34">
        <f t="shared" si="36"/>
        <v>26.009238595412242</v>
      </c>
      <c r="V217" s="34">
        <f t="shared" si="37"/>
        <v>36.535994374427439</v>
      </c>
      <c r="X217" s="32">
        <v>2.8807999999999998</v>
      </c>
      <c r="Y217" s="32">
        <v>2.0005999999999999</v>
      </c>
      <c r="Z217" s="32">
        <v>0.15029999999999999</v>
      </c>
      <c r="AA217" s="32">
        <v>7.5050999999999997</v>
      </c>
      <c r="AC217" s="32">
        <v>2.7000000000000001E-3</v>
      </c>
      <c r="AD217" s="32">
        <v>3.9899999999999998E-2</v>
      </c>
      <c r="AE217" s="32">
        <v>8.48E-2</v>
      </c>
      <c r="AF217" s="32">
        <v>6.3200000000000006E-2</v>
      </c>
      <c r="AG217" s="32">
        <v>0.54690000000000005</v>
      </c>
      <c r="AH217" s="32">
        <v>2.8098999999999998</v>
      </c>
      <c r="AI217" s="32">
        <v>16.084199999999999</v>
      </c>
    </row>
    <row r="218" spans="1:35" s="32" customFormat="1" x14ac:dyDescent="0.25">
      <c r="A218" s="2" t="s">
        <v>427</v>
      </c>
      <c r="B218" s="40">
        <v>476.14582999999999</v>
      </c>
      <c r="C218" s="32">
        <v>20.538</v>
      </c>
      <c r="D218" s="32">
        <v>13.991</v>
      </c>
      <c r="E218" s="32">
        <v>1.702</v>
      </c>
      <c r="F218" s="32">
        <v>48.816000000000003</v>
      </c>
      <c r="H218" s="32">
        <v>2.3E-2</v>
      </c>
      <c r="I218" s="32">
        <v>0.27600000000000002</v>
      </c>
      <c r="J218" s="32">
        <v>0.57799999999999996</v>
      </c>
      <c r="K218" s="32">
        <v>0.20200000000000001</v>
      </c>
      <c r="L218" s="32">
        <v>3.96</v>
      </c>
      <c r="M218" s="32">
        <v>10.821999999999999</v>
      </c>
      <c r="N218" s="32">
        <v>100.908</v>
      </c>
      <c r="P218" s="34">
        <f t="shared" si="31"/>
        <v>0.28586540469065352</v>
      </c>
      <c r="Q218" s="34">
        <f t="shared" si="32"/>
        <v>0.26850266716288301</v>
      </c>
      <c r="R218" s="34">
        <f t="shared" si="33"/>
        <v>0.24949177930739325</v>
      </c>
      <c r="S218" s="34">
        <f t="shared" si="34"/>
        <v>48.434006357029368</v>
      </c>
      <c r="T218" s="34">
        <f t="shared" si="35"/>
        <v>35.561597494614055</v>
      </c>
      <c r="U218" s="34">
        <f t="shared" si="36"/>
        <v>31.036725984893838</v>
      </c>
      <c r="V218" s="34">
        <f t="shared" si="37"/>
        <v>33.401676520492096</v>
      </c>
      <c r="X218" s="32">
        <v>2.6337000000000002</v>
      </c>
      <c r="Y218" s="32">
        <v>2.2987000000000002</v>
      </c>
      <c r="Z218" s="32">
        <v>0.1963</v>
      </c>
      <c r="AA218" s="32">
        <v>7.4851000000000001</v>
      </c>
      <c r="AC218" s="32">
        <v>4.5999999999999999E-3</v>
      </c>
      <c r="AD218" s="32">
        <v>3.3500000000000002E-2</v>
      </c>
      <c r="AE218" s="32">
        <v>7.51E-2</v>
      </c>
      <c r="AF218" s="32">
        <v>6.0100000000000001E-2</v>
      </c>
      <c r="AG218" s="32">
        <v>0.7157</v>
      </c>
      <c r="AH218" s="32">
        <v>2.4735999999999998</v>
      </c>
      <c r="AI218" s="32">
        <v>15.9764</v>
      </c>
    </row>
    <row r="219" spans="1:35" s="32" customFormat="1" x14ac:dyDescent="0.25">
      <c r="A219" s="2" t="s">
        <v>428</v>
      </c>
      <c r="B219" s="40">
        <v>480.76859999999999</v>
      </c>
      <c r="C219" s="32">
        <v>21.372</v>
      </c>
      <c r="D219" s="32">
        <v>13.625999999999999</v>
      </c>
      <c r="E219" s="32">
        <v>1.3160000000000001</v>
      </c>
      <c r="F219" s="32">
        <v>48.826999999999998</v>
      </c>
      <c r="H219" s="32">
        <v>0</v>
      </c>
      <c r="I219" s="32">
        <v>0.34599999999999997</v>
      </c>
      <c r="J219" s="32">
        <v>0.61699999999999999</v>
      </c>
      <c r="K219" s="32">
        <v>0.23899999999999999</v>
      </c>
      <c r="L219" s="32">
        <v>3.2509999999999999</v>
      </c>
      <c r="M219" s="32">
        <v>12.07</v>
      </c>
      <c r="N219" s="32">
        <v>101.664</v>
      </c>
      <c r="P219" s="34">
        <f t="shared" si="31"/>
        <v>0.29747372816479922</v>
      </c>
      <c r="Q219" s="34">
        <f t="shared" si="32"/>
        <v>0.29946656742339661</v>
      </c>
      <c r="R219" s="34">
        <f t="shared" si="33"/>
        <v>0.24298298798102641</v>
      </c>
      <c r="S219" s="34">
        <f t="shared" si="34"/>
        <v>50.166921153867975</v>
      </c>
      <c r="T219" s="34">
        <f t="shared" si="35"/>
        <v>35.416773648742762</v>
      </c>
      <c r="U219" s="34">
        <f t="shared" si="36"/>
        <v>28.929188264489991</v>
      </c>
      <c r="V219" s="34">
        <f t="shared" si="37"/>
        <v>35.654038086767251</v>
      </c>
      <c r="X219" s="32">
        <v>2.7321</v>
      </c>
      <c r="Y219" s="32">
        <v>2.2317</v>
      </c>
      <c r="Z219" s="32">
        <v>0.15129999999999999</v>
      </c>
      <c r="AA219" s="32">
        <v>7.4633000000000003</v>
      </c>
      <c r="AC219" s="32">
        <v>0</v>
      </c>
      <c r="AD219" s="32">
        <v>4.19E-2</v>
      </c>
      <c r="AE219" s="32">
        <v>7.9899999999999999E-2</v>
      </c>
      <c r="AF219" s="32">
        <v>7.0800000000000002E-2</v>
      </c>
      <c r="AG219" s="32">
        <v>0.58579999999999999</v>
      </c>
      <c r="AH219" s="32">
        <v>2.7503000000000002</v>
      </c>
      <c r="AI219" s="32">
        <v>16.107099999999999</v>
      </c>
    </row>
    <row r="220" spans="1:35" s="32" customFormat="1" x14ac:dyDescent="0.25">
      <c r="A220" s="2" t="s">
        <v>429</v>
      </c>
      <c r="B220" s="40">
        <v>485.39138000000003</v>
      </c>
      <c r="C220" s="32">
        <v>19.821999999999999</v>
      </c>
      <c r="D220" s="32">
        <v>14.430999999999999</v>
      </c>
      <c r="E220" s="32">
        <v>0.75600000000000001</v>
      </c>
      <c r="F220" s="32">
        <v>49.92</v>
      </c>
      <c r="H220" s="32">
        <v>6.0000000000000001E-3</v>
      </c>
      <c r="I220" s="32">
        <v>0.53</v>
      </c>
      <c r="J220" s="32">
        <v>0.59</v>
      </c>
      <c r="K220" s="32">
        <v>0.19400000000000001</v>
      </c>
      <c r="L220" s="32">
        <v>2.0499999999999998</v>
      </c>
      <c r="M220" s="32">
        <v>12.631</v>
      </c>
      <c r="N220" s="32">
        <v>100.93</v>
      </c>
      <c r="P220" s="34">
        <f t="shared" si="31"/>
        <v>0.27589950588071543</v>
      </c>
      <c r="Q220" s="34">
        <f t="shared" si="32"/>
        <v>0.31338543605011787</v>
      </c>
      <c r="R220" s="34">
        <f t="shared" si="33"/>
        <v>0.25733799350904096</v>
      </c>
      <c r="S220" s="34">
        <f t="shared" si="34"/>
        <v>53.180628546741517</v>
      </c>
      <c r="T220" s="34">
        <f t="shared" si="35"/>
        <v>32.588239029618087</v>
      </c>
      <c r="U220" s="34">
        <f t="shared" si="36"/>
        <v>30.395821178094778</v>
      </c>
      <c r="V220" s="34">
        <f t="shared" si="37"/>
        <v>37.015939792287142</v>
      </c>
      <c r="X220" s="32">
        <v>2.5375000000000001</v>
      </c>
      <c r="Y220" s="32">
        <v>2.367</v>
      </c>
      <c r="Z220" s="32">
        <v>8.6999999999999994E-2</v>
      </c>
      <c r="AA220" s="32">
        <v>7.6412000000000004</v>
      </c>
      <c r="AC220" s="32">
        <v>1.1000000000000001E-3</v>
      </c>
      <c r="AD220" s="32">
        <v>6.4199999999999993E-2</v>
      </c>
      <c r="AE220" s="32">
        <v>7.6499999999999999E-2</v>
      </c>
      <c r="AF220" s="32">
        <v>5.7500000000000002E-2</v>
      </c>
      <c r="AG220" s="32">
        <v>0.36990000000000001</v>
      </c>
      <c r="AH220" s="32">
        <v>2.8822000000000001</v>
      </c>
      <c r="AI220" s="32">
        <v>16.084099999999999</v>
      </c>
    </row>
    <row r="221" spans="1:35" s="32" customFormat="1" x14ac:dyDescent="0.25">
      <c r="A221" s="2" t="s">
        <v>430</v>
      </c>
      <c r="B221" s="40">
        <v>491.55507999999998</v>
      </c>
      <c r="C221" s="32">
        <v>14.51</v>
      </c>
      <c r="D221" s="32">
        <v>15.382999999999999</v>
      </c>
      <c r="E221" s="32">
        <v>0.49299999999999999</v>
      </c>
      <c r="F221" s="32">
        <v>51.261000000000003</v>
      </c>
      <c r="H221" s="32">
        <v>3.0000000000000001E-3</v>
      </c>
      <c r="I221" s="32">
        <v>0.90200000000000002</v>
      </c>
      <c r="J221" s="32">
        <v>0.497</v>
      </c>
      <c r="K221" s="32">
        <v>0.19700000000000001</v>
      </c>
      <c r="L221" s="32">
        <v>2.0070000000000001</v>
      </c>
      <c r="M221" s="32">
        <v>15.377000000000001</v>
      </c>
      <c r="N221" s="32">
        <v>100.63</v>
      </c>
      <c r="P221" s="34">
        <f t="shared" si="31"/>
        <v>0.2019625582851973</v>
      </c>
      <c r="Q221" s="34">
        <f t="shared" si="32"/>
        <v>0.38151594095025432</v>
      </c>
      <c r="R221" s="34">
        <f t="shared" si="33"/>
        <v>0.274314347872606</v>
      </c>
      <c r="S221" s="34">
        <f t="shared" si="34"/>
        <v>65.386460932179247</v>
      </c>
      <c r="T221" s="34">
        <f t="shared" si="35"/>
        <v>23.54444420539167</v>
      </c>
      <c r="U221" s="34">
        <f t="shared" si="36"/>
        <v>31.979090149495054</v>
      </c>
      <c r="V221" s="34">
        <f t="shared" si="37"/>
        <v>44.476465645113279</v>
      </c>
      <c r="X221" s="32">
        <v>1.8198000000000001</v>
      </c>
      <c r="Y221" s="32">
        <v>2.4719000000000002</v>
      </c>
      <c r="Z221" s="32">
        <v>5.5599999999999997E-2</v>
      </c>
      <c r="AA221" s="32">
        <v>7.6874000000000002</v>
      </c>
      <c r="AC221" s="32">
        <v>5.9999999999999995E-4</v>
      </c>
      <c r="AD221" s="32">
        <v>0.107</v>
      </c>
      <c r="AE221" s="32">
        <v>6.3200000000000006E-2</v>
      </c>
      <c r="AF221" s="32">
        <v>5.7200000000000001E-2</v>
      </c>
      <c r="AG221" s="32">
        <v>0.3548</v>
      </c>
      <c r="AH221" s="32">
        <v>3.4376000000000002</v>
      </c>
      <c r="AI221" s="32">
        <v>16.055099999999999</v>
      </c>
    </row>
    <row r="222" spans="1:35" s="32" customFormat="1" x14ac:dyDescent="0.25">
      <c r="A222" s="2" t="s">
        <v>431</v>
      </c>
      <c r="B222" s="40">
        <v>495.40739000000002</v>
      </c>
      <c r="C222" s="32">
        <v>14.047000000000001</v>
      </c>
      <c r="D222" s="32">
        <v>16.143000000000001</v>
      </c>
      <c r="E222" s="32">
        <v>0.47399999999999998</v>
      </c>
      <c r="F222" s="32">
        <v>51.209000000000003</v>
      </c>
      <c r="H222" s="32">
        <v>5.0000000000000001E-3</v>
      </c>
      <c r="I222" s="32">
        <v>0.95099999999999996</v>
      </c>
      <c r="J222" s="32">
        <v>0.48199999999999998</v>
      </c>
      <c r="K222" s="32">
        <v>0.20300000000000001</v>
      </c>
      <c r="L222" s="32">
        <v>1.986</v>
      </c>
      <c r="M222" s="32">
        <v>14.914</v>
      </c>
      <c r="N222" s="32">
        <v>100.414</v>
      </c>
      <c r="P222" s="34">
        <f t="shared" si="31"/>
        <v>0.19551812930614518</v>
      </c>
      <c r="Q222" s="34">
        <f t="shared" si="32"/>
        <v>0.37002853244014389</v>
      </c>
      <c r="R222" s="34">
        <f t="shared" si="33"/>
        <v>0.28786689967545204</v>
      </c>
      <c r="S222" s="34">
        <f t="shared" si="34"/>
        <v>65.428470799840582</v>
      </c>
      <c r="T222" s="34">
        <f t="shared" si="35"/>
        <v>22.910126830000511</v>
      </c>
      <c r="U222" s="34">
        <f t="shared" si="36"/>
        <v>33.731230986754099</v>
      </c>
      <c r="V222" s="34">
        <f t="shared" si="37"/>
        <v>43.358642183245394</v>
      </c>
      <c r="X222" s="32">
        <v>1.766</v>
      </c>
      <c r="Y222" s="32">
        <v>2.6000999999999999</v>
      </c>
      <c r="Z222" s="32">
        <v>5.3600000000000002E-2</v>
      </c>
      <c r="AA222" s="32">
        <v>7.6978999999999997</v>
      </c>
      <c r="AC222" s="32">
        <v>8.9999999999999998E-4</v>
      </c>
      <c r="AD222" s="32">
        <v>0.11310000000000001</v>
      </c>
      <c r="AE222" s="32">
        <v>6.1400000000000003E-2</v>
      </c>
      <c r="AF222" s="32">
        <v>5.9200000000000003E-2</v>
      </c>
      <c r="AG222" s="32">
        <v>0.35189999999999999</v>
      </c>
      <c r="AH222" s="32">
        <v>3.3420000000000001</v>
      </c>
      <c r="AI222" s="32">
        <v>16.046099999999999</v>
      </c>
    </row>
    <row r="223" spans="1:35" s="32" customFormat="1" x14ac:dyDescent="0.25">
      <c r="A223" s="2" t="s">
        <v>432</v>
      </c>
      <c r="B223" s="40">
        <v>499.25970000000001</v>
      </c>
      <c r="C223" s="32">
        <v>13.807</v>
      </c>
      <c r="D223" s="32">
        <v>16.506</v>
      </c>
      <c r="E223" s="32">
        <v>0.48899999999999999</v>
      </c>
      <c r="F223" s="32">
        <v>51.16</v>
      </c>
      <c r="H223" s="32">
        <v>0</v>
      </c>
      <c r="I223" s="32">
        <v>0.96899999999999997</v>
      </c>
      <c r="J223" s="32">
        <v>0.499</v>
      </c>
      <c r="K223" s="32">
        <v>0.20300000000000001</v>
      </c>
      <c r="L223" s="32">
        <v>1.9430000000000001</v>
      </c>
      <c r="M223" s="32">
        <v>14.989000000000001</v>
      </c>
      <c r="N223" s="32">
        <v>100.565</v>
      </c>
      <c r="P223" s="34">
        <f t="shared" si="31"/>
        <v>0.19217760456538382</v>
      </c>
      <c r="Q223" s="34">
        <f t="shared" si="32"/>
        <v>0.37188934375387672</v>
      </c>
      <c r="R223" s="34">
        <f t="shared" si="33"/>
        <v>0.29434002639181139</v>
      </c>
      <c r="S223" s="34">
        <f t="shared" si="34"/>
        <v>65.930000838019012</v>
      </c>
      <c r="T223" s="34">
        <f t="shared" si="35"/>
        <v>22.387703062416072</v>
      </c>
      <c r="U223" s="34">
        <f t="shared" si="36"/>
        <v>34.289100049645128</v>
      </c>
      <c r="V223" s="34">
        <f t="shared" si="37"/>
        <v>43.323196887938806</v>
      </c>
      <c r="X223" s="32">
        <v>1.7338</v>
      </c>
      <c r="Y223" s="32">
        <v>2.6556000000000002</v>
      </c>
      <c r="Z223" s="32">
        <v>5.5199999999999999E-2</v>
      </c>
      <c r="AA223" s="32">
        <v>7.6818999999999997</v>
      </c>
      <c r="AC223" s="32">
        <v>0</v>
      </c>
      <c r="AD223" s="32">
        <v>0.115</v>
      </c>
      <c r="AE223" s="32">
        <v>6.3399999999999998E-2</v>
      </c>
      <c r="AF223" s="32">
        <v>5.91E-2</v>
      </c>
      <c r="AG223" s="32">
        <v>0.34379999999999999</v>
      </c>
      <c r="AH223" s="32">
        <v>3.3551000000000002</v>
      </c>
      <c r="AI223" s="32">
        <v>16.062899999999999</v>
      </c>
    </row>
    <row r="224" spans="1:35" s="32" customFormat="1" x14ac:dyDescent="0.25">
      <c r="A224" s="2" t="s">
        <v>433</v>
      </c>
      <c r="B224" s="40">
        <v>503.11201</v>
      </c>
      <c r="C224" s="32">
        <v>13.677</v>
      </c>
      <c r="D224" s="32">
        <v>16.437999999999999</v>
      </c>
      <c r="E224" s="32">
        <v>0.48</v>
      </c>
      <c r="F224" s="32">
        <v>51.143999999999998</v>
      </c>
      <c r="H224" s="32">
        <v>2E-3</v>
      </c>
      <c r="I224" s="32">
        <v>0.94399999999999995</v>
      </c>
      <c r="J224" s="32">
        <v>0.502</v>
      </c>
      <c r="K224" s="32">
        <v>0.19900000000000001</v>
      </c>
      <c r="L224" s="32">
        <v>1.907</v>
      </c>
      <c r="M224" s="32">
        <v>14.984999999999999</v>
      </c>
      <c r="N224" s="32">
        <v>100.27800000000001</v>
      </c>
      <c r="P224" s="34">
        <f t="shared" si="31"/>
        <v>0.19036815366413806</v>
      </c>
      <c r="Q224" s="34">
        <f t="shared" si="32"/>
        <v>0.37179010048381095</v>
      </c>
      <c r="R224" s="34">
        <f t="shared" si="33"/>
        <v>0.29312742965155675</v>
      </c>
      <c r="S224" s="34">
        <f t="shared" si="34"/>
        <v>66.136198791090422</v>
      </c>
      <c r="T224" s="34">
        <f t="shared" si="35"/>
        <v>22.257844047903387</v>
      </c>
      <c r="U224" s="34">
        <f t="shared" si="36"/>
        <v>34.272458338057611</v>
      </c>
      <c r="V224" s="34">
        <f t="shared" si="37"/>
        <v>43.469697614039006</v>
      </c>
      <c r="X224" s="32">
        <v>1.7210000000000001</v>
      </c>
      <c r="Y224" s="32">
        <v>2.6501000000000001</v>
      </c>
      <c r="Z224" s="32">
        <v>5.4300000000000001E-2</v>
      </c>
      <c r="AA224" s="32">
        <v>7.6951999999999998</v>
      </c>
      <c r="AC224" s="32">
        <v>4.0000000000000002E-4</v>
      </c>
      <c r="AD224" s="32">
        <v>0.1123</v>
      </c>
      <c r="AE224" s="32">
        <v>6.4000000000000001E-2</v>
      </c>
      <c r="AF224" s="32">
        <v>5.8000000000000003E-2</v>
      </c>
      <c r="AG224" s="32">
        <v>0.3382</v>
      </c>
      <c r="AH224" s="32">
        <v>3.3611</v>
      </c>
      <c r="AI224" s="32">
        <v>16.054600000000001</v>
      </c>
    </row>
    <row r="225" spans="1:35" s="32" customFormat="1" x14ac:dyDescent="0.25">
      <c r="A225" s="2" t="s">
        <v>434</v>
      </c>
      <c r="B225" s="40">
        <v>506.96433000000002</v>
      </c>
      <c r="C225" s="32">
        <v>13.728999999999999</v>
      </c>
      <c r="D225" s="32">
        <v>16.091000000000001</v>
      </c>
      <c r="E225" s="32">
        <v>0.42299999999999999</v>
      </c>
      <c r="F225" s="32">
        <v>51.011000000000003</v>
      </c>
      <c r="H225" s="32">
        <v>4.0000000000000001E-3</v>
      </c>
      <c r="I225" s="32">
        <v>0.90800000000000003</v>
      </c>
      <c r="J225" s="32">
        <v>0.47699999999999998</v>
      </c>
      <c r="K225" s="32">
        <v>0.2</v>
      </c>
      <c r="L225" s="32">
        <v>1.9870000000000001</v>
      </c>
      <c r="M225" s="32">
        <v>14.87</v>
      </c>
      <c r="N225" s="32">
        <v>99.7</v>
      </c>
      <c r="P225" s="34">
        <f t="shared" si="31"/>
        <v>0.19109193402463637</v>
      </c>
      <c r="Q225" s="34">
        <f t="shared" si="32"/>
        <v>0.36893685646942065</v>
      </c>
      <c r="R225" s="34">
        <f t="shared" si="33"/>
        <v>0.28693961981525734</v>
      </c>
      <c r="S225" s="34">
        <f t="shared" si="34"/>
        <v>65.878194609235138</v>
      </c>
      <c r="T225" s="34">
        <f t="shared" si="35"/>
        <v>22.561872638774009</v>
      </c>
      <c r="U225" s="34">
        <f t="shared" si="36"/>
        <v>33.878432338517385</v>
      </c>
      <c r="V225" s="34">
        <f t="shared" si="37"/>
        <v>43.559695022708603</v>
      </c>
      <c r="X225" s="32">
        <v>1.736</v>
      </c>
      <c r="Y225" s="32">
        <v>2.6067</v>
      </c>
      <c r="Z225" s="32">
        <v>4.8099999999999997E-2</v>
      </c>
      <c r="AA225" s="32">
        <v>7.7122999999999999</v>
      </c>
      <c r="AC225" s="32">
        <v>6.9999999999999999E-4</v>
      </c>
      <c r="AD225" s="32">
        <v>0.1086</v>
      </c>
      <c r="AE225" s="32">
        <v>6.1100000000000002E-2</v>
      </c>
      <c r="AF225" s="32">
        <v>5.8700000000000002E-2</v>
      </c>
      <c r="AG225" s="32">
        <v>0.35420000000000001</v>
      </c>
      <c r="AH225" s="32">
        <v>3.3513999999999999</v>
      </c>
      <c r="AI225" s="32">
        <v>16.037800000000001</v>
      </c>
    </row>
    <row r="226" spans="1:35" s="32" customFormat="1" x14ac:dyDescent="0.25">
      <c r="A226" s="2" t="s">
        <v>435</v>
      </c>
      <c r="B226" s="40">
        <v>510.81664000000001</v>
      </c>
      <c r="C226" s="32">
        <v>13.561</v>
      </c>
      <c r="D226" s="32">
        <v>16.606000000000002</v>
      </c>
      <c r="E226" s="32">
        <v>0.41</v>
      </c>
      <c r="F226" s="32">
        <v>50.701000000000001</v>
      </c>
      <c r="H226" s="32">
        <v>1.4999999999999999E-2</v>
      </c>
      <c r="I226" s="32">
        <v>0.95899999999999996</v>
      </c>
      <c r="J226" s="32">
        <v>0.48399999999999999</v>
      </c>
      <c r="K226" s="32">
        <v>0.20200000000000001</v>
      </c>
      <c r="L226" s="32">
        <v>2.0710000000000002</v>
      </c>
      <c r="M226" s="32">
        <v>14.576000000000001</v>
      </c>
      <c r="N226" s="32">
        <v>99.584999999999994</v>
      </c>
      <c r="P226" s="34">
        <f t="shared" si="31"/>
        <v>0.18875356670610341</v>
      </c>
      <c r="Q226" s="34">
        <f t="shared" si="32"/>
        <v>0.36164247611958816</v>
      </c>
      <c r="R226" s="34">
        <f t="shared" si="33"/>
        <v>0.29612325689218588</v>
      </c>
      <c r="S226" s="34">
        <f t="shared" si="34"/>
        <v>65.705864137929311</v>
      </c>
      <c r="T226" s="34">
        <f t="shared" si="35"/>
        <v>22.297609371577234</v>
      </c>
      <c r="U226" s="34">
        <f t="shared" si="36"/>
        <v>34.981276503781537</v>
      </c>
      <c r="V226" s="34">
        <f t="shared" si="37"/>
        <v>42.721114124641232</v>
      </c>
      <c r="X226" s="32">
        <v>1.7195</v>
      </c>
      <c r="Y226" s="32">
        <v>2.6978</v>
      </c>
      <c r="Z226" s="32">
        <v>4.6800000000000001E-2</v>
      </c>
      <c r="AA226" s="32">
        <v>7.6870000000000003</v>
      </c>
      <c r="AC226" s="32">
        <v>2.8999999999999998E-3</v>
      </c>
      <c r="AD226" s="32">
        <v>0.1149</v>
      </c>
      <c r="AE226" s="32">
        <v>6.2100000000000002E-2</v>
      </c>
      <c r="AF226" s="32">
        <v>5.9299999999999999E-2</v>
      </c>
      <c r="AG226" s="32">
        <v>0.37019999999999997</v>
      </c>
      <c r="AH226" s="32">
        <v>3.2942999999999998</v>
      </c>
      <c r="AI226" s="32">
        <v>16.0548</v>
      </c>
    </row>
    <row r="227" spans="1:35" s="32" customFormat="1" x14ac:dyDescent="0.25">
      <c r="A227" s="2" t="s">
        <v>436</v>
      </c>
      <c r="B227" s="40">
        <v>514.66895</v>
      </c>
      <c r="C227" s="32">
        <v>13.288</v>
      </c>
      <c r="D227" s="32">
        <v>17.018999999999998</v>
      </c>
      <c r="E227" s="32">
        <v>0.435</v>
      </c>
      <c r="F227" s="32">
        <v>51.088999999999999</v>
      </c>
      <c r="H227" s="32">
        <v>8.9999999999999993E-3</v>
      </c>
      <c r="I227" s="32">
        <v>0.90900000000000003</v>
      </c>
      <c r="J227" s="32">
        <v>0.44</v>
      </c>
      <c r="K227" s="32">
        <v>0.248</v>
      </c>
      <c r="L227" s="32">
        <v>1.99</v>
      </c>
      <c r="M227" s="32">
        <v>14.750999999999999</v>
      </c>
      <c r="N227" s="32">
        <v>100.178</v>
      </c>
      <c r="P227" s="34">
        <f t="shared" si="31"/>
        <v>0.18495371981348738</v>
      </c>
      <c r="Q227" s="34">
        <f t="shared" si="32"/>
        <v>0.36598436918496463</v>
      </c>
      <c r="R227" s="34">
        <f t="shared" si="33"/>
        <v>0.30348799885873246</v>
      </c>
      <c r="S227" s="34">
        <f t="shared" si="34"/>
        <v>66.429309661687412</v>
      </c>
      <c r="T227" s="34">
        <f t="shared" si="35"/>
        <v>21.646544088714904</v>
      </c>
      <c r="U227" s="34">
        <f t="shared" si="36"/>
        <v>35.519514580816477</v>
      </c>
      <c r="V227" s="34">
        <f t="shared" si="37"/>
        <v>42.833941330468619</v>
      </c>
      <c r="X227" s="32">
        <v>1.6734</v>
      </c>
      <c r="Y227" s="32">
        <v>2.7458999999999998</v>
      </c>
      <c r="Z227" s="32">
        <v>4.9299999999999997E-2</v>
      </c>
      <c r="AA227" s="32">
        <v>7.6928999999999998</v>
      </c>
      <c r="AC227" s="32">
        <v>1.8E-3</v>
      </c>
      <c r="AD227" s="32">
        <v>0.1082</v>
      </c>
      <c r="AE227" s="32">
        <v>5.6099999999999997E-2</v>
      </c>
      <c r="AF227" s="32">
        <v>7.2400000000000006E-2</v>
      </c>
      <c r="AG227" s="32">
        <v>0.35310000000000002</v>
      </c>
      <c r="AH227" s="32">
        <v>3.3111999999999999</v>
      </c>
      <c r="AI227" s="32">
        <v>16.064299999999999</v>
      </c>
    </row>
    <row r="228" spans="1:35" s="32" customFormat="1" x14ac:dyDescent="0.25">
      <c r="A228" s="2" t="s">
        <v>437</v>
      </c>
      <c r="B228" s="40">
        <v>518.52125999999998</v>
      </c>
      <c r="C228" s="32">
        <v>13.053000000000001</v>
      </c>
      <c r="D228" s="32">
        <v>16.977</v>
      </c>
      <c r="E228" s="32">
        <v>0.435</v>
      </c>
      <c r="F228" s="32">
        <v>51.317999999999998</v>
      </c>
      <c r="H228" s="32">
        <v>2.1999999999999999E-2</v>
      </c>
      <c r="I228" s="32">
        <v>0.93100000000000005</v>
      </c>
      <c r="J228" s="32">
        <v>0.44</v>
      </c>
      <c r="K228" s="32">
        <v>0.19900000000000001</v>
      </c>
      <c r="L228" s="32">
        <v>1.8759999999999999</v>
      </c>
      <c r="M228" s="32">
        <v>14.859</v>
      </c>
      <c r="N228" s="32">
        <v>100.11</v>
      </c>
      <c r="P228" s="34">
        <f t="shared" si="31"/>
        <v>0.18168278933815854</v>
      </c>
      <c r="Q228" s="34">
        <f t="shared" si="32"/>
        <v>0.36866393747673987</v>
      </c>
      <c r="R228" s="34">
        <f t="shared" si="33"/>
        <v>0.30273904204857521</v>
      </c>
      <c r="S228" s="34">
        <f t="shared" si="34"/>
        <v>66.98757701537761</v>
      </c>
      <c r="T228" s="34">
        <f t="shared" si="35"/>
        <v>21.297130484336417</v>
      </c>
      <c r="U228" s="34">
        <f t="shared" si="36"/>
        <v>35.487526940216142</v>
      </c>
      <c r="V228" s="34">
        <f t="shared" si="37"/>
        <v>43.215342575447444</v>
      </c>
      <c r="X228" s="32">
        <v>1.6420999999999999</v>
      </c>
      <c r="Y228" s="32">
        <v>2.7364000000000002</v>
      </c>
      <c r="Z228" s="32">
        <v>4.9200000000000001E-2</v>
      </c>
      <c r="AA228" s="32">
        <v>7.7194000000000003</v>
      </c>
      <c r="AC228" s="32">
        <v>4.3E-3</v>
      </c>
      <c r="AD228" s="32">
        <v>0.11070000000000001</v>
      </c>
      <c r="AE228" s="32">
        <v>5.6099999999999997E-2</v>
      </c>
      <c r="AF228" s="32">
        <v>5.8200000000000002E-2</v>
      </c>
      <c r="AG228" s="32">
        <v>0.3327</v>
      </c>
      <c r="AH228" s="32">
        <v>3.3319999999999999</v>
      </c>
      <c r="AI228" s="32">
        <v>16.0411</v>
      </c>
    </row>
    <row r="229" spans="1:35" s="32" customFormat="1" x14ac:dyDescent="0.25">
      <c r="A229" s="2" t="s">
        <v>438</v>
      </c>
      <c r="B229" s="40">
        <v>522.37357999999995</v>
      </c>
      <c r="C229" s="32">
        <v>12.57</v>
      </c>
      <c r="D229" s="32">
        <v>17.635999999999999</v>
      </c>
      <c r="E229" s="32">
        <v>0.34499999999999997</v>
      </c>
      <c r="F229" s="32">
        <v>51.564999999999998</v>
      </c>
      <c r="H229" s="32">
        <v>8.9999999999999993E-3</v>
      </c>
      <c r="I229" s="32">
        <v>0.84499999999999997</v>
      </c>
      <c r="J229" s="32">
        <v>0.45600000000000002</v>
      </c>
      <c r="K229" s="32">
        <v>0.192</v>
      </c>
      <c r="L229" s="32">
        <v>1.484</v>
      </c>
      <c r="M229" s="32">
        <v>14.696</v>
      </c>
      <c r="N229" s="32">
        <v>99.798000000000002</v>
      </c>
      <c r="P229" s="34">
        <f t="shared" si="31"/>
        <v>0.1749599832973763</v>
      </c>
      <c r="Q229" s="34">
        <f t="shared" si="32"/>
        <v>0.36461977422156061</v>
      </c>
      <c r="R229" s="34">
        <f t="shared" si="33"/>
        <v>0.31449053104604296</v>
      </c>
      <c r="S229" s="34">
        <f t="shared" si="34"/>
        <v>67.574768908702808</v>
      </c>
      <c r="T229" s="34">
        <f t="shared" si="35"/>
        <v>20.485431426416483</v>
      </c>
      <c r="U229" s="34">
        <f t="shared" si="36"/>
        <v>36.822558430694755</v>
      </c>
      <c r="V229" s="34">
        <f t="shared" si="37"/>
        <v>42.692010142888769</v>
      </c>
      <c r="X229" s="32">
        <v>1.5851</v>
      </c>
      <c r="Y229" s="32">
        <v>2.8494000000000002</v>
      </c>
      <c r="Z229" s="32">
        <v>3.9100000000000003E-2</v>
      </c>
      <c r="AA229" s="32">
        <v>7.7751000000000001</v>
      </c>
      <c r="AC229" s="32">
        <v>1.8E-3</v>
      </c>
      <c r="AD229" s="32">
        <v>0.1007</v>
      </c>
      <c r="AE229" s="32">
        <v>5.8200000000000002E-2</v>
      </c>
      <c r="AF229" s="32">
        <v>5.62E-2</v>
      </c>
      <c r="AG229" s="32">
        <v>0.26379999999999998</v>
      </c>
      <c r="AH229" s="32">
        <v>3.3031999999999999</v>
      </c>
      <c r="AI229" s="32">
        <v>16.032599999999999</v>
      </c>
    </row>
    <row r="230" spans="1:35" s="32" customFormat="1" x14ac:dyDescent="0.25">
      <c r="A230" s="2" t="s">
        <v>439</v>
      </c>
      <c r="B230" s="40">
        <v>526.22589000000005</v>
      </c>
      <c r="C230" s="32">
        <v>12.31</v>
      </c>
      <c r="D230" s="32">
        <v>17.661000000000001</v>
      </c>
      <c r="E230" s="32">
        <v>0.372</v>
      </c>
      <c r="F230" s="32">
        <v>51.73</v>
      </c>
      <c r="H230" s="32">
        <v>0</v>
      </c>
      <c r="I230" s="32">
        <v>0.85399999999999998</v>
      </c>
      <c r="J230" s="32">
        <v>0.46300000000000002</v>
      </c>
      <c r="K230" s="32">
        <v>0.20799999999999999</v>
      </c>
      <c r="L230" s="32">
        <v>1.5780000000000001</v>
      </c>
      <c r="M230" s="32">
        <v>14.771000000000001</v>
      </c>
      <c r="N230" s="32">
        <v>99.947000000000003</v>
      </c>
      <c r="P230" s="34">
        <f t="shared" si="31"/>
        <v>0.17134108149488483</v>
      </c>
      <c r="Q230" s="34">
        <f t="shared" si="32"/>
        <v>0.36648058553529339</v>
      </c>
      <c r="R230" s="34">
        <f t="shared" si="33"/>
        <v>0.31493633867113663</v>
      </c>
      <c r="S230" s="34">
        <f t="shared" si="34"/>
        <v>68.141655125011809</v>
      </c>
      <c r="T230" s="34">
        <f t="shared" si="35"/>
        <v>20.09257964737283</v>
      </c>
      <c r="U230" s="34">
        <f t="shared" si="36"/>
        <v>36.931501852290502</v>
      </c>
      <c r="V230" s="34">
        <f t="shared" si="37"/>
        <v>42.975918500336668</v>
      </c>
      <c r="X230" s="32">
        <v>1.5476000000000001</v>
      </c>
      <c r="Y230" s="32">
        <v>2.8448000000000002</v>
      </c>
      <c r="Z230" s="32">
        <v>4.2099999999999999E-2</v>
      </c>
      <c r="AA230" s="32">
        <v>7.7763</v>
      </c>
      <c r="AC230" s="32">
        <v>0</v>
      </c>
      <c r="AD230" s="32">
        <v>0.10150000000000001</v>
      </c>
      <c r="AE230" s="32">
        <v>5.8900000000000001E-2</v>
      </c>
      <c r="AF230" s="32">
        <v>6.0699999999999997E-2</v>
      </c>
      <c r="AG230" s="32">
        <v>0.27960000000000002</v>
      </c>
      <c r="AH230" s="32">
        <v>3.31</v>
      </c>
      <c r="AI230" s="32">
        <v>16.0215</v>
      </c>
    </row>
    <row r="231" spans="1:35" s="32" customFormat="1" x14ac:dyDescent="0.25">
      <c r="A231" s="2" t="s">
        <v>440</v>
      </c>
      <c r="B231" s="40">
        <v>530.07820000000004</v>
      </c>
      <c r="C231" s="32">
        <v>12.36</v>
      </c>
      <c r="D231" s="32">
        <v>17.824999999999999</v>
      </c>
      <c r="E231" s="32">
        <v>0.38</v>
      </c>
      <c r="F231" s="32">
        <v>51.595999999999997</v>
      </c>
      <c r="H231" s="32">
        <v>7.0000000000000001E-3</v>
      </c>
      <c r="I231" s="32">
        <v>0.877</v>
      </c>
      <c r="J231" s="32">
        <v>0.42299999999999999</v>
      </c>
      <c r="K231" s="32">
        <v>0.17599999999999999</v>
      </c>
      <c r="L231" s="32">
        <v>1.577</v>
      </c>
      <c r="M231" s="32">
        <v>14.723000000000001</v>
      </c>
      <c r="N231" s="32">
        <v>99.944000000000003</v>
      </c>
      <c r="P231" s="34">
        <f t="shared" ref="P231:P242" si="38">C231/(55.845+16)</f>
        <v>0.1720370241492101</v>
      </c>
      <c r="Q231" s="34">
        <f t="shared" ref="Q231:Q242" si="39">M231/(24.305+16)</f>
        <v>0.36528966629450443</v>
      </c>
      <c r="R231" s="34">
        <f t="shared" ref="R231:R242" si="40">D231/(40.078+16)</f>
        <v>0.31786083669175075</v>
      </c>
      <c r="S231" s="34">
        <f t="shared" ref="S231:S242" si="41">Q231/(P231+Q231)*100</f>
        <v>67.982788272225022</v>
      </c>
      <c r="T231" s="34">
        <f t="shared" ref="T231:T242" si="42">P231/(P231+R231+Q231)*100</f>
        <v>20.116877139855514</v>
      </c>
      <c r="U231" s="34">
        <f t="shared" ref="U231:U242" si="43">R231/(P231+R231+Q231)*100</f>
        <v>37.168553867530882</v>
      </c>
      <c r="V231" s="34">
        <f t="shared" ref="V231:V242" si="44">Q231/(P231+Q231+R231)*100</f>
        <v>42.7145689926136</v>
      </c>
      <c r="X231" s="32">
        <v>1.5552999999999999</v>
      </c>
      <c r="Y231" s="32">
        <v>2.8736999999999999</v>
      </c>
      <c r="Z231" s="32">
        <v>4.2999999999999997E-2</v>
      </c>
      <c r="AA231" s="32">
        <v>7.7632000000000003</v>
      </c>
      <c r="AC231" s="32">
        <v>1.4E-3</v>
      </c>
      <c r="AD231" s="32">
        <v>0.1043</v>
      </c>
      <c r="AE231" s="32">
        <v>5.3900000000000003E-2</v>
      </c>
      <c r="AF231" s="32">
        <v>5.1200000000000002E-2</v>
      </c>
      <c r="AG231" s="32">
        <v>0.2797</v>
      </c>
      <c r="AH231" s="32">
        <v>3.3022999999999998</v>
      </c>
      <c r="AI231" s="32">
        <v>16.027999999999999</v>
      </c>
    </row>
    <row r="232" spans="1:35" s="32" customFormat="1" x14ac:dyDescent="0.25">
      <c r="A232" s="2" t="s">
        <v>441</v>
      </c>
      <c r="B232" s="40">
        <v>533.93051000000003</v>
      </c>
      <c r="C232" s="32">
        <v>12.528</v>
      </c>
      <c r="D232" s="32">
        <v>18.157</v>
      </c>
      <c r="E232" s="32">
        <v>0.35599999999999998</v>
      </c>
      <c r="F232" s="32">
        <v>51.402000000000001</v>
      </c>
      <c r="H232" s="32">
        <v>8.0000000000000002E-3</v>
      </c>
      <c r="I232" s="32">
        <v>0.879</v>
      </c>
      <c r="J232" s="32">
        <v>0.4</v>
      </c>
      <c r="K232" s="32">
        <v>0.21</v>
      </c>
      <c r="L232" s="32">
        <v>1.5269999999999999</v>
      </c>
      <c r="M232" s="32">
        <v>14.67</v>
      </c>
      <c r="N232" s="32">
        <v>100.137</v>
      </c>
      <c r="P232" s="34">
        <f t="shared" si="38"/>
        <v>0.17437539146774306</v>
      </c>
      <c r="Q232" s="34">
        <f t="shared" si="39"/>
        <v>0.36397469296613322</v>
      </c>
      <c r="R232" s="34">
        <f t="shared" si="40"/>
        <v>0.323781161952994</v>
      </c>
      <c r="S232" s="34">
        <f t="shared" si="41"/>
        <v>67.609294303145788</v>
      </c>
      <c r="T232" s="34">
        <f t="shared" si="42"/>
        <v>20.226084160449783</v>
      </c>
      <c r="U232" s="34">
        <f t="shared" si="43"/>
        <v>37.555901530067196</v>
      </c>
      <c r="V232" s="34">
        <f t="shared" si="44"/>
        <v>42.218014309483024</v>
      </c>
      <c r="X232" s="32">
        <v>1.5771999999999999</v>
      </c>
      <c r="Y232" s="32">
        <v>2.9287000000000001</v>
      </c>
      <c r="Z232" s="32">
        <v>4.0300000000000002E-2</v>
      </c>
      <c r="AA232" s="32">
        <v>7.7378</v>
      </c>
      <c r="AC232" s="32">
        <v>1.6000000000000001E-3</v>
      </c>
      <c r="AD232" s="32">
        <v>0.1046</v>
      </c>
      <c r="AE232" s="32">
        <v>5.0999999999999997E-2</v>
      </c>
      <c r="AF232" s="32">
        <v>6.13E-2</v>
      </c>
      <c r="AG232" s="32">
        <v>0.27089999999999997</v>
      </c>
      <c r="AH232" s="32">
        <v>3.2919999999999998</v>
      </c>
      <c r="AI232" s="32">
        <v>16.0654</v>
      </c>
    </row>
    <row r="233" spans="1:35" s="32" customFormat="1" x14ac:dyDescent="0.25">
      <c r="A233" s="2" t="s">
        <v>442</v>
      </c>
      <c r="B233" s="40">
        <v>537.78282999999999</v>
      </c>
      <c r="C233" s="32">
        <v>12.141</v>
      </c>
      <c r="D233" s="32">
        <v>17.997</v>
      </c>
      <c r="E233" s="32">
        <v>0.36299999999999999</v>
      </c>
      <c r="F233" s="32">
        <v>51.734999999999999</v>
      </c>
      <c r="H233" s="32">
        <v>3.0000000000000001E-3</v>
      </c>
      <c r="I233" s="32">
        <v>0.85799999999999998</v>
      </c>
      <c r="J233" s="32">
        <v>0.39900000000000002</v>
      </c>
      <c r="K233" s="32">
        <v>0.18099999999999999</v>
      </c>
      <c r="L233" s="32">
        <v>1.577</v>
      </c>
      <c r="M233" s="32">
        <v>14.661</v>
      </c>
      <c r="N233" s="32">
        <v>99.915000000000006</v>
      </c>
      <c r="P233" s="34">
        <f t="shared" si="38"/>
        <v>0.16898879532326536</v>
      </c>
      <c r="Q233" s="34">
        <f t="shared" si="39"/>
        <v>0.3637513956084853</v>
      </c>
      <c r="R233" s="34">
        <f t="shared" si="40"/>
        <v>0.32092799315239484</v>
      </c>
      <c r="S233" s="34">
        <f t="shared" si="41"/>
        <v>68.279322979610811</v>
      </c>
      <c r="T233" s="34">
        <f t="shared" si="42"/>
        <v>19.795606592105138</v>
      </c>
      <c r="U233" s="34">
        <f t="shared" si="43"/>
        <v>37.59399719185987</v>
      </c>
      <c r="V233" s="34">
        <f t="shared" si="44"/>
        <v>42.610396216034985</v>
      </c>
      <c r="X233" s="32">
        <v>1.5266</v>
      </c>
      <c r="Y233" s="32">
        <v>2.8992</v>
      </c>
      <c r="Z233" s="32">
        <v>4.1000000000000002E-2</v>
      </c>
      <c r="AA233" s="32">
        <v>7.7782999999999998</v>
      </c>
      <c r="AC233" s="32">
        <v>5.9999999999999995E-4</v>
      </c>
      <c r="AD233" s="32">
        <v>0.10199999999999999</v>
      </c>
      <c r="AE233" s="32">
        <v>5.0900000000000001E-2</v>
      </c>
      <c r="AF233" s="32">
        <v>5.2699999999999997E-2</v>
      </c>
      <c r="AG233" s="32">
        <v>0.27950000000000003</v>
      </c>
      <c r="AH233" s="32">
        <v>3.2858999999999998</v>
      </c>
      <c r="AI233" s="32">
        <v>16.0167</v>
      </c>
    </row>
    <row r="234" spans="1:35" s="32" customFormat="1" x14ac:dyDescent="0.25">
      <c r="A234" s="2" t="s">
        <v>443</v>
      </c>
      <c r="B234" s="40">
        <v>541.63513999999998</v>
      </c>
      <c r="C234" s="32">
        <v>12.214</v>
      </c>
      <c r="D234" s="32">
        <v>18.266999999999999</v>
      </c>
      <c r="E234" s="32">
        <v>0.38900000000000001</v>
      </c>
      <c r="F234" s="32">
        <v>51.468000000000004</v>
      </c>
      <c r="H234" s="32">
        <v>0</v>
      </c>
      <c r="I234" s="32">
        <v>0.89100000000000001</v>
      </c>
      <c r="J234" s="32">
        <v>0.41899999999999998</v>
      </c>
      <c r="K234" s="32">
        <v>0.2</v>
      </c>
      <c r="L234" s="32">
        <v>1.5720000000000001</v>
      </c>
      <c r="M234" s="32">
        <v>14.457000000000001</v>
      </c>
      <c r="N234" s="32">
        <v>99.876999999999995</v>
      </c>
      <c r="P234" s="34">
        <f t="shared" si="38"/>
        <v>0.1700048715985803</v>
      </c>
      <c r="Q234" s="34">
        <f t="shared" si="39"/>
        <v>0.35868998883513215</v>
      </c>
      <c r="R234" s="34">
        <f t="shared" si="40"/>
        <v>0.32574271550340594</v>
      </c>
      <c r="S234" s="34">
        <f t="shared" si="41"/>
        <v>67.844425145514435</v>
      </c>
      <c r="T234" s="34">
        <f t="shared" si="42"/>
        <v>19.896698879625546</v>
      </c>
      <c r="U234" s="34">
        <f t="shared" si="43"/>
        <v>38.123641173685776</v>
      </c>
      <c r="V234" s="34">
        <f t="shared" si="44"/>
        <v>41.979659946688678</v>
      </c>
      <c r="X234" s="32">
        <v>1.5395000000000001</v>
      </c>
      <c r="Y234" s="32">
        <v>2.9499</v>
      </c>
      <c r="Z234" s="32">
        <v>4.41E-2</v>
      </c>
      <c r="AA234" s="32">
        <v>7.7567000000000004</v>
      </c>
      <c r="AC234" s="32">
        <v>0</v>
      </c>
      <c r="AD234" s="32">
        <v>0.1062</v>
      </c>
      <c r="AE234" s="32">
        <v>5.3499999999999999E-2</v>
      </c>
      <c r="AF234" s="32">
        <v>5.8500000000000003E-2</v>
      </c>
      <c r="AG234" s="32">
        <v>0.27929999999999999</v>
      </c>
      <c r="AH234" s="32">
        <v>3.2479</v>
      </c>
      <c r="AI234" s="32">
        <v>16.035599999999999</v>
      </c>
    </row>
    <row r="235" spans="1:35" s="32" customFormat="1" x14ac:dyDescent="0.25">
      <c r="A235" s="2" t="s">
        <v>444</v>
      </c>
      <c r="B235" s="40">
        <v>545.48744999999997</v>
      </c>
      <c r="C235" s="32">
        <v>11.978999999999999</v>
      </c>
      <c r="D235" s="32">
        <v>18.305</v>
      </c>
      <c r="E235" s="32">
        <v>0.36</v>
      </c>
      <c r="F235" s="32">
        <v>51.162999999999997</v>
      </c>
      <c r="H235" s="32">
        <v>0</v>
      </c>
      <c r="I235" s="32">
        <v>0.83699999999999997</v>
      </c>
      <c r="J235" s="32">
        <v>0.435</v>
      </c>
      <c r="K235" s="32">
        <v>0.20799999999999999</v>
      </c>
      <c r="L235" s="32">
        <v>1.518</v>
      </c>
      <c r="M235" s="32">
        <v>14.506</v>
      </c>
      <c r="N235" s="32">
        <v>99.311000000000007</v>
      </c>
      <c r="P235" s="34">
        <f t="shared" si="38"/>
        <v>0.16673394112325143</v>
      </c>
      <c r="Q235" s="34">
        <f t="shared" si="39"/>
        <v>0.35990571889343753</v>
      </c>
      <c r="R235" s="34">
        <f t="shared" si="40"/>
        <v>0.32642034309354823</v>
      </c>
      <c r="S235" s="34">
        <f t="shared" si="41"/>
        <v>68.340033274750382</v>
      </c>
      <c r="T235" s="34">
        <f t="shared" si="42"/>
        <v>19.545394288249753</v>
      </c>
      <c r="U235" s="34">
        <f t="shared" si="43"/>
        <v>38.264640459455038</v>
      </c>
      <c r="V235" s="34">
        <f t="shared" si="44"/>
        <v>42.189965252295217</v>
      </c>
      <c r="X235" s="32">
        <v>1.5182</v>
      </c>
      <c r="Y235" s="32">
        <v>2.9723999999999999</v>
      </c>
      <c r="Z235" s="32">
        <v>4.1000000000000002E-2</v>
      </c>
      <c r="AA235" s="32">
        <v>7.7533000000000003</v>
      </c>
      <c r="AC235" s="32">
        <v>0</v>
      </c>
      <c r="AD235" s="32">
        <v>0.1003</v>
      </c>
      <c r="AE235" s="32">
        <v>5.5800000000000002E-2</v>
      </c>
      <c r="AF235" s="32">
        <v>6.1199999999999997E-2</v>
      </c>
      <c r="AG235" s="32">
        <v>0.2712</v>
      </c>
      <c r="AH235" s="32">
        <v>3.2770999999999999</v>
      </c>
      <c r="AI235" s="32">
        <v>16.0505</v>
      </c>
    </row>
    <row r="236" spans="1:35" s="32" customFormat="1" x14ac:dyDescent="0.25">
      <c r="A236" s="2" t="s">
        <v>445</v>
      </c>
      <c r="B236" s="40">
        <v>549.33975999999996</v>
      </c>
      <c r="C236" s="32">
        <v>12.007999999999999</v>
      </c>
      <c r="D236" s="32">
        <v>18.623999999999999</v>
      </c>
      <c r="E236" s="32">
        <v>0.377</v>
      </c>
      <c r="F236" s="32">
        <v>51.987000000000002</v>
      </c>
      <c r="H236" s="32">
        <v>5.0000000000000001E-3</v>
      </c>
      <c r="I236" s="32">
        <v>0.78300000000000003</v>
      </c>
      <c r="J236" s="32">
        <v>0.39800000000000002</v>
      </c>
      <c r="K236" s="32">
        <v>0.186</v>
      </c>
      <c r="L236" s="32">
        <v>1.456</v>
      </c>
      <c r="M236" s="32">
        <v>14.567</v>
      </c>
      <c r="N236" s="32">
        <v>100.39100000000001</v>
      </c>
      <c r="P236" s="34">
        <f t="shared" si="38"/>
        <v>0.16713758786276009</v>
      </c>
      <c r="Q236" s="34">
        <f t="shared" si="39"/>
        <v>0.36141917876194019</v>
      </c>
      <c r="R236" s="34">
        <f t="shared" si="40"/>
        <v>0.33210884838974281</v>
      </c>
      <c r="S236" s="34">
        <f t="shared" si="41"/>
        <v>68.378498126117933</v>
      </c>
      <c r="T236" s="34">
        <f t="shared" si="42"/>
        <v>19.419573054507971</v>
      </c>
      <c r="U236" s="34">
        <f t="shared" si="43"/>
        <v>38.587442392963453</v>
      </c>
      <c r="V236" s="34">
        <f t="shared" si="44"/>
        <v>41.992984552528576</v>
      </c>
      <c r="X236" s="32">
        <v>1.5037</v>
      </c>
      <c r="Y236" s="32">
        <v>2.9882</v>
      </c>
      <c r="Z236" s="32">
        <v>4.2500000000000003E-2</v>
      </c>
      <c r="AA236" s="32">
        <v>7.7845000000000004</v>
      </c>
      <c r="AC236" s="32">
        <v>8.9999999999999998E-4</v>
      </c>
      <c r="AD236" s="32">
        <v>9.2700000000000005E-2</v>
      </c>
      <c r="AE236" s="32">
        <v>5.0500000000000003E-2</v>
      </c>
      <c r="AF236" s="32">
        <v>5.3999999999999999E-2</v>
      </c>
      <c r="AG236" s="32">
        <v>0.25690000000000002</v>
      </c>
      <c r="AH236" s="32">
        <v>3.2515999999999998</v>
      </c>
      <c r="AI236" s="32">
        <v>16.025500000000001</v>
      </c>
    </row>
    <row r="237" spans="1:35" s="32" customFormat="1" x14ac:dyDescent="0.25">
      <c r="A237" s="2" t="s">
        <v>446</v>
      </c>
      <c r="B237" s="40">
        <v>553.19208000000003</v>
      </c>
      <c r="C237" s="32">
        <v>11.965</v>
      </c>
      <c r="D237" s="32">
        <v>18.568000000000001</v>
      </c>
      <c r="E237" s="32">
        <v>0.41</v>
      </c>
      <c r="F237" s="32">
        <v>51.668999999999997</v>
      </c>
      <c r="H237" s="32">
        <v>0.01</v>
      </c>
      <c r="I237" s="32">
        <v>0.79400000000000004</v>
      </c>
      <c r="J237" s="32">
        <v>0.39800000000000002</v>
      </c>
      <c r="K237" s="32">
        <v>0.2</v>
      </c>
      <c r="L237" s="32">
        <v>1.4510000000000001</v>
      </c>
      <c r="M237" s="32">
        <v>14.715</v>
      </c>
      <c r="N237" s="32">
        <v>100.18</v>
      </c>
      <c r="P237" s="34">
        <f t="shared" si="38"/>
        <v>0.16653907718004038</v>
      </c>
      <c r="Q237" s="34">
        <f t="shared" si="39"/>
        <v>0.36509117975437289</v>
      </c>
      <c r="R237" s="34">
        <f t="shared" si="40"/>
        <v>0.33111023930953315</v>
      </c>
      <c r="S237" s="34">
        <f t="shared" si="41"/>
        <v>68.673890357488403</v>
      </c>
      <c r="T237" s="34">
        <f t="shared" si="42"/>
        <v>19.303495999676613</v>
      </c>
      <c r="U237" s="34">
        <f t="shared" si="43"/>
        <v>38.378891538193102</v>
      </c>
      <c r="V237" s="34">
        <f t="shared" si="44"/>
        <v>42.317612462130278</v>
      </c>
      <c r="X237" s="32">
        <v>1.5024999999999999</v>
      </c>
      <c r="Y237" s="32">
        <v>2.9874000000000001</v>
      </c>
      <c r="Z237" s="32">
        <v>4.6300000000000001E-2</v>
      </c>
      <c r="AA237" s="32">
        <v>7.7583000000000002</v>
      </c>
      <c r="AC237" s="32">
        <v>1.9E-3</v>
      </c>
      <c r="AD237" s="32">
        <v>9.4299999999999995E-2</v>
      </c>
      <c r="AE237" s="32">
        <v>5.0599999999999999E-2</v>
      </c>
      <c r="AF237" s="32">
        <v>5.8200000000000002E-2</v>
      </c>
      <c r="AG237" s="32">
        <v>0.25690000000000002</v>
      </c>
      <c r="AH237" s="32">
        <v>3.2936000000000001</v>
      </c>
      <c r="AI237" s="32">
        <v>16.05</v>
      </c>
    </row>
    <row r="238" spans="1:35" s="32" customFormat="1" x14ac:dyDescent="0.25">
      <c r="A238" s="2" t="s">
        <v>447</v>
      </c>
      <c r="B238" s="40">
        <v>557.04439000000002</v>
      </c>
      <c r="C238" s="32">
        <v>11.911</v>
      </c>
      <c r="D238" s="32">
        <v>18.744</v>
      </c>
      <c r="E238" s="32">
        <v>0.372</v>
      </c>
      <c r="F238" s="32">
        <v>51.58</v>
      </c>
      <c r="H238" s="32">
        <v>2E-3</v>
      </c>
      <c r="I238" s="32">
        <v>0.83299999999999996</v>
      </c>
      <c r="J238" s="32">
        <v>0.42199999999999999</v>
      </c>
      <c r="K238" s="32">
        <v>0.22</v>
      </c>
      <c r="L238" s="32">
        <v>1.4850000000000001</v>
      </c>
      <c r="M238" s="32">
        <v>14.629</v>
      </c>
      <c r="N238" s="32">
        <v>100.19799999999999</v>
      </c>
      <c r="P238" s="34">
        <f t="shared" si="38"/>
        <v>0.16578745911336906</v>
      </c>
      <c r="Q238" s="34">
        <f t="shared" si="39"/>
        <v>0.36295744944795932</v>
      </c>
      <c r="R238" s="34">
        <f t="shared" si="40"/>
        <v>0.3342487249901922</v>
      </c>
      <c r="S238" s="34">
        <f t="shared" si="41"/>
        <v>68.645095881024517</v>
      </c>
      <c r="T238" s="34">
        <f t="shared" si="42"/>
        <v>19.210739531309834</v>
      </c>
      <c r="U238" s="34">
        <f t="shared" si="43"/>
        <v>38.731308319696616</v>
      </c>
      <c r="V238" s="34">
        <f t="shared" si="44"/>
        <v>42.057952148993557</v>
      </c>
      <c r="X238" s="32">
        <v>1.4964999999999999</v>
      </c>
      <c r="Y238" s="32">
        <v>3.0171999999999999</v>
      </c>
      <c r="Z238" s="32">
        <v>4.2000000000000003E-2</v>
      </c>
      <c r="AA238" s="32">
        <v>7.7487000000000004</v>
      </c>
      <c r="AC238" s="32">
        <v>2.9999999999999997E-4</v>
      </c>
      <c r="AD238" s="32">
        <v>9.9000000000000005E-2</v>
      </c>
      <c r="AE238" s="32">
        <v>5.3699999999999998E-2</v>
      </c>
      <c r="AF238" s="32">
        <v>6.4199999999999993E-2</v>
      </c>
      <c r="AG238" s="32">
        <v>0.26300000000000001</v>
      </c>
      <c r="AH238" s="32">
        <v>3.2759999999999998</v>
      </c>
      <c r="AI238" s="32">
        <v>16.060600000000001</v>
      </c>
    </row>
    <row r="239" spans="1:35" s="32" customFormat="1" x14ac:dyDescent="0.25">
      <c r="A239" s="2" t="s">
        <v>448</v>
      </c>
      <c r="B239" s="40">
        <v>560.89670000000001</v>
      </c>
      <c r="C239" s="32">
        <v>11.992000000000001</v>
      </c>
      <c r="D239" s="32">
        <v>18.463999999999999</v>
      </c>
      <c r="E239" s="32">
        <v>0.39200000000000002</v>
      </c>
      <c r="F239" s="32">
        <v>51.691000000000003</v>
      </c>
      <c r="H239" s="32">
        <v>0</v>
      </c>
      <c r="I239" s="32">
        <v>0.81</v>
      </c>
      <c r="J239" s="32">
        <v>0.41099999999999998</v>
      </c>
      <c r="K239" s="32">
        <v>0.20300000000000001</v>
      </c>
      <c r="L239" s="32">
        <v>1.4319999999999999</v>
      </c>
      <c r="M239" s="32">
        <v>14.628</v>
      </c>
      <c r="N239" s="32">
        <v>100.023</v>
      </c>
      <c r="P239" s="34">
        <f t="shared" si="38"/>
        <v>0.16691488621337602</v>
      </c>
      <c r="Q239" s="34">
        <f t="shared" si="39"/>
        <v>0.36293263863044289</v>
      </c>
      <c r="R239" s="34">
        <f t="shared" si="40"/>
        <v>0.32925567958914365</v>
      </c>
      <c r="S239" s="34">
        <f t="shared" si="41"/>
        <v>68.497562338792306</v>
      </c>
      <c r="T239" s="34">
        <f t="shared" si="42"/>
        <v>19.428967946120697</v>
      </c>
      <c r="U239" s="34">
        <f t="shared" si="43"/>
        <v>38.325509425432031</v>
      </c>
      <c r="V239" s="34">
        <f t="shared" si="44"/>
        <v>42.245522628447283</v>
      </c>
      <c r="X239" s="32">
        <v>1.5079</v>
      </c>
      <c r="Y239" s="32">
        <v>2.9744999999999999</v>
      </c>
      <c r="Z239" s="32">
        <v>4.4400000000000002E-2</v>
      </c>
      <c r="AA239" s="32">
        <v>7.7717000000000001</v>
      </c>
      <c r="AC239" s="32">
        <v>0</v>
      </c>
      <c r="AD239" s="32">
        <v>9.6299999999999997E-2</v>
      </c>
      <c r="AE239" s="32">
        <v>5.2299999999999999E-2</v>
      </c>
      <c r="AF239" s="32">
        <v>5.91E-2</v>
      </c>
      <c r="AG239" s="32">
        <v>0.25380000000000003</v>
      </c>
      <c r="AH239" s="32">
        <v>3.2785000000000002</v>
      </c>
      <c r="AI239" s="32">
        <v>16.038499999999999</v>
      </c>
    </row>
    <row r="240" spans="1:35" s="32" customFormat="1" x14ac:dyDescent="0.25">
      <c r="A240" s="2" t="s">
        <v>449</v>
      </c>
      <c r="B240" s="40">
        <v>564.74901</v>
      </c>
      <c r="C240" s="32">
        <v>12.113</v>
      </c>
      <c r="D240" s="32">
        <v>18.161999999999999</v>
      </c>
      <c r="E240" s="32">
        <v>0.34499999999999997</v>
      </c>
      <c r="F240" s="32">
        <v>51.671999999999997</v>
      </c>
      <c r="H240" s="32">
        <v>7.0000000000000001E-3</v>
      </c>
      <c r="I240" s="32">
        <v>0.81</v>
      </c>
      <c r="J240" s="32">
        <v>0.38200000000000001</v>
      </c>
      <c r="K240" s="32">
        <v>0.222</v>
      </c>
      <c r="L240" s="32">
        <v>1.488</v>
      </c>
      <c r="M240" s="32">
        <v>14.683999999999999</v>
      </c>
      <c r="N240" s="32">
        <v>99.885000000000005</v>
      </c>
      <c r="P240" s="34">
        <f t="shared" si="38"/>
        <v>0.16859906743684319</v>
      </c>
      <c r="Q240" s="34">
        <f t="shared" si="39"/>
        <v>0.36432204441136334</v>
      </c>
      <c r="R240" s="34">
        <f t="shared" si="40"/>
        <v>0.32387032347801276</v>
      </c>
      <c r="S240" s="34">
        <f t="shared" si="41"/>
        <v>68.363222306556736</v>
      </c>
      <c r="T240" s="34">
        <f t="shared" si="42"/>
        <v>19.677959009084852</v>
      </c>
      <c r="U240" s="34">
        <f t="shared" si="43"/>
        <v>37.800368925805223</v>
      </c>
      <c r="V240" s="34">
        <f t="shared" si="44"/>
        <v>42.521672065109918</v>
      </c>
      <c r="X240" s="32">
        <v>1.5246</v>
      </c>
      <c r="Y240" s="32">
        <v>2.9287000000000001</v>
      </c>
      <c r="Z240" s="32">
        <v>3.9E-2</v>
      </c>
      <c r="AA240" s="32">
        <v>7.7762000000000002</v>
      </c>
      <c r="AC240" s="32">
        <v>1.2999999999999999E-3</v>
      </c>
      <c r="AD240" s="32">
        <v>9.64E-2</v>
      </c>
      <c r="AE240" s="32">
        <v>4.87E-2</v>
      </c>
      <c r="AF240" s="32">
        <v>6.4699999999999994E-2</v>
      </c>
      <c r="AG240" s="32">
        <v>0.26390000000000002</v>
      </c>
      <c r="AH240" s="32">
        <v>3.2940999999999998</v>
      </c>
      <c r="AI240" s="32">
        <v>16.037600000000001</v>
      </c>
    </row>
    <row r="241" spans="1:35" s="32" customFormat="1" x14ac:dyDescent="0.25">
      <c r="A241" s="2" t="s">
        <v>450</v>
      </c>
      <c r="B241" s="40">
        <v>568.60132999999996</v>
      </c>
      <c r="C241" s="32">
        <v>12.013999999999999</v>
      </c>
      <c r="D241" s="32">
        <v>18.103000000000002</v>
      </c>
      <c r="E241" s="32">
        <v>0.33900000000000002</v>
      </c>
      <c r="F241" s="32">
        <v>51.587000000000003</v>
      </c>
      <c r="H241" s="32">
        <v>1.4999999999999999E-2</v>
      </c>
      <c r="I241" s="32">
        <v>0.80500000000000005</v>
      </c>
      <c r="J241" s="32">
        <v>0.40300000000000002</v>
      </c>
      <c r="K241" s="32">
        <v>0.248</v>
      </c>
      <c r="L241" s="32">
        <v>1.57</v>
      </c>
      <c r="M241" s="32">
        <v>14.74</v>
      </c>
      <c r="N241" s="32">
        <v>99.823999999999998</v>
      </c>
      <c r="P241" s="34">
        <f t="shared" si="38"/>
        <v>0.16722110098127912</v>
      </c>
      <c r="Q241" s="34">
        <f t="shared" si="39"/>
        <v>0.36571145019228385</v>
      </c>
      <c r="R241" s="34">
        <f t="shared" si="40"/>
        <v>0.32281821748279182</v>
      </c>
      <c r="S241" s="34">
        <f t="shared" si="41"/>
        <v>68.622464397597042</v>
      </c>
      <c r="T241" s="34">
        <f t="shared" si="42"/>
        <v>19.540864829585725</v>
      </c>
      <c r="U241" s="34">
        <f t="shared" si="43"/>
        <v>37.723392056037575</v>
      </c>
      <c r="V241" s="34">
        <f t="shared" si="44"/>
        <v>42.735743114376703</v>
      </c>
      <c r="X241" s="32">
        <v>1.5125999999999999</v>
      </c>
      <c r="Y241" s="32">
        <v>2.9201000000000001</v>
      </c>
      <c r="Z241" s="32">
        <v>3.8399999999999997E-2</v>
      </c>
      <c r="AA241" s="32">
        <v>7.766</v>
      </c>
      <c r="AC241" s="32">
        <v>2.8999999999999998E-3</v>
      </c>
      <c r="AD241" s="32">
        <v>9.5899999999999999E-2</v>
      </c>
      <c r="AE241" s="32">
        <v>5.1299999999999998E-2</v>
      </c>
      <c r="AF241" s="32">
        <v>7.2300000000000003E-2</v>
      </c>
      <c r="AG241" s="32">
        <v>0.27860000000000001</v>
      </c>
      <c r="AH241" s="32">
        <v>3.3077999999999999</v>
      </c>
      <c r="AI241" s="32">
        <v>16.0459</v>
      </c>
    </row>
    <row r="242" spans="1:35" s="32" customFormat="1" x14ac:dyDescent="0.25">
      <c r="A242" s="2" t="s">
        <v>451</v>
      </c>
      <c r="B242" s="40">
        <v>570.14224999999999</v>
      </c>
      <c r="C242" s="32">
        <v>12.372</v>
      </c>
      <c r="D242" s="32">
        <v>18.199000000000002</v>
      </c>
      <c r="E242" s="32">
        <v>0.35</v>
      </c>
      <c r="F242" s="32">
        <v>51.917999999999999</v>
      </c>
      <c r="H242" s="32">
        <v>6.0000000000000001E-3</v>
      </c>
      <c r="I242" s="32">
        <v>0.81599999999999995</v>
      </c>
      <c r="J242" s="32">
        <v>0.39400000000000002</v>
      </c>
      <c r="K242" s="32">
        <v>0.188</v>
      </c>
      <c r="L242" s="32">
        <v>1.53</v>
      </c>
      <c r="M242" s="32">
        <v>14.757</v>
      </c>
      <c r="N242" s="32">
        <v>100.53</v>
      </c>
      <c r="P242" s="34">
        <f t="shared" si="38"/>
        <v>0.17220405038624817</v>
      </c>
      <c r="Q242" s="34">
        <f t="shared" si="39"/>
        <v>0.36613323409006326</v>
      </c>
      <c r="R242" s="34">
        <f t="shared" si="40"/>
        <v>0.32453011876315135</v>
      </c>
      <c r="S242" s="34">
        <f t="shared" si="41"/>
        <v>68.011866286808214</v>
      </c>
      <c r="T242" s="34">
        <f t="shared" si="42"/>
        <v>19.957185743689305</v>
      </c>
      <c r="U242" s="34">
        <f t="shared" si="43"/>
        <v>37.610659244371504</v>
      </c>
      <c r="V242" s="34">
        <f t="shared" si="44"/>
        <v>42.432155011939194</v>
      </c>
      <c r="X242" s="32">
        <v>1.5482</v>
      </c>
      <c r="Y242" s="32">
        <v>2.9177</v>
      </c>
      <c r="Z242" s="32">
        <v>3.9399999999999998E-2</v>
      </c>
      <c r="AA242" s="32">
        <v>7.7682000000000002</v>
      </c>
      <c r="AC242" s="32">
        <v>1.1000000000000001E-3</v>
      </c>
      <c r="AD242" s="32">
        <v>9.6500000000000002E-2</v>
      </c>
      <c r="AE242" s="32">
        <v>0.05</v>
      </c>
      <c r="AF242" s="32">
        <v>5.45E-2</v>
      </c>
      <c r="AG242" s="32">
        <v>0.26989999999999997</v>
      </c>
      <c r="AH242" s="32">
        <v>3.2915000000000001</v>
      </c>
      <c r="AI242" s="32">
        <v>16.036999999999999</v>
      </c>
    </row>
    <row r="244" spans="1:35" x14ac:dyDescent="0.25">
      <c r="A244" s="82" t="s">
        <v>621</v>
      </c>
      <c r="B244" s="82"/>
      <c r="C244" s="82"/>
    </row>
    <row r="245" spans="1:35" x14ac:dyDescent="0.25">
      <c r="A245" s="2" t="s">
        <v>622</v>
      </c>
      <c r="B245" s="2">
        <v>0</v>
      </c>
      <c r="C245" s="2">
        <v>14.749000000000001</v>
      </c>
      <c r="D245" s="2">
        <v>17.047999999999998</v>
      </c>
      <c r="E245" s="2">
        <v>0.32500000000000001</v>
      </c>
      <c r="F245" s="2">
        <v>50.29</v>
      </c>
      <c r="H245" s="2">
        <v>0</v>
      </c>
      <c r="I245" s="2">
        <v>0.46100000000000002</v>
      </c>
      <c r="J245" s="2">
        <v>0.53700000000000003</v>
      </c>
      <c r="K245" s="2">
        <v>0.186</v>
      </c>
      <c r="L245" s="2">
        <v>1.395</v>
      </c>
      <c r="M245" s="2">
        <v>15.157</v>
      </c>
      <c r="N245" s="2">
        <v>100.148</v>
      </c>
      <c r="P245" s="2">
        <f t="shared" ref="P245:P274" si="45">C245/(55.845+16)</f>
        <v>0.20528916417287216</v>
      </c>
      <c r="Q245" s="2">
        <f t="shared" ref="Q245:Q274" si="46">M245/(24.305+16)</f>
        <v>0.37605756109663813</v>
      </c>
      <c r="R245" s="2">
        <f t="shared" ref="R245:R274" si="47">D245/(40.078+16)</f>
        <v>0.30400513570384102</v>
      </c>
      <c r="S245" s="2">
        <f t="shared" ref="S245:S274" si="48">Q245/(P245+Q245)*100</f>
        <v>64.687310472472205</v>
      </c>
      <c r="T245" s="2">
        <f t="shared" ref="T245:T274" si="49">P245/(P245+R245+Q245)*100</f>
        <v>23.187296850223856</v>
      </c>
      <c r="U245" s="2">
        <f t="shared" ref="U245:U274" si="50">R245/(P245+R245+Q245)*100</f>
        <v>34.337210899361452</v>
      </c>
      <c r="V245" s="2">
        <f t="shared" ref="V245:V274" si="51">Q245/(P245+Q245+R245)*100</f>
        <v>42.475492250414696</v>
      </c>
      <c r="X245" s="2">
        <v>1.8746</v>
      </c>
      <c r="Y245" s="2">
        <v>2.7763</v>
      </c>
      <c r="Z245" s="2">
        <v>3.7199999999999997E-2</v>
      </c>
      <c r="AA245" s="2">
        <v>7.6432000000000002</v>
      </c>
      <c r="AC245" s="2">
        <v>0</v>
      </c>
      <c r="AD245" s="2">
        <v>5.5399999999999998E-2</v>
      </c>
      <c r="AE245" s="2">
        <v>6.9199999999999998E-2</v>
      </c>
      <c r="AF245" s="2">
        <v>5.4899999999999997E-2</v>
      </c>
      <c r="AG245" s="2">
        <v>0.24990000000000001</v>
      </c>
      <c r="AH245" s="2">
        <v>3.4339</v>
      </c>
      <c r="AI245" s="2">
        <v>16.194600000000001</v>
      </c>
    </row>
    <row r="246" spans="1:35" x14ac:dyDescent="0.25">
      <c r="A246" s="2" t="s">
        <v>623</v>
      </c>
      <c r="B246" s="2">
        <v>3</v>
      </c>
      <c r="C246" s="2">
        <v>14.648</v>
      </c>
      <c r="D246" s="2">
        <v>15.782999999999999</v>
      </c>
      <c r="E246" s="2">
        <v>0.33800000000000002</v>
      </c>
      <c r="F246" s="2">
        <v>51.677999999999997</v>
      </c>
      <c r="H246" s="2">
        <v>0.01</v>
      </c>
      <c r="I246" s="2">
        <v>0.51400000000000001</v>
      </c>
      <c r="J246" s="2">
        <v>0.47599999999999998</v>
      </c>
      <c r="K246" s="2">
        <v>0.17100000000000001</v>
      </c>
      <c r="L246" s="2">
        <v>1.4259999999999999</v>
      </c>
      <c r="M246" s="2">
        <v>15.157999999999999</v>
      </c>
      <c r="N246" s="2">
        <v>100.202</v>
      </c>
      <c r="P246" s="2">
        <f t="shared" si="45"/>
        <v>0.20388336001113508</v>
      </c>
      <c r="Q246" s="2">
        <f t="shared" si="46"/>
        <v>0.37608237191415456</v>
      </c>
      <c r="R246" s="2">
        <f t="shared" si="47"/>
        <v>0.2814472698741039</v>
      </c>
      <c r="S246" s="2">
        <f t="shared" si="48"/>
        <v>64.845619527500105</v>
      </c>
      <c r="T246" s="2">
        <f t="shared" si="49"/>
        <v>23.668479531333517</v>
      </c>
      <c r="U246" s="2">
        <f t="shared" si="50"/>
        <v>32.672744582005684</v>
      </c>
      <c r="V246" s="2">
        <f t="shared" si="51"/>
        <v>43.658775886660798</v>
      </c>
      <c r="X246" s="2">
        <v>1.8452999999999999</v>
      </c>
      <c r="Y246" s="2">
        <v>2.5474000000000001</v>
      </c>
      <c r="Z246" s="2">
        <v>3.8300000000000001E-2</v>
      </c>
      <c r="AA246" s="2">
        <v>7.7843999999999998</v>
      </c>
      <c r="AC246" s="2">
        <v>1.9E-3</v>
      </c>
      <c r="AD246" s="2">
        <v>6.1199999999999997E-2</v>
      </c>
      <c r="AE246" s="2">
        <v>6.0699999999999997E-2</v>
      </c>
      <c r="AF246" s="2">
        <v>4.9799999999999997E-2</v>
      </c>
      <c r="AG246" s="2">
        <v>0.25319999999999998</v>
      </c>
      <c r="AH246" s="2">
        <v>3.4037000000000002</v>
      </c>
      <c r="AI246" s="2">
        <v>16.0459</v>
      </c>
    </row>
    <row r="247" spans="1:35" x14ac:dyDescent="0.25">
      <c r="A247" s="2" t="s">
        <v>624</v>
      </c>
      <c r="B247" s="2">
        <v>6</v>
      </c>
      <c r="C247" s="2">
        <v>15.215</v>
      </c>
      <c r="D247" s="2">
        <v>16.010999999999999</v>
      </c>
      <c r="E247" s="2">
        <v>0.373</v>
      </c>
      <c r="F247" s="2">
        <v>51.49</v>
      </c>
      <c r="H247" s="2">
        <v>8.9999999999999993E-3</v>
      </c>
      <c r="I247" s="2">
        <v>0.47299999999999998</v>
      </c>
      <c r="J247" s="2">
        <v>0.54600000000000004</v>
      </c>
      <c r="K247" s="2">
        <v>0.13900000000000001</v>
      </c>
      <c r="L247" s="2">
        <v>1.425</v>
      </c>
      <c r="M247" s="2">
        <v>14.981999999999999</v>
      </c>
      <c r="N247" s="2">
        <v>100.663</v>
      </c>
      <c r="P247" s="2">
        <f t="shared" si="45"/>
        <v>0.21177534971118381</v>
      </c>
      <c r="Q247" s="2">
        <f t="shared" si="46"/>
        <v>0.3717156680312616</v>
      </c>
      <c r="R247" s="2">
        <f t="shared" si="47"/>
        <v>0.28551303541495771</v>
      </c>
      <c r="S247" s="2">
        <f t="shared" si="48"/>
        <v>63.705465333373468</v>
      </c>
      <c r="T247" s="2">
        <f t="shared" si="49"/>
        <v>24.36989205536247</v>
      </c>
      <c r="U247" s="2">
        <f t="shared" si="50"/>
        <v>32.855201811497494</v>
      </c>
      <c r="V247" s="2">
        <f t="shared" si="51"/>
        <v>42.77490613314005</v>
      </c>
      <c r="X247" s="2">
        <v>1.9155</v>
      </c>
      <c r="Y247" s="2">
        <v>2.5825</v>
      </c>
      <c r="Z247" s="2">
        <v>4.2200000000000001E-2</v>
      </c>
      <c r="AA247" s="2">
        <v>7.7507000000000001</v>
      </c>
      <c r="AC247" s="2">
        <v>1.6999999999999999E-3</v>
      </c>
      <c r="AD247" s="2">
        <v>5.6300000000000003E-2</v>
      </c>
      <c r="AE247" s="2">
        <v>6.9599999999999995E-2</v>
      </c>
      <c r="AF247" s="2">
        <v>4.0599999999999997E-2</v>
      </c>
      <c r="AG247" s="2">
        <v>0.25280000000000002</v>
      </c>
      <c r="AH247" s="2">
        <v>3.3618000000000001</v>
      </c>
      <c r="AI247" s="2">
        <v>16.073699999999999</v>
      </c>
    </row>
    <row r="248" spans="1:35" x14ac:dyDescent="0.25">
      <c r="A248" s="2" t="s">
        <v>625</v>
      </c>
      <c r="B248" s="2">
        <v>9</v>
      </c>
      <c r="C248" s="2">
        <v>15.113</v>
      </c>
      <c r="D248" s="2">
        <v>15.847</v>
      </c>
      <c r="E248" s="2">
        <v>0.41</v>
      </c>
      <c r="F248" s="2">
        <v>51.476999999999997</v>
      </c>
      <c r="H248" s="2">
        <v>5.0000000000000001E-3</v>
      </c>
      <c r="I248" s="2">
        <v>0.51900000000000002</v>
      </c>
      <c r="J248" s="2">
        <v>0.48499999999999999</v>
      </c>
      <c r="K248" s="2">
        <v>0.191</v>
      </c>
      <c r="L248" s="2">
        <v>1.4159999999999999</v>
      </c>
      <c r="M248" s="2">
        <v>15.04</v>
      </c>
      <c r="N248" s="2">
        <v>100.503</v>
      </c>
      <c r="P248" s="2">
        <f t="shared" si="45"/>
        <v>0.21035562669636021</v>
      </c>
      <c r="Q248" s="2">
        <f t="shared" si="46"/>
        <v>0.37315469544721497</v>
      </c>
      <c r="R248" s="2">
        <f t="shared" si="47"/>
        <v>0.28258853739434359</v>
      </c>
      <c r="S248" s="2">
        <f t="shared" si="48"/>
        <v>63.949973340042945</v>
      </c>
      <c r="T248" s="2">
        <f t="shared" si="49"/>
        <v>24.28771547033201</v>
      </c>
      <c r="U248" s="2">
        <f t="shared" si="50"/>
        <v>32.627746161114942</v>
      </c>
      <c r="V248" s="2">
        <f t="shared" si="51"/>
        <v>43.084538368553055</v>
      </c>
      <c r="X248" s="2">
        <v>1.9038999999999999</v>
      </c>
      <c r="Y248" s="2">
        <v>2.5577999999999999</v>
      </c>
      <c r="Z248" s="2">
        <v>4.6399999999999997E-2</v>
      </c>
      <c r="AA248" s="2">
        <v>7.7541000000000002</v>
      </c>
      <c r="AC248" s="2">
        <v>1E-3</v>
      </c>
      <c r="AD248" s="2">
        <v>6.1800000000000001E-2</v>
      </c>
      <c r="AE248" s="2">
        <v>6.1899999999999997E-2</v>
      </c>
      <c r="AF248" s="2">
        <v>5.5599999999999997E-2</v>
      </c>
      <c r="AG248" s="2">
        <v>0.25140000000000001</v>
      </c>
      <c r="AH248" s="2">
        <v>3.3772000000000002</v>
      </c>
      <c r="AI248" s="2">
        <v>16.071100000000001</v>
      </c>
    </row>
    <row r="249" spans="1:35" x14ac:dyDescent="0.25">
      <c r="A249" s="2" t="s">
        <v>626</v>
      </c>
      <c r="B249" s="2">
        <v>12</v>
      </c>
      <c r="C249" s="2">
        <v>14.840999999999999</v>
      </c>
      <c r="D249" s="2">
        <v>16.175000000000001</v>
      </c>
      <c r="E249" s="2">
        <v>0.34499999999999997</v>
      </c>
      <c r="F249" s="2">
        <v>51.396000000000001</v>
      </c>
      <c r="H249" s="2">
        <v>0</v>
      </c>
      <c r="I249" s="2">
        <v>0.45</v>
      </c>
      <c r="J249" s="2">
        <v>0.46600000000000003</v>
      </c>
      <c r="K249" s="2">
        <v>0.20100000000000001</v>
      </c>
      <c r="L249" s="2">
        <v>1.4419999999999999</v>
      </c>
      <c r="M249" s="2">
        <v>14.76</v>
      </c>
      <c r="N249" s="2">
        <v>100.07599999999999</v>
      </c>
      <c r="P249" s="2">
        <f t="shared" si="45"/>
        <v>0.20656969865683067</v>
      </c>
      <c r="Q249" s="2">
        <f t="shared" si="46"/>
        <v>0.36620766654261255</v>
      </c>
      <c r="R249" s="2">
        <f t="shared" si="47"/>
        <v>0.28843753343557188</v>
      </c>
      <c r="S249" s="2">
        <f t="shared" si="48"/>
        <v>63.935429154938348</v>
      </c>
      <c r="T249" s="2">
        <f t="shared" si="49"/>
        <v>23.985848245801815</v>
      </c>
      <c r="U249" s="2">
        <f t="shared" si="50"/>
        <v>33.491934927360376</v>
      </c>
      <c r="V249" s="2">
        <f t="shared" si="51"/>
        <v>42.522216826837806</v>
      </c>
      <c r="X249" s="2">
        <v>1.8767</v>
      </c>
      <c r="Y249" s="2">
        <v>2.6206</v>
      </c>
      <c r="Z249" s="2">
        <v>3.9300000000000002E-2</v>
      </c>
      <c r="AA249" s="2">
        <v>7.7710999999999997</v>
      </c>
      <c r="AC249" s="2">
        <v>0</v>
      </c>
      <c r="AD249" s="2">
        <v>5.3699999999999998E-2</v>
      </c>
      <c r="AE249" s="2">
        <v>5.9700000000000003E-2</v>
      </c>
      <c r="AF249" s="2">
        <v>5.91E-2</v>
      </c>
      <c r="AG249" s="2">
        <v>0.25690000000000002</v>
      </c>
      <c r="AH249" s="2">
        <v>3.3268</v>
      </c>
      <c r="AI249" s="2">
        <v>16.0639</v>
      </c>
    </row>
    <row r="250" spans="1:35" x14ac:dyDescent="0.25">
      <c r="A250" s="2" t="s">
        <v>627</v>
      </c>
      <c r="B250" s="2">
        <v>15</v>
      </c>
      <c r="C250" s="2">
        <v>15.019</v>
      </c>
      <c r="D250" s="2">
        <v>16.677</v>
      </c>
      <c r="E250" s="2">
        <v>0.27500000000000002</v>
      </c>
      <c r="F250" s="2">
        <v>50.186999999999998</v>
      </c>
      <c r="H250" s="2">
        <v>2.7E-2</v>
      </c>
      <c r="I250" s="2">
        <v>0.48099999999999998</v>
      </c>
      <c r="J250" s="2">
        <v>0.48699999999999999</v>
      </c>
      <c r="K250" s="2">
        <v>0.17199999999999999</v>
      </c>
      <c r="L250" s="2">
        <v>1.5009999999999999</v>
      </c>
      <c r="M250" s="2">
        <v>14.321999999999999</v>
      </c>
      <c r="N250" s="2">
        <v>99.147999999999996</v>
      </c>
      <c r="P250" s="2">
        <f t="shared" si="45"/>
        <v>0.20904725450622869</v>
      </c>
      <c r="Q250" s="2">
        <f t="shared" si="46"/>
        <v>0.35534052847041309</v>
      </c>
      <c r="R250" s="2">
        <f t="shared" si="47"/>
        <v>0.29738935054745175</v>
      </c>
      <c r="S250" s="2">
        <f t="shared" si="48"/>
        <v>62.960350877247741</v>
      </c>
      <c r="T250" s="2">
        <f t="shared" si="49"/>
        <v>24.257693361085703</v>
      </c>
      <c r="U250" s="2">
        <f t="shared" si="50"/>
        <v>34.50884677472559</v>
      </c>
      <c r="V250" s="2">
        <f t="shared" si="51"/>
        <v>41.233459864188717</v>
      </c>
      <c r="X250" s="2">
        <v>1.9277</v>
      </c>
      <c r="Y250" s="2">
        <v>2.7423000000000002</v>
      </c>
      <c r="Z250" s="2">
        <v>3.1699999999999999E-2</v>
      </c>
      <c r="AA250" s="2">
        <v>7.7019000000000002</v>
      </c>
      <c r="AC250" s="2">
        <v>5.4000000000000003E-3</v>
      </c>
      <c r="AD250" s="2">
        <v>5.8400000000000001E-2</v>
      </c>
      <c r="AE250" s="2">
        <v>6.3299999999999995E-2</v>
      </c>
      <c r="AF250" s="2">
        <v>5.11E-2</v>
      </c>
      <c r="AG250" s="2">
        <v>0.27139999999999997</v>
      </c>
      <c r="AH250" s="2">
        <v>3.2765</v>
      </c>
      <c r="AI250" s="2">
        <v>16.1297</v>
      </c>
    </row>
    <row r="251" spans="1:35" x14ac:dyDescent="0.25">
      <c r="A251" s="2" t="s">
        <v>628</v>
      </c>
      <c r="B251" s="2">
        <v>18</v>
      </c>
      <c r="C251" s="2">
        <v>15.776</v>
      </c>
      <c r="D251" s="2">
        <v>15.387</v>
      </c>
      <c r="E251" s="2">
        <v>0.30299999999999999</v>
      </c>
      <c r="F251" s="2">
        <v>51.198</v>
      </c>
      <c r="H251" s="2">
        <v>1.9E-2</v>
      </c>
      <c r="I251" s="2">
        <v>0.45600000000000002</v>
      </c>
      <c r="J251" s="2">
        <v>0.53400000000000003</v>
      </c>
      <c r="K251" s="2">
        <v>0.14799999999999999</v>
      </c>
      <c r="L251" s="2">
        <v>1.4510000000000001</v>
      </c>
      <c r="M251" s="2">
        <v>14.911</v>
      </c>
      <c r="N251" s="2">
        <v>100.18300000000001</v>
      </c>
      <c r="P251" s="2">
        <f t="shared" si="45"/>
        <v>0.21958382629271347</v>
      </c>
      <c r="Q251" s="2">
        <f t="shared" si="46"/>
        <v>0.3699540999875946</v>
      </c>
      <c r="R251" s="2">
        <f t="shared" si="47"/>
        <v>0.27438567709262096</v>
      </c>
      <c r="S251" s="2">
        <f t="shared" si="48"/>
        <v>62.753231555740861</v>
      </c>
      <c r="T251" s="2">
        <f t="shared" si="49"/>
        <v>25.417042136065586</v>
      </c>
      <c r="U251" s="2">
        <f t="shared" si="50"/>
        <v>31.760409835009124</v>
      </c>
      <c r="V251" s="2">
        <f t="shared" si="51"/>
        <v>42.822548028925297</v>
      </c>
      <c r="X251" s="2">
        <v>1.9982</v>
      </c>
      <c r="Y251" s="2">
        <v>2.4969000000000001</v>
      </c>
      <c r="Z251" s="2">
        <v>3.4500000000000003E-2</v>
      </c>
      <c r="AA251" s="2">
        <v>7.7535999999999996</v>
      </c>
      <c r="AC251" s="2">
        <v>3.7000000000000002E-3</v>
      </c>
      <c r="AD251" s="2">
        <v>5.4699999999999999E-2</v>
      </c>
      <c r="AE251" s="2">
        <v>6.8500000000000005E-2</v>
      </c>
      <c r="AF251" s="2">
        <v>4.3499999999999997E-2</v>
      </c>
      <c r="AG251" s="2">
        <v>0.25900000000000001</v>
      </c>
      <c r="AH251" s="2">
        <v>3.3662000000000001</v>
      </c>
      <c r="AI251" s="2">
        <v>16.078800000000001</v>
      </c>
    </row>
    <row r="252" spans="1:35" x14ac:dyDescent="0.25">
      <c r="A252" s="2" t="s">
        <v>629</v>
      </c>
      <c r="B252" s="2">
        <v>21</v>
      </c>
      <c r="C252" s="2">
        <v>16.192</v>
      </c>
      <c r="D252" s="2">
        <v>15.8</v>
      </c>
      <c r="E252" s="2">
        <v>0.29199999999999998</v>
      </c>
      <c r="F252" s="2">
        <v>51.216000000000001</v>
      </c>
      <c r="H252" s="2">
        <v>0</v>
      </c>
      <c r="I252" s="2">
        <v>0.46</v>
      </c>
      <c r="J252" s="2">
        <v>0.49</v>
      </c>
      <c r="K252" s="2">
        <v>0.19600000000000001</v>
      </c>
      <c r="L252" s="2">
        <v>1.3779999999999999</v>
      </c>
      <c r="M252" s="2">
        <v>14.242000000000001</v>
      </c>
      <c r="N252" s="2">
        <v>100.26600000000001</v>
      </c>
      <c r="P252" s="2">
        <f t="shared" si="45"/>
        <v>0.22537406917669986</v>
      </c>
      <c r="Q252" s="2">
        <f t="shared" si="46"/>
        <v>0.35335566306909816</v>
      </c>
      <c r="R252" s="2">
        <f t="shared" si="47"/>
        <v>0.28175041905916759</v>
      </c>
      <c r="S252" s="2">
        <f t="shared" si="48"/>
        <v>61.057112393012659</v>
      </c>
      <c r="T252" s="2">
        <f t="shared" si="49"/>
        <v>26.191663902404684</v>
      </c>
      <c r="U252" s="2">
        <f t="shared" si="50"/>
        <v>32.743395490515098</v>
      </c>
      <c r="V252" s="2">
        <f t="shared" si="51"/>
        <v>41.064940607080224</v>
      </c>
      <c r="X252" s="2">
        <v>2.0548000000000002</v>
      </c>
      <c r="Y252" s="2">
        <v>2.5691000000000002</v>
      </c>
      <c r="Z252" s="2">
        <v>3.3300000000000003E-2</v>
      </c>
      <c r="AA252" s="2">
        <v>7.7717000000000001</v>
      </c>
      <c r="AC252" s="2">
        <v>0</v>
      </c>
      <c r="AD252" s="2">
        <v>5.5199999999999999E-2</v>
      </c>
      <c r="AE252" s="2">
        <v>6.3E-2</v>
      </c>
      <c r="AF252" s="2">
        <v>5.7799999999999997E-2</v>
      </c>
      <c r="AG252" s="2">
        <v>0.2465</v>
      </c>
      <c r="AH252" s="2">
        <v>3.2216999999999998</v>
      </c>
      <c r="AI252" s="2">
        <v>16.0731</v>
      </c>
    </row>
    <row r="253" spans="1:35" x14ac:dyDescent="0.25">
      <c r="A253" s="2" t="s">
        <v>630</v>
      </c>
      <c r="B253" s="2">
        <v>24</v>
      </c>
      <c r="C253" s="2">
        <v>18.178999999999998</v>
      </c>
      <c r="D253" s="2">
        <v>14.356999999999999</v>
      </c>
      <c r="E253" s="2">
        <v>0.30199999999999999</v>
      </c>
      <c r="F253" s="2">
        <v>50.798000000000002</v>
      </c>
      <c r="H253" s="2">
        <v>2E-3</v>
      </c>
      <c r="I253" s="2">
        <v>0.4</v>
      </c>
      <c r="J253" s="2">
        <v>0.53700000000000003</v>
      </c>
      <c r="K253" s="2">
        <v>0.11600000000000001</v>
      </c>
      <c r="L253" s="2">
        <v>1.3089999999999999</v>
      </c>
      <c r="M253" s="2">
        <v>14.414999999999999</v>
      </c>
      <c r="N253" s="2">
        <v>100.41500000000001</v>
      </c>
      <c r="P253" s="2">
        <f t="shared" si="45"/>
        <v>0.25303083025958661</v>
      </c>
      <c r="Q253" s="2">
        <f t="shared" si="46"/>
        <v>0.35764793449944171</v>
      </c>
      <c r="R253" s="2">
        <f t="shared" si="47"/>
        <v>0.25601840293876382</v>
      </c>
      <c r="S253" s="2">
        <f t="shared" si="48"/>
        <v>58.565641240295676</v>
      </c>
      <c r="T253" s="2">
        <f t="shared" si="49"/>
        <v>29.194837561510955</v>
      </c>
      <c r="U253" s="2">
        <f t="shared" si="50"/>
        <v>29.539545354558566</v>
      </c>
      <c r="V253" s="2">
        <f t="shared" si="51"/>
        <v>41.265617083930479</v>
      </c>
      <c r="X253" s="2">
        <v>2.3170000000000002</v>
      </c>
      <c r="Y253" s="2">
        <v>2.3445</v>
      </c>
      <c r="Z253" s="2">
        <v>3.4599999999999999E-2</v>
      </c>
      <c r="AA253" s="2">
        <v>7.7413999999999996</v>
      </c>
      <c r="AC253" s="2">
        <v>2.9999999999999997E-4</v>
      </c>
      <c r="AD253" s="2">
        <v>4.82E-2</v>
      </c>
      <c r="AE253" s="2">
        <v>6.93E-2</v>
      </c>
      <c r="AF253" s="2">
        <v>3.4299999999999997E-2</v>
      </c>
      <c r="AG253" s="2">
        <v>0.2351</v>
      </c>
      <c r="AH253" s="2">
        <v>3.2747999999999999</v>
      </c>
      <c r="AI253" s="2">
        <v>16.099499999999999</v>
      </c>
    </row>
    <row r="254" spans="1:35" x14ac:dyDescent="0.25">
      <c r="A254" s="2" t="s">
        <v>631</v>
      </c>
      <c r="B254" s="2">
        <v>27</v>
      </c>
      <c r="C254" s="2">
        <v>18.193999999999999</v>
      </c>
      <c r="D254" s="2">
        <v>14.404999999999999</v>
      </c>
      <c r="E254" s="2">
        <v>0.36699999999999999</v>
      </c>
      <c r="F254" s="2">
        <v>51.006999999999998</v>
      </c>
      <c r="H254" s="2">
        <v>3.5999999999999997E-2</v>
      </c>
      <c r="I254" s="2">
        <v>0.35499999999999998</v>
      </c>
      <c r="J254" s="2">
        <v>0.52400000000000002</v>
      </c>
      <c r="K254" s="2">
        <v>0.14899999999999999</v>
      </c>
      <c r="L254" s="2">
        <v>1.3620000000000001</v>
      </c>
      <c r="M254" s="2">
        <v>14.069000000000001</v>
      </c>
      <c r="N254" s="2">
        <v>100.468</v>
      </c>
      <c r="P254" s="2">
        <f t="shared" si="45"/>
        <v>0.25323961305588416</v>
      </c>
      <c r="Q254" s="2">
        <f t="shared" si="46"/>
        <v>0.34906339163875449</v>
      </c>
      <c r="R254" s="2">
        <f t="shared" si="47"/>
        <v>0.25687435357894361</v>
      </c>
      <c r="S254" s="2">
        <f t="shared" si="48"/>
        <v>57.954781715845158</v>
      </c>
      <c r="T254" s="2">
        <f t="shared" si="49"/>
        <v>29.474660920387841</v>
      </c>
      <c r="U254" s="2">
        <f t="shared" si="50"/>
        <v>29.897709838990984</v>
      </c>
      <c r="V254" s="2">
        <f t="shared" si="51"/>
        <v>40.627629240621175</v>
      </c>
      <c r="X254" s="2">
        <v>2.3168000000000002</v>
      </c>
      <c r="Y254" s="2">
        <v>2.3500999999999999</v>
      </c>
      <c r="Z254" s="2">
        <v>4.2000000000000003E-2</v>
      </c>
      <c r="AA254" s="2">
        <v>7.7660999999999998</v>
      </c>
      <c r="AC254" s="2">
        <v>7.1000000000000004E-3</v>
      </c>
      <c r="AD254" s="2">
        <v>4.2700000000000002E-2</v>
      </c>
      <c r="AE254" s="2">
        <v>6.7599999999999993E-2</v>
      </c>
      <c r="AF254" s="2">
        <v>4.3999999999999997E-2</v>
      </c>
      <c r="AG254" s="2">
        <v>0.2445</v>
      </c>
      <c r="AH254" s="2">
        <v>3.1932</v>
      </c>
      <c r="AI254" s="2">
        <v>16.074100000000001</v>
      </c>
    </row>
    <row r="255" spans="1:35" x14ac:dyDescent="0.25">
      <c r="A255" s="2" t="s">
        <v>632</v>
      </c>
      <c r="B255" s="2">
        <v>30</v>
      </c>
      <c r="C255" s="2">
        <v>17.420999999999999</v>
      </c>
      <c r="D255" s="2">
        <v>15.693</v>
      </c>
      <c r="E255" s="2">
        <v>0.41099999999999998</v>
      </c>
      <c r="F255" s="2">
        <v>50.935000000000002</v>
      </c>
      <c r="H255" s="2">
        <v>2E-3</v>
      </c>
      <c r="I255" s="2">
        <v>0.35499999999999998</v>
      </c>
      <c r="J255" s="2">
        <v>0.53700000000000003</v>
      </c>
      <c r="K255" s="2">
        <v>0.17399999999999999</v>
      </c>
      <c r="L255" s="2">
        <v>1.4630000000000001</v>
      </c>
      <c r="M255" s="2">
        <v>13.805999999999999</v>
      </c>
      <c r="N255" s="2">
        <v>100.797</v>
      </c>
      <c r="P255" s="2">
        <f t="shared" si="45"/>
        <v>0.24248033962001531</v>
      </c>
      <c r="Q255" s="2">
        <f t="shared" si="46"/>
        <v>0.34253814663193149</v>
      </c>
      <c r="R255" s="2">
        <f t="shared" si="47"/>
        <v>0.27984236242376687</v>
      </c>
      <c r="S255" s="2">
        <f t="shared" si="48"/>
        <v>58.551679080515825</v>
      </c>
      <c r="T255" s="2">
        <f t="shared" si="49"/>
        <v>28.036919464131643</v>
      </c>
      <c r="U255" s="2">
        <f t="shared" si="50"/>
        <v>32.35692341169856</v>
      </c>
      <c r="V255" s="2">
        <f t="shared" si="51"/>
        <v>39.606157124169798</v>
      </c>
      <c r="X255" s="2">
        <v>2.2119</v>
      </c>
      <c r="Y255" s="2">
        <v>2.5528</v>
      </c>
      <c r="Z255" s="2">
        <v>4.6899999999999997E-2</v>
      </c>
      <c r="AA255" s="2">
        <v>7.7327000000000004</v>
      </c>
      <c r="AC255" s="2">
        <v>2.9999999999999997E-4</v>
      </c>
      <c r="AD255" s="2">
        <v>4.2599999999999999E-2</v>
      </c>
      <c r="AE255" s="2">
        <v>6.9099999999999995E-2</v>
      </c>
      <c r="AF255" s="2">
        <v>5.1200000000000002E-2</v>
      </c>
      <c r="AG255" s="2">
        <v>0.26190000000000002</v>
      </c>
      <c r="AH255" s="2">
        <v>3.1244999999999998</v>
      </c>
      <c r="AI255" s="2">
        <v>16.093900000000001</v>
      </c>
    </row>
    <row r="256" spans="1:35" x14ac:dyDescent="0.25">
      <c r="A256" s="2" t="s">
        <v>633</v>
      </c>
      <c r="B256" s="2">
        <v>33</v>
      </c>
      <c r="C256" s="2">
        <v>18.783999999999999</v>
      </c>
      <c r="D256" s="2">
        <v>14.932</v>
      </c>
      <c r="E256" s="2">
        <v>0.46700000000000003</v>
      </c>
      <c r="F256" s="2">
        <v>51.206000000000003</v>
      </c>
      <c r="H256" s="2">
        <v>2E-3</v>
      </c>
      <c r="I256" s="2">
        <v>0.215</v>
      </c>
      <c r="J256" s="2">
        <v>0.51800000000000002</v>
      </c>
      <c r="K256" s="2">
        <v>0.154</v>
      </c>
      <c r="L256" s="2">
        <v>1.141</v>
      </c>
      <c r="M256" s="2">
        <v>13.606</v>
      </c>
      <c r="N256" s="2">
        <v>101.02500000000001</v>
      </c>
      <c r="P256" s="2">
        <f t="shared" si="45"/>
        <v>0.26145173637692254</v>
      </c>
      <c r="Q256" s="2">
        <f t="shared" si="46"/>
        <v>0.33757598312864406</v>
      </c>
      <c r="R256" s="2">
        <f t="shared" si="47"/>
        <v>0.26627197831591709</v>
      </c>
      <c r="S256" s="2">
        <f t="shared" si="48"/>
        <v>56.353983653256797</v>
      </c>
      <c r="T256" s="2">
        <f t="shared" si="49"/>
        <v>30.215165570398884</v>
      </c>
      <c r="U256" s="2">
        <f t="shared" si="50"/>
        <v>30.772225968215988</v>
      </c>
      <c r="V256" s="2">
        <f t="shared" si="51"/>
        <v>39.012608461385121</v>
      </c>
      <c r="X256" s="2">
        <v>2.3868</v>
      </c>
      <c r="Y256" s="2">
        <v>2.4308000000000001</v>
      </c>
      <c r="Z256" s="2">
        <v>5.3400000000000003E-2</v>
      </c>
      <c r="AA256" s="2">
        <v>7.7797000000000001</v>
      </c>
      <c r="AC256" s="2">
        <v>5.0000000000000001E-4</v>
      </c>
      <c r="AD256" s="2">
        <v>2.58E-2</v>
      </c>
      <c r="AE256" s="2">
        <v>6.6699999999999995E-2</v>
      </c>
      <c r="AF256" s="2">
        <v>4.53E-2</v>
      </c>
      <c r="AG256" s="2">
        <v>0.20430000000000001</v>
      </c>
      <c r="AH256" s="2">
        <v>3.0813999999999999</v>
      </c>
      <c r="AI256" s="2">
        <v>16.0747</v>
      </c>
    </row>
    <row r="257" spans="1:35" x14ac:dyDescent="0.25">
      <c r="A257" s="2" t="s">
        <v>634</v>
      </c>
      <c r="B257" s="2">
        <v>36</v>
      </c>
      <c r="C257" s="2">
        <v>19.949000000000002</v>
      </c>
      <c r="D257" s="2">
        <v>14.098000000000001</v>
      </c>
      <c r="E257" s="2">
        <v>0.435</v>
      </c>
      <c r="F257" s="2">
        <v>51.076000000000001</v>
      </c>
      <c r="H257" s="2">
        <v>0</v>
      </c>
      <c r="I257" s="2">
        <v>0.245</v>
      </c>
      <c r="J257" s="2">
        <v>0.55300000000000005</v>
      </c>
      <c r="K257" s="2">
        <v>0.14599999999999999</v>
      </c>
      <c r="L257" s="2">
        <v>1.127</v>
      </c>
      <c r="M257" s="2">
        <v>13.268000000000001</v>
      </c>
      <c r="N257" s="2">
        <v>100.89700000000001</v>
      </c>
      <c r="P257" s="2">
        <f t="shared" si="45"/>
        <v>0.27766720022270169</v>
      </c>
      <c r="Q257" s="2">
        <f t="shared" si="46"/>
        <v>0.32918992680808834</v>
      </c>
      <c r="R257" s="2">
        <f t="shared" si="47"/>
        <v>0.25139983594279397</v>
      </c>
      <c r="S257" s="2">
        <f t="shared" si="48"/>
        <v>54.245045851028827</v>
      </c>
      <c r="T257" s="2">
        <f t="shared" si="49"/>
        <v>32.352455290391617</v>
      </c>
      <c r="U257" s="2">
        <f t="shared" si="50"/>
        <v>29.291907527528178</v>
      </c>
      <c r="V257" s="2">
        <f t="shared" si="51"/>
        <v>38.355637182080201</v>
      </c>
      <c r="X257" s="2">
        <v>2.5461</v>
      </c>
      <c r="Y257" s="2">
        <v>2.3052999999999999</v>
      </c>
      <c r="Z257" s="2">
        <v>4.99E-2</v>
      </c>
      <c r="AA257" s="2">
        <v>7.7944000000000004</v>
      </c>
      <c r="AC257" s="2">
        <v>0</v>
      </c>
      <c r="AD257" s="2">
        <v>2.9600000000000001E-2</v>
      </c>
      <c r="AE257" s="2">
        <v>7.1499999999999994E-2</v>
      </c>
      <c r="AF257" s="2">
        <v>4.3299999999999998E-2</v>
      </c>
      <c r="AG257" s="2">
        <v>0.20269999999999999</v>
      </c>
      <c r="AH257" s="2">
        <v>3.0183</v>
      </c>
      <c r="AI257" s="2">
        <v>16.0611</v>
      </c>
    </row>
    <row r="258" spans="1:35" x14ac:dyDescent="0.25">
      <c r="A258" s="2" t="s">
        <v>635</v>
      </c>
      <c r="B258" s="2">
        <v>39</v>
      </c>
      <c r="C258" s="2">
        <v>19.561</v>
      </c>
      <c r="D258" s="2">
        <v>15.066000000000001</v>
      </c>
      <c r="E258" s="2">
        <v>0.45100000000000001</v>
      </c>
      <c r="F258" s="2">
        <v>50.698999999999998</v>
      </c>
      <c r="H258" s="2">
        <v>1.2999999999999999E-2</v>
      </c>
      <c r="I258" s="2">
        <v>0.23499999999999999</v>
      </c>
      <c r="J258" s="2">
        <v>0.53700000000000003</v>
      </c>
      <c r="K258" s="2">
        <v>0.14899999999999999</v>
      </c>
      <c r="L258" s="2">
        <v>1.2290000000000001</v>
      </c>
      <c r="M258" s="2">
        <v>12.676</v>
      </c>
      <c r="N258" s="2">
        <v>100.616</v>
      </c>
      <c r="P258" s="2">
        <f t="shared" si="45"/>
        <v>0.27226668522513747</v>
      </c>
      <c r="Q258" s="2">
        <f t="shared" si="46"/>
        <v>0.31450192283835754</v>
      </c>
      <c r="R258" s="2">
        <f t="shared" si="47"/>
        <v>0.2686615071864189</v>
      </c>
      <c r="S258" s="2">
        <f t="shared" si="48"/>
        <v>53.598968744477347</v>
      </c>
      <c r="T258" s="2">
        <f t="shared" si="49"/>
        <v>31.828045374062469</v>
      </c>
      <c r="U258" s="2">
        <f t="shared" si="50"/>
        <v>31.406599136146784</v>
      </c>
      <c r="V258" s="2">
        <f t="shared" si="51"/>
        <v>36.76535548979075</v>
      </c>
      <c r="X258" s="2">
        <v>2.5082</v>
      </c>
      <c r="Y258" s="2">
        <v>2.4752000000000001</v>
      </c>
      <c r="Z258" s="2">
        <v>5.1999999999999998E-2</v>
      </c>
      <c r="AA258" s="2">
        <v>7.7732999999999999</v>
      </c>
      <c r="AC258" s="2">
        <v>2.5999999999999999E-3</v>
      </c>
      <c r="AD258" s="2">
        <v>2.8500000000000001E-2</v>
      </c>
      <c r="AE258" s="2">
        <v>6.9800000000000001E-2</v>
      </c>
      <c r="AF258" s="2">
        <v>4.4400000000000002E-2</v>
      </c>
      <c r="AG258" s="2">
        <v>0.222</v>
      </c>
      <c r="AH258" s="2">
        <v>2.8971</v>
      </c>
      <c r="AI258" s="2">
        <v>16.0731</v>
      </c>
    </row>
    <row r="259" spans="1:35" x14ac:dyDescent="0.25">
      <c r="A259" s="2" t="s">
        <v>636</v>
      </c>
      <c r="B259" s="2">
        <v>42</v>
      </c>
      <c r="C259" s="2">
        <v>21.009</v>
      </c>
      <c r="D259" s="2">
        <v>14.103</v>
      </c>
      <c r="E259" s="2">
        <v>0.45500000000000002</v>
      </c>
      <c r="F259" s="2">
        <v>50.421999999999997</v>
      </c>
      <c r="H259" s="2">
        <v>1.2E-2</v>
      </c>
      <c r="I259" s="2">
        <v>0.20699999999999999</v>
      </c>
      <c r="J259" s="2">
        <v>0.58699999999999997</v>
      </c>
      <c r="K259" s="2">
        <v>0.10299999999999999</v>
      </c>
      <c r="L259" s="2">
        <v>1.163</v>
      </c>
      <c r="M259" s="2">
        <v>12.541</v>
      </c>
      <c r="N259" s="2">
        <v>100.602</v>
      </c>
      <c r="P259" s="2">
        <f t="shared" si="45"/>
        <v>0.29242118449439769</v>
      </c>
      <c r="Q259" s="2">
        <f t="shared" si="46"/>
        <v>0.31115246247363854</v>
      </c>
      <c r="R259" s="2">
        <f t="shared" si="47"/>
        <v>0.25148899746781267</v>
      </c>
      <c r="S259" s="2">
        <f t="shared" si="48"/>
        <v>51.551697798051222</v>
      </c>
      <c r="T259" s="2">
        <f t="shared" si="49"/>
        <v>34.198802438309137</v>
      </c>
      <c r="U259" s="2">
        <f t="shared" si="50"/>
        <v>29.411762881272807</v>
      </c>
      <c r="V259" s="2">
        <f t="shared" si="51"/>
        <v>36.389434680418056</v>
      </c>
      <c r="X259" s="2">
        <v>2.7063999999999999</v>
      </c>
      <c r="Y259" s="2">
        <v>2.3275999999999999</v>
      </c>
      <c r="Z259" s="2">
        <v>5.2699999999999997E-2</v>
      </c>
      <c r="AA259" s="2">
        <v>7.7666000000000004</v>
      </c>
      <c r="AC259" s="2">
        <v>2.3E-3</v>
      </c>
      <c r="AD259" s="2">
        <v>2.52E-2</v>
      </c>
      <c r="AE259" s="2">
        <v>7.6499999999999999E-2</v>
      </c>
      <c r="AF259" s="2">
        <v>3.0700000000000002E-2</v>
      </c>
      <c r="AG259" s="2">
        <v>0.2112</v>
      </c>
      <c r="AH259" s="2">
        <v>2.8797000000000001</v>
      </c>
      <c r="AI259" s="2">
        <v>16.078900000000001</v>
      </c>
    </row>
    <row r="260" spans="1:35" x14ac:dyDescent="0.25">
      <c r="A260" s="2" t="s">
        <v>637</v>
      </c>
      <c r="B260" s="2">
        <v>45</v>
      </c>
      <c r="C260" s="2">
        <v>21.646999999999998</v>
      </c>
      <c r="D260" s="2">
        <v>13.875</v>
      </c>
      <c r="E260" s="2">
        <v>0.48699999999999999</v>
      </c>
      <c r="F260" s="2">
        <v>50.448</v>
      </c>
      <c r="H260" s="2">
        <v>0</v>
      </c>
      <c r="I260" s="2">
        <v>0.19500000000000001</v>
      </c>
      <c r="J260" s="2">
        <v>0.60299999999999998</v>
      </c>
      <c r="K260" s="2">
        <v>0.16400000000000001</v>
      </c>
      <c r="L260" s="2">
        <v>1.1160000000000001</v>
      </c>
      <c r="M260" s="2">
        <v>12.353999999999999</v>
      </c>
      <c r="N260" s="2">
        <v>100.889</v>
      </c>
      <c r="P260" s="2">
        <f t="shared" si="45"/>
        <v>0.30130141276358824</v>
      </c>
      <c r="Q260" s="2">
        <f t="shared" si="46"/>
        <v>0.30651283959806475</v>
      </c>
      <c r="R260" s="2">
        <f t="shared" si="47"/>
        <v>0.24742323192695886</v>
      </c>
      <c r="S260" s="2">
        <f t="shared" si="48"/>
        <v>50.428702256834846</v>
      </c>
      <c r="T260" s="2">
        <f t="shared" si="49"/>
        <v>35.230145813149349</v>
      </c>
      <c r="U260" s="2">
        <f t="shared" si="50"/>
        <v>28.930354021230247</v>
      </c>
      <c r="V260" s="2">
        <f t="shared" si="51"/>
        <v>35.839500165620393</v>
      </c>
      <c r="X260" s="2">
        <v>2.7871999999999999</v>
      </c>
      <c r="Y260" s="2">
        <v>2.2888999999999999</v>
      </c>
      <c r="Z260" s="2">
        <v>5.6399999999999999E-2</v>
      </c>
      <c r="AA260" s="2">
        <v>7.7666000000000004</v>
      </c>
      <c r="AC260" s="2">
        <v>0</v>
      </c>
      <c r="AD260" s="2">
        <v>2.3699999999999999E-2</v>
      </c>
      <c r="AE260" s="2">
        <v>7.8600000000000003E-2</v>
      </c>
      <c r="AF260" s="2">
        <v>4.9099999999999998E-2</v>
      </c>
      <c r="AG260" s="2">
        <v>0.2026</v>
      </c>
      <c r="AH260" s="2">
        <v>2.8353000000000002</v>
      </c>
      <c r="AI260" s="2">
        <v>16.0884</v>
      </c>
    </row>
    <row r="261" spans="1:35" x14ac:dyDescent="0.25">
      <c r="A261" s="2" t="s">
        <v>638</v>
      </c>
      <c r="B261" s="2">
        <v>48</v>
      </c>
      <c r="C261" s="2">
        <v>21.739000000000001</v>
      </c>
      <c r="D261" s="2">
        <v>14.173999999999999</v>
      </c>
      <c r="E261" s="2">
        <v>0.51</v>
      </c>
      <c r="F261" s="2">
        <v>50.542999999999999</v>
      </c>
      <c r="H261" s="2">
        <v>1E-3</v>
      </c>
      <c r="I261" s="2">
        <v>0.24199999999999999</v>
      </c>
      <c r="J261" s="2">
        <v>0.67400000000000004</v>
      </c>
      <c r="K261" s="2">
        <v>0.16900000000000001</v>
      </c>
      <c r="L261" s="2">
        <v>1.143</v>
      </c>
      <c r="M261" s="2">
        <v>12.141999999999999</v>
      </c>
      <c r="N261" s="2">
        <v>101.337</v>
      </c>
      <c r="P261" s="2">
        <f t="shared" si="45"/>
        <v>0.30258194724754683</v>
      </c>
      <c r="Q261" s="2">
        <f t="shared" si="46"/>
        <v>0.30125294628458005</v>
      </c>
      <c r="R261" s="2">
        <f t="shared" si="47"/>
        <v>0.25275509112307853</v>
      </c>
      <c r="S261" s="2">
        <f t="shared" si="48"/>
        <v>49.889953282163532</v>
      </c>
      <c r="T261" s="2">
        <f t="shared" si="49"/>
        <v>35.324011798870394</v>
      </c>
      <c r="U261" s="2">
        <f t="shared" si="50"/>
        <v>29.507126589253492</v>
      </c>
      <c r="V261" s="2">
        <f t="shared" si="51"/>
        <v>35.168861611876117</v>
      </c>
      <c r="X261" s="2">
        <v>2.7906</v>
      </c>
      <c r="Y261" s="2">
        <v>2.3311000000000002</v>
      </c>
      <c r="Z261" s="2">
        <v>5.8799999999999998E-2</v>
      </c>
      <c r="AA261" s="2">
        <v>7.7576999999999998</v>
      </c>
      <c r="AC261" s="2">
        <v>2.0000000000000001E-4</v>
      </c>
      <c r="AD261" s="2">
        <v>2.93E-2</v>
      </c>
      <c r="AE261" s="2">
        <v>8.7599999999999997E-2</v>
      </c>
      <c r="AF261" s="2">
        <v>5.0299999999999997E-2</v>
      </c>
      <c r="AG261" s="2">
        <v>0.20680000000000001</v>
      </c>
      <c r="AH261" s="2">
        <v>2.7780999999999998</v>
      </c>
      <c r="AI261" s="2">
        <v>16.090499999999999</v>
      </c>
    </row>
    <row r="262" spans="1:35" x14ac:dyDescent="0.25">
      <c r="A262" s="2" t="s">
        <v>639</v>
      </c>
      <c r="B262" s="2">
        <v>51</v>
      </c>
      <c r="C262" s="2">
        <v>22.788</v>
      </c>
      <c r="D262" s="2">
        <v>13.941000000000001</v>
      </c>
      <c r="E262" s="2">
        <v>0.49099999999999999</v>
      </c>
      <c r="F262" s="2">
        <v>50.51</v>
      </c>
      <c r="H262" s="2">
        <v>0</v>
      </c>
      <c r="I262" s="2">
        <v>0.224</v>
      </c>
      <c r="J262" s="2">
        <v>0.59099999999999997</v>
      </c>
      <c r="K262" s="2">
        <v>0.14499999999999999</v>
      </c>
      <c r="L262" s="2">
        <v>1.0940000000000001</v>
      </c>
      <c r="M262" s="2">
        <v>11.734999999999999</v>
      </c>
      <c r="N262" s="2">
        <v>101.51900000000001</v>
      </c>
      <c r="P262" s="2">
        <f t="shared" si="45"/>
        <v>0.31718282413529125</v>
      </c>
      <c r="Q262" s="2">
        <f t="shared" si="46"/>
        <v>0.29115494355539012</v>
      </c>
      <c r="R262" s="2">
        <f t="shared" si="47"/>
        <v>0.24860016405720603</v>
      </c>
      <c r="S262" s="2">
        <f t="shared" si="48"/>
        <v>47.860737737958807</v>
      </c>
      <c r="T262" s="2">
        <f t="shared" si="49"/>
        <v>37.013511992442297</v>
      </c>
      <c r="U262" s="2">
        <f t="shared" si="50"/>
        <v>29.010288242246308</v>
      </c>
      <c r="V262" s="2">
        <f t="shared" si="51"/>
        <v>33.976199765311407</v>
      </c>
      <c r="X262" s="2">
        <v>2.9304000000000001</v>
      </c>
      <c r="Y262" s="2">
        <v>2.2968999999999999</v>
      </c>
      <c r="Z262" s="2">
        <v>5.6800000000000003E-2</v>
      </c>
      <c r="AA262" s="2">
        <v>7.7664</v>
      </c>
      <c r="AC262" s="2">
        <v>0</v>
      </c>
      <c r="AD262" s="2">
        <v>2.7199999999999998E-2</v>
      </c>
      <c r="AE262" s="2">
        <v>7.6999999999999999E-2</v>
      </c>
      <c r="AF262" s="2">
        <v>4.3200000000000002E-2</v>
      </c>
      <c r="AG262" s="2">
        <v>0.19819999999999999</v>
      </c>
      <c r="AH262" s="2">
        <v>2.6897000000000002</v>
      </c>
      <c r="AI262" s="2">
        <v>16.085799999999999</v>
      </c>
    </row>
    <row r="263" spans="1:35" x14ac:dyDescent="0.25">
      <c r="A263" s="2" t="s">
        <v>640</v>
      </c>
      <c r="B263" s="2">
        <v>54</v>
      </c>
      <c r="C263" s="2">
        <v>22.742999999999999</v>
      </c>
      <c r="D263" s="2">
        <v>14.15</v>
      </c>
      <c r="E263" s="2">
        <v>0.56799999999999995</v>
      </c>
      <c r="F263" s="2">
        <v>50.316000000000003</v>
      </c>
      <c r="H263" s="2">
        <v>0</v>
      </c>
      <c r="I263" s="2">
        <v>0.25600000000000001</v>
      </c>
      <c r="J263" s="2">
        <v>0.63200000000000001</v>
      </c>
      <c r="K263" s="2">
        <v>0.16600000000000001</v>
      </c>
      <c r="L263" s="2">
        <v>1.079</v>
      </c>
      <c r="M263" s="2">
        <v>11.603999999999999</v>
      </c>
      <c r="N263" s="2">
        <v>101.514</v>
      </c>
      <c r="P263" s="2">
        <f t="shared" si="45"/>
        <v>0.3165564757463985</v>
      </c>
      <c r="Q263" s="2">
        <f t="shared" si="46"/>
        <v>0.28790472646073684</v>
      </c>
      <c r="R263" s="2">
        <f t="shared" si="47"/>
        <v>0.25232711580298867</v>
      </c>
      <c r="S263" s="2">
        <f t="shared" si="48"/>
        <v>47.629976152229254</v>
      </c>
      <c r="T263" s="2">
        <f t="shared" si="49"/>
        <v>36.946871134003722</v>
      </c>
      <c r="U263" s="2">
        <f t="shared" si="50"/>
        <v>29.450345026763909</v>
      </c>
      <c r="V263" s="2">
        <f t="shared" si="51"/>
        <v>33.602783839232373</v>
      </c>
      <c r="X263" s="2">
        <v>2.9285999999999999</v>
      </c>
      <c r="Y263" s="2">
        <v>2.3344</v>
      </c>
      <c r="Z263" s="2">
        <v>6.5699999999999995E-2</v>
      </c>
      <c r="AA263" s="2">
        <v>7.7472000000000003</v>
      </c>
      <c r="AC263" s="2">
        <v>0</v>
      </c>
      <c r="AD263" s="2">
        <v>3.1099999999999999E-2</v>
      </c>
      <c r="AE263" s="2">
        <v>8.2400000000000001E-2</v>
      </c>
      <c r="AF263" s="2">
        <v>4.9500000000000002E-2</v>
      </c>
      <c r="AG263" s="2">
        <v>0.19589999999999999</v>
      </c>
      <c r="AH263" s="2">
        <v>2.6634000000000002</v>
      </c>
      <c r="AI263" s="2">
        <v>16.098199999999999</v>
      </c>
    </row>
    <row r="264" spans="1:35" x14ac:dyDescent="0.25">
      <c r="A264" s="2" t="s">
        <v>641</v>
      </c>
      <c r="B264" s="2">
        <v>57</v>
      </c>
      <c r="C264" s="2">
        <v>22.882999999999999</v>
      </c>
      <c r="D264" s="2">
        <v>14.234</v>
      </c>
      <c r="E264" s="2">
        <v>0.51400000000000001</v>
      </c>
      <c r="F264" s="2">
        <v>50.087000000000003</v>
      </c>
      <c r="H264" s="2">
        <v>3.0000000000000001E-3</v>
      </c>
      <c r="I264" s="2">
        <v>0.23699999999999999</v>
      </c>
      <c r="J264" s="2">
        <v>0.62</v>
      </c>
      <c r="K264" s="2">
        <v>0.16900000000000001</v>
      </c>
      <c r="L264" s="2">
        <v>1.0880000000000001</v>
      </c>
      <c r="M264" s="2">
        <v>11.226000000000001</v>
      </c>
      <c r="N264" s="2">
        <v>101.06100000000001</v>
      </c>
      <c r="P264" s="2">
        <f t="shared" si="45"/>
        <v>0.31850511517850927</v>
      </c>
      <c r="Q264" s="2">
        <f t="shared" si="46"/>
        <v>0.27852623743952365</v>
      </c>
      <c r="R264" s="2">
        <f t="shared" si="47"/>
        <v>0.25382502942330326</v>
      </c>
      <c r="S264" s="2">
        <f t="shared" si="48"/>
        <v>46.651861115528121</v>
      </c>
      <c r="T264" s="2">
        <f t="shared" si="49"/>
        <v>37.433475484354503</v>
      </c>
      <c r="U264" s="2">
        <f t="shared" si="50"/>
        <v>29.831712470010242</v>
      </c>
      <c r="V264" s="2">
        <f t="shared" si="51"/>
        <v>32.734812045635259</v>
      </c>
      <c r="X264" s="2">
        <v>2.9639000000000002</v>
      </c>
      <c r="Y264" s="2">
        <v>2.3620000000000001</v>
      </c>
      <c r="Z264" s="2">
        <v>5.9799999999999999E-2</v>
      </c>
      <c r="AA264" s="2">
        <v>7.7571000000000003</v>
      </c>
      <c r="AC264" s="2">
        <v>5.0000000000000001E-4</v>
      </c>
      <c r="AD264" s="2">
        <v>2.9100000000000001E-2</v>
      </c>
      <c r="AE264" s="2">
        <v>8.1299999999999997E-2</v>
      </c>
      <c r="AF264" s="2">
        <v>5.0799999999999998E-2</v>
      </c>
      <c r="AG264" s="2">
        <v>0.19869999999999999</v>
      </c>
      <c r="AH264" s="2">
        <v>2.5916999999999999</v>
      </c>
      <c r="AI264" s="2">
        <v>16.094899999999999</v>
      </c>
    </row>
    <row r="265" spans="1:35" x14ac:dyDescent="0.25">
      <c r="A265" s="2" t="s">
        <v>642</v>
      </c>
      <c r="B265" s="2">
        <v>60</v>
      </c>
      <c r="C265" s="2">
        <v>22.376000000000001</v>
      </c>
      <c r="D265" s="2">
        <v>14.718</v>
      </c>
      <c r="E265" s="2">
        <v>0.65100000000000002</v>
      </c>
      <c r="F265" s="2">
        <v>49.878</v>
      </c>
      <c r="H265" s="2">
        <v>2E-3</v>
      </c>
      <c r="I265" s="2">
        <v>0.245</v>
      </c>
      <c r="J265" s="2">
        <v>0.63100000000000001</v>
      </c>
      <c r="K265" s="2">
        <v>0.19500000000000001</v>
      </c>
      <c r="L265" s="2">
        <v>1.2050000000000001</v>
      </c>
      <c r="M265" s="2">
        <v>10.904999999999999</v>
      </c>
      <c r="N265" s="2">
        <v>100.806</v>
      </c>
      <c r="P265" s="2">
        <f t="shared" si="45"/>
        <v>0.31144825666365095</v>
      </c>
      <c r="Q265" s="2">
        <f t="shared" si="46"/>
        <v>0.27056196501674729</v>
      </c>
      <c r="R265" s="2">
        <f t="shared" si="47"/>
        <v>0.2624558650451157</v>
      </c>
      <c r="S265" s="2">
        <f t="shared" si="48"/>
        <v>46.487493679333035</v>
      </c>
      <c r="T265" s="2">
        <f t="shared" si="49"/>
        <v>36.881085168418899</v>
      </c>
      <c r="U265" s="2">
        <f t="shared" si="50"/>
        <v>31.079503270854815</v>
      </c>
      <c r="V265" s="2">
        <f t="shared" si="51"/>
        <v>32.039411560726307</v>
      </c>
      <c r="X265" s="2">
        <v>2.9047000000000001</v>
      </c>
      <c r="Y265" s="2">
        <v>2.4479000000000002</v>
      </c>
      <c r="Z265" s="2">
        <v>7.5999999999999998E-2</v>
      </c>
      <c r="AA265" s="2">
        <v>7.7419000000000002</v>
      </c>
      <c r="AC265" s="2">
        <v>4.0000000000000002E-4</v>
      </c>
      <c r="AD265" s="2">
        <v>0.03</v>
      </c>
      <c r="AE265" s="2">
        <v>8.3000000000000004E-2</v>
      </c>
      <c r="AF265" s="2">
        <v>5.8700000000000002E-2</v>
      </c>
      <c r="AG265" s="2">
        <v>0.2205</v>
      </c>
      <c r="AH265" s="2">
        <v>2.5232999999999999</v>
      </c>
      <c r="AI265" s="2">
        <v>16.086400000000001</v>
      </c>
    </row>
    <row r="266" spans="1:35" x14ac:dyDescent="0.25">
      <c r="A266" s="2" t="s">
        <v>643</v>
      </c>
      <c r="B266" s="2">
        <v>63</v>
      </c>
      <c r="C266" s="2">
        <v>22.353999999999999</v>
      </c>
      <c r="D266" s="2">
        <v>15.291</v>
      </c>
      <c r="E266" s="2">
        <v>0.60699999999999998</v>
      </c>
      <c r="F266" s="2">
        <v>49.588999999999999</v>
      </c>
      <c r="H266" s="2">
        <v>2E-3</v>
      </c>
      <c r="I266" s="2">
        <v>0.216</v>
      </c>
      <c r="J266" s="2">
        <v>0.64300000000000002</v>
      </c>
      <c r="K266" s="2">
        <v>0.17499999999999999</v>
      </c>
      <c r="L266" s="2">
        <v>1.222</v>
      </c>
      <c r="M266" s="2">
        <v>10.654999999999999</v>
      </c>
      <c r="N266" s="2">
        <v>100.754</v>
      </c>
      <c r="P266" s="2">
        <f t="shared" si="45"/>
        <v>0.31114204189574779</v>
      </c>
      <c r="Q266" s="2">
        <f t="shared" si="46"/>
        <v>0.26435926063763798</v>
      </c>
      <c r="R266" s="2">
        <f t="shared" si="47"/>
        <v>0.27267377581226149</v>
      </c>
      <c r="S266" s="2">
        <f t="shared" si="48"/>
        <v>45.935475640787466</v>
      </c>
      <c r="T266" s="2">
        <f t="shared" si="49"/>
        <v>36.683704796258063</v>
      </c>
      <c r="U266" s="2">
        <f t="shared" si="50"/>
        <v>32.148289047127818</v>
      </c>
      <c r="V266" s="2">
        <f t="shared" si="51"/>
        <v>31.168006156614126</v>
      </c>
      <c r="X266" s="2">
        <v>2.91</v>
      </c>
      <c r="Y266" s="2">
        <v>2.5503</v>
      </c>
      <c r="Z266" s="2">
        <v>7.1099999999999997E-2</v>
      </c>
      <c r="AA266" s="2">
        <v>7.7187999999999999</v>
      </c>
      <c r="AC266" s="2">
        <v>4.0000000000000002E-4</v>
      </c>
      <c r="AD266" s="2">
        <v>2.6599999999999999E-2</v>
      </c>
      <c r="AE266" s="2">
        <v>8.48E-2</v>
      </c>
      <c r="AF266" s="2">
        <v>5.28E-2</v>
      </c>
      <c r="AG266" s="2">
        <v>0.22420000000000001</v>
      </c>
      <c r="AH266" s="2">
        <v>2.4723000000000002</v>
      </c>
      <c r="AI266" s="2">
        <v>16.1113</v>
      </c>
    </row>
    <row r="267" spans="1:35" x14ac:dyDescent="0.25">
      <c r="A267" s="2" t="s">
        <v>644</v>
      </c>
      <c r="B267" s="2">
        <v>66</v>
      </c>
      <c r="C267" s="2">
        <v>23.163</v>
      </c>
      <c r="D267" s="2">
        <v>14.895</v>
      </c>
      <c r="E267" s="2">
        <v>0.69099999999999995</v>
      </c>
      <c r="F267" s="2">
        <v>49.999000000000002</v>
      </c>
      <c r="H267" s="2">
        <v>0</v>
      </c>
      <c r="I267" s="2">
        <v>0.214</v>
      </c>
      <c r="J267" s="2">
        <v>0.61899999999999999</v>
      </c>
      <c r="K267" s="2">
        <v>0.14599999999999999</v>
      </c>
      <c r="L267" s="2">
        <v>1.0740000000000001</v>
      </c>
      <c r="M267" s="2">
        <v>10.375999999999999</v>
      </c>
      <c r="N267" s="2">
        <v>101.17700000000001</v>
      </c>
      <c r="P267" s="2">
        <f t="shared" si="45"/>
        <v>0.32240239404273091</v>
      </c>
      <c r="Q267" s="2">
        <f t="shared" si="46"/>
        <v>0.25743704255055205</v>
      </c>
      <c r="R267" s="2">
        <f t="shared" si="47"/>
        <v>0.26561218303077855</v>
      </c>
      <c r="S267" s="2">
        <f t="shared" si="48"/>
        <v>44.397987840058946</v>
      </c>
      <c r="T267" s="2">
        <f t="shared" si="49"/>
        <v>38.133748467604846</v>
      </c>
      <c r="U267" s="2">
        <f t="shared" si="50"/>
        <v>31.416603489255319</v>
      </c>
      <c r="V267" s="2">
        <f t="shared" si="51"/>
        <v>30.449648043139828</v>
      </c>
      <c r="X267" s="2">
        <v>3.0062000000000002</v>
      </c>
      <c r="Y267" s="2">
        <v>2.4767000000000001</v>
      </c>
      <c r="Z267" s="2">
        <v>8.0600000000000005E-2</v>
      </c>
      <c r="AA267" s="2">
        <v>7.7591000000000001</v>
      </c>
      <c r="AC267" s="2">
        <v>0</v>
      </c>
      <c r="AD267" s="2">
        <v>2.63E-2</v>
      </c>
      <c r="AE267" s="2">
        <v>8.14E-2</v>
      </c>
      <c r="AF267" s="2">
        <v>4.3999999999999997E-2</v>
      </c>
      <c r="AG267" s="2">
        <v>0.19639999999999999</v>
      </c>
      <c r="AH267" s="2">
        <v>2.4003000000000001</v>
      </c>
      <c r="AI267" s="2">
        <v>16.071000000000002</v>
      </c>
    </row>
    <row r="268" spans="1:35" x14ac:dyDescent="0.25">
      <c r="A268" s="2" t="s">
        <v>645</v>
      </c>
      <c r="B268" s="2">
        <v>69</v>
      </c>
      <c r="C268" s="2">
        <v>23.446999999999999</v>
      </c>
      <c r="D268" s="2">
        <v>14.474</v>
      </c>
      <c r="E268" s="2">
        <v>0.66</v>
      </c>
      <c r="F268" s="2">
        <v>49.314999999999998</v>
      </c>
      <c r="H268" s="2">
        <v>0</v>
      </c>
      <c r="I268" s="2">
        <v>0.23</v>
      </c>
      <c r="J268" s="2">
        <v>0.61099999999999999</v>
      </c>
      <c r="K268" s="2">
        <v>0.17299999999999999</v>
      </c>
      <c r="L268" s="2">
        <v>1.135</v>
      </c>
      <c r="M268" s="2">
        <v>10.285</v>
      </c>
      <c r="N268" s="2">
        <v>100.33</v>
      </c>
      <c r="P268" s="2">
        <f t="shared" si="45"/>
        <v>0.32635534831929847</v>
      </c>
      <c r="Q268" s="2">
        <f t="shared" si="46"/>
        <v>0.25517925815655629</v>
      </c>
      <c r="R268" s="2">
        <f t="shared" si="47"/>
        <v>0.258104782624202</v>
      </c>
      <c r="S268" s="2">
        <f t="shared" si="48"/>
        <v>43.880322050473069</v>
      </c>
      <c r="T268" s="2">
        <f t="shared" si="49"/>
        <v>38.868513382762217</v>
      </c>
      <c r="U268" s="2">
        <f t="shared" si="50"/>
        <v>30.739956459265706</v>
      </c>
      <c r="V268" s="2">
        <f t="shared" si="51"/>
        <v>30.391530157972081</v>
      </c>
      <c r="X268" s="2">
        <v>3.0752000000000002</v>
      </c>
      <c r="Y268" s="2">
        <v>2.4321000000000002</v>
      </c>
      <c r="Z268" s="2">
        <v>7.7899999999999997E-2</v>
      </c>
      <c r="AA268" s="2">
        <v>7.7337999999999996</v>
      </c>
      <c r="AC268" s="2">
        <v>0</v>
      </c>
      <c r="AD268" s="2">
        <v>2.86E-2</v>
      </c>
      <c r="AE268" s="2">
        <v>8.1199999999999994E-2</v>
      </c>
      <c r="AF268" s="2">
        <v>5.2600000000000001E-2</v>
      </c>
      <c r="AG268" s="2">
        <v>0.20979999999999999</v>
      </c>
      <c r="AH268" s="2">
        <v>2.4043000000000001</v>
      </c>
      <c r="AI268" s="2">
        <v>16.095500000000001</v>
      </c>
    </row>
    <row r="269" spans="1:35" x14ac:dyDescent="0.25">
      <c r="A269" s="2" t="s">
        <v>646</v>
      </c>
      <c r="B269" s="2">
        <v>72</v>
      </c>
      <c r="C269" s="2">
        <v>23.724</v>
      </c>
      <c r="D269" s="2">
        <v>15.794</v>
      </c>
      <c r="E269" s="2">
        <v>0.745</v>
      </c>
      <c r="F269" s="2">
        <v>48.328000000000003</v>
      </c>
      <c r="H269" s="2">
        <v>0</v>
      </c>
      <c r="I269" s="2">
        <v>0.21</v>
      </c>
      <c r="J269" s="2">
        <v>0.58499999999999996</v>
      </c>
      <c r="K269" s="2">
        <v>0.214</v>
      </c>
      <c r="L269" s="2">
        <v>1.036</v>
      </c>
      <c r="M269" s="2">
        <v>9.6859999999999999</v>
      </c>
      <c r="N269" s="2">
        <v>100.322</v>
      </c>
      <c r="P269" s="2">
        <f t="shared" si="45"/>
        <v>0.33021087062426058</v>
      </c>
      <c r="Q269" s="2">
        <f t="shared" si="46"/>
        <v>0.2403175784642104</v>
      </c>
      <c r="R269" s="2">
        <f t="shared" si="47"/>
        <v>0.28164342522914509</v>
      </c>
      <c r="S269" s="2">
        <f t="shared" si="48"/>
        <v>42.121927284811825</v>
      </c>
      <c r="T269" s="2">
        <f t="shared" si="49"/>
        <v>38.749327521361785</v>
      </c>
      <c r="U269" s="2">
        <f t="shared" si="50"/>
        <v>33.050072845301713</v>
      </c>
      <c r="V269" s="2">
        <f t="shared" si="51"/>
        <v>28.200599633336498</v>
      </c>
      <c r="X269" s="2">
        <v>3.1375999999999999</v>
      </c>
      <c r="Y269" s="2">
        <v>2.6762999999999999</v>
      </c>
      <c r="Z269" s="2">
        <v>8.8599999999999998E-2</v>
      </c>
      <c r="AA269" s="2">
        <v>7.6425999999999998</v>
      </c>
      <c r="AC269" s="2">
        <v>0</v>
      </c>
      <c r="AD269" s="2">
        <v>2.6200000000000001E-2</v>
      </c>
      <c r="AE269" s="2">
        <v>7.8399999999999997E-2</v>
      </c>
      <c r="AF269" s="2">
        <v>6.5600000000000006E-2</v>
      </c>
      <c r="AG269" s="2">
        <v>0.19320000000000001</v>
      </c>
      <c r="AH269" s="2">
        <v>2.2833000000000001</v>
      </c>
      <c r="AI269" s="2">
        <v>16.191800000000001</v>
      </c>
    </row>
    <row r="270" spans="1:35" x14ac:dyDescent="0.25">
      <c r="A270" s="2" t="s">
        <v>647</v>
      </c>
      <c r="B270" s="2">
        <v>75</v>
      </c>
      <c r="C270" s="2">
        <v>24.259</v>
      </c>
      <c r="D270" s="2">
        <v>15.106999999999999</v>
      </c>
      <c r="E270" s="2">
        <v>0.79600000000000004</v>
      </c>
      <c r="F270" s="2">
        <v>48.405000000000001</v>
      </c>
      <c r="H270" s="2">
        <v>0</v>
      </c>
      <c r="I270" s="2">
        <v>0.16700000000000001</v>
      </c>
      <c r="J270" s="2">
        <v>0.625</v>
      </c>
      <c r="K270" s="2">
        <v>0.154</v>
      </c>
      <c r="L270" s="2">
        <v>1.145</v>
      </c>
      <c r="M270" s="2">
        <v>9.3710000000000004</v>
      </c>
      <c r="N270" s="2">
        <v>100.029</v>
      </c>
      <c r="P270" s="2">
        <f t="shared" si="45"/>
        <v>0.33765745702554112</v>
      </c>
      <c r="Q270" s="2">
        <f t="shared" si="46"/>
        <v>0.23250217094653269</v>
      </c>
      <c r="R270" s="2">
        <f t="shared" si="47"/>
        <v>0.2693926316915724</v>
      </c>
      <c r="S270" s="2">
        <f t="shared" si="48"/>
        <v>40.778434589185011</v>
      </c>
      <c r="T270" s="2">
        <f t="shared" si="49"/>
        <v>40.218753882077387</v>
      </c>
      <c r="U270" s="2">
        <f t="shared" si="50"/>
        <v>32.087654888749924</v>
      </c>
      <c r="V270" s="2">
        <f t="shared" si="51"/>
        <v>27.693591229172693</v>
      </c>
      <c r="X270" s="2">
        <v>3.2170999999999998</v>
      </c>
      <c r="Y270" s="2">
        <v>2.5668000000000002</v>
      </c>
      <c r="Z270" s="2">
        <v>9.5000000000000001E-2</v>
      </c>
      <c r="AA270" s="2">
        <v>7.6755000000000004</v>
      </c>
      <c r="AC270" s="2">
        <v>0</v>
      </c>
      <c r="AD270" s="2">
        <v>2.0899999999999998E-2</v>
      </c>
      <c r="AE270" s="2">
        <v>8.4000000000000005E-2</v>
      </c>
      <c r="AF270" s="2">
        <v>4.7199999999999999E-2</v>
      </c>
      <c r="AG270" s="2">
        <v>0.214</v>
      </c>
      <c r="AH270" s="2">
        <v>2.2151999999999998</v>
      </c>
      <c r="AI270" s="2">
        <v>16.1357</v>
      </c>
    </row>
    <row r="271" spans="1:35" x14ac:dyDescent="0.25">
      <c r="A271" s="2" t="s">
        <v>648</v>
      </c>
      <c r="B271" s="2">
        <v>78</v>
      </c>
      <c r="C271" s="2">
        <v>24.855</v>
      </c>
      <c r="D271" s="2">
        <v>14.734999999999999</v>
      </c>
      <c r="E271" s="2">
        <v>0.82499999999999996</v>
      </c>
      <c r="F271" s="2">
        <v>49.143000000000001</v>
      </c>
      <c r="H271" s="2">
        <v>0</v>
      </c>
      <c r="I271" s="2">
        <v>8.2000000000000003E-2</v>
      </c>
      <c r="J271" s="2">
        <v>0.63800000000000001</v>
      </c>
      <c r="K271" s="2">
        <v>0.14000000000000001</v>
      </c>
      <c r="L271" s="2">
        <v>1.044</v>
      </c>
      <c r="M271" s="2">
        <v>9.2910000000000004</v>
      </c>
      <c r="N271" s="2">
        <v>100.753</v>
      </c>
      <c r="P271" s="2">
        <f t="shared" si="45"/>
        <v>0.3459530934650985</v>
      </c>
      <c r="Q271" s="2">
        <f t="shared" si="46"/>
        <v>0.23051730554521774</v>
      </c>
      <c r="R271" s="2">
        <f t="shared" si="47"/>
        <v>0.26275901423017939</v>
      </c>
      <c r="S271" s="2">
        <f t="shared" si="48"/>
        <v>39.987708985746636</v>
      </c>
      <c r="T271" s="2">
        <f t="shared" si="49"/>
        <v>41.222708356857801</v>
      </c>
      <c r="U271" s="2">
        <f t="shared" si="50"/>
        <v>31.309557325403375</v>
      </c>
      <c r="V271" s="2">
        <f t="shared" si="51"/>
        <v>27.467734317738817</v>
      </c>
      <c r="X271" s="2">
        <v>3.2698</v>
      </c>
      <c r="Y271" s="2">
        <v>2.4836</v>
      </c>
      <c r="Z271" s="2">
        <v>9.7600000000000006E-2</v>
      </c>
      <c r="AA271" s="2">
        <v>7.7302999999999997</v>
      </c>
      <c r="AC271" s="2">
        <v>0</v>
      </c>
      <c r="AD271" s="2">
        <v>1.03E-2</v>
      </c>
      <c r="AE271" s="2">
        <v>8.5000000000000006E-2</v>
      </c>
      <c r="AF271" s="2">
        <v>4.2799999999999998E-2</v>
      </c>
      <c r="AG271" s="2">
        <v>0.19359999999999999</v>
      </c>
      <c r="AH271" s="2">
        <v>2.1785000000000001</v>
      </c>
      <c r="AI271" s="2">
        <v>16.0915</v>
      </c>
    </row>
    <row r="272" spans="1:35" x14ac:dyDescent="0.25">
      <c r="A272" s="2" t="s">
        <v>649</v>
      </c>
      <c r="B272" s="2">
        <v>81</v>
      </c>
      <c r="C272" s="2">
        <v>25.766999999999999</v>
      </c>
      <c r="D272" s="2">
        <v>14.627000000000001</v>
      </c>
      <c r="E272" s="2">
        <v>0.86799999999999999</v>
      </c>
      <c r="F272" s="2">
        <v>49.11</v>
      </c>
      <c r="H272" s="2">
        <v>0</v>
      </c>
      <c r="I272" s="2">
        <v>0.104</v>
      </c>
      <c r="J272" s="2">
        <v>0.629</v>
      </c>
      <c r="K272" s="2">
        <v>0.155</v>
      </c>
      <c r="L272" s="2">
        <v>0.93899999999999995</v>
      </c>
      <c r="M272" s="2">
        <v>9.0920000000000005</v>
      </c>
      <c r="N272" s="2">
        <v>101.291</v>
      </c>
      <c r="P272" s="2">
        <f t="shared" si="45"/>
        <v>0.35864708747999163</v>
      </c>
      <c r="Q272" s="2">
        <f t="shared" si="46"/>
        <v>0.22557995285944674</v>
      </c>
      <c r="R272" s="2">
        <f t="shared" si="47"/>
        <v>0.26083312528977498</v>
      </c>
      <c r="S272" s="2">
        <f t="shared" si="48"/>
        <v>38.611693277391581</v>
      </c>
      <c r="T272" s="2">
        <f t="shared" si="49"/>
        <v>42.440420465559491</v>
      </c>
      <c r="U272" s="2">
        <f t="shared" si="50"/>
        <v>30.865627785870647</v>
      </c>
      <c r="V272" s="2">
        <f t="shared" si="51"/>
        <v>26.693951748569855</v>
      </c>
      <c r="X272" s="2">
        <v>3.3855</v>
      </c>
      <c r="Y272" s="2">
        <v>2.4622000000000002</v>
      </c>
      <c r="Z272" s="2">
        <v>0.10249999999999999</v>
      </c>
      <c r="AA272" s="2">
        <v>7.7153</v>
      </c>
      <c r="AC272" s="2">
        <v>0</v>
      </c>
      <c r="AD272" s="2">
        <v>1.29E-2</v>
      </c>
      <c r="AE272" s="2">
        <v>8.3699999999999997E-2</v>
      </c>
      <c r="AF272" s="2">
        <v>4.7100000000000003E-2</v>
      </c>
      <c r="AG272" s="2">
        <v>0.1739</v>
      </c>
      <c r="AH272" s="2">
        <v>2.1292</v>
      </c>
      <c r="AI272" s="2">
        <v>16.112300000000001</v>
      </c>
    </row>
    <row r="273" spans="1:35" x14ac:dyDescent="0.25">
      <c r="A273" s="2" t="s">
        <v>650</v>
      </c>
      <c r="B273" s="2">
        <v>84</v>
      </c>
      <c r="C273" s="2">
        <v>25.928999999999998</v>
      </c>
      <c r="D273" s="2">
        <v>14.622999999999999</v>
      </c>
      <c r="E273" s="2">
        <v>0.93400000000000005</v>
      </c>
      <c r="F273" s="2">
        <v>49.057000000000002</v>
      </c>
      <c r="H273" s="2">
        <v>1E-3</v>
      </c>
      <c r="I273" s="2">
        <v>9.6000000000000002E-2</v>
      </c>
      <c r="J273" s="2">
        <v>0.66900000000000004</v>
      </c>
      <c r="K273" s="2">
        <v>0.191</v>
      </c>
      <c r="L273" s="2">
        <v>0.91700000000000004</v>
      </c>
      <c r="M273" s="2">
        <v>8.8819999999999997</v>
      </c>
      <c r="N273" s="2">
        <v>101.29900000000001</v>
      </c>
      <c r="P273" s="2">
        <f t="shared" si="45"/>
        <v>0.36090194168000556</v>
      </c>
      <c r="Q273" s="2">
        <f t="shared" si="46"/>
        <v>0.2203696811809949</v>
      </c>
      <c r="R273" s="2">
        <f t="shared" si="47"/>
        <v>0.26076179606975997</v>
      </c>
      <c r="S273" s="2">
        <f t="shared" si="48"/>
        <v>37.911653091947336</v>
      </c>
      <c r="T273" s="2">
        <f t="shared" si="49"/>
        <v>42.860762241276575</v>
      </c>
      <c r="U273" s="2">
        <f t="shared" si="50"/>
        <v>30.968105327800789</v>
      </c>
      <c r="V273" s="2">
        <f t="shared" si="51"/>
        <v>26.17113243092264</v>
      </c>
      <c r="X273" s="2">
        <v>3.4104999999999999</v>
      </c>
      <c r="Y273" s="2">
        <v>2.4643000000000002</v>
      </c>
      <c r="Z273" s="2">
        <v>0.1105</v>
      </c>
      <c r="AA273" s="2">
        <v>7.7153</v>
      </c>
      <c r="AC273" s="2">
        <v>1E-4</v>
      </c>
      <c r="AD273" s="2">
        <v>1.2E-2</v>
      </c>
      <c r="AE273" s="2">
        <v>8.9200000000000002E-2</v>
      </c>
      <c r="AF273" s="2">
        <v>5.8200000000000002E-2</v>
      </c>
      <c r="AG273" s="2">
        <v>0.17</v>
      </c>
      <c r="AH273" s="2">
        <v>2.0823999999999998</v>
      </c>
      <c r="AI273" s="2">
        <v>16.112500000000001</v>
      </c>
    </row>
    <row r="274" spans="1:35" x14ac:dyDescent="0.25">
      <c r="A274" s="2" t="s">
        <v>651</v>
      </c>
      <c r="B274" s="2">
        <v>87</v>
      </c>
      <c r="C274" s="2">
        <v>26.949000000000002</v>
      </c>
      <c r="D274" s="2">
        <v>13.974</v>
      </c>
      <c r="E274" s="2">
        <v>0.92100000000000004</v>
      </c>
      <c r="F274" s="2">
        <v>48.627000000000002</v>
      </c>
      <c r="H274" s="2">
        <v>1.0999999999999999E-2</v>
      </c>
      <c r="I274" s="2">
        <v>5.2999999999999999E-2</v>
      </c>
      <c r="J274" s="2">
        <v>0.67</v>
      </c>
      <c r="K274" s="2">
        <v>0.14499999999999999</v>
      </c>
      <c r="L274" s="2">
        <v>0.96899999999999997</v>
      </c>
      <c r="M274" s="2">
        <v>8.4570000000000007</v>
      </c>
      <c r="N274" s="2">
        <v>100.776</v>
      </c>
      <c r="P274" s="2">
        <f t="shared" si="45"/>
        <v>0.37509917182824137</v>
      </c>
      <c r="Q274" s="2">
        <f t="shared" si="46"/>
        <v>0.20982508373650913</v>
      </c>
      <c r="R274" s="2">
        <f t="shared" si="47"/>
        <v>0.24918863012232961</v>
      </c>
      <c r="S274" s="2">
        <f t="shared" si="48"/>
        <v>35.872180327676929</v>
      </c>
      <c r="T274" s="2">
        <f t="shared" si="49"/>
        <v>44.969833012382082</v>
      </c>
      <c r="U274" s="2">
        <f t="shared" si="50"/>
        <v>29.874688953769919</v>
      </c>
      <c r="V274" s="2">
        <f t="shared" si="51"/>
        <v>25.155478033847999</v>
      </c>
      <c r="X274" s="2">
        <v>3.5762999999999998</v>
      </c>
      <c r="Y274" s="2">
        <v>2.3759000000000001</v>
      </c>
      <c r="Z274" s="2">
        <v>0.1099</v>
      </c>
      <c r="AA274" s="2">
        <v>7.7161</v>
      </c>
      <c r="AC274" s="2">
        <v>2.2000000000000001E-3</v>
      </c>
      <c r="AD274" s="2">
        <v>6.6E-3</v>
      </c>
      <c r="AE274" s="2">
        <v>0.09</v>
      </c>
      <c r="AF274" s="2">
        <v>4.4699999999999997E-2</v>
      </c>
      <c r="AG274" s="2">
        <v>0.18129999999999999</v>
      </c>
      <c r="AH274" s="2">
        <v>2.0004</v>
      </c>
      <c r="AI274" s="2">
        <v>16.103400000000001</v>
      </c>
    </row>
  </sheetData>
  <mergeCells count="1">
    <mergeCell ref="A244:C24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B81BB-4327-475D-84E2-3A86C98F1C70}">
  <dimension ref="A1:AI104"/>
  <sheetViews>
    <sheetView zoomScale="85" zoomScaleNormal="85" workbookViewId="0">
      <pane ySplit="1" topLeftCell="A68" activePane="bottomLeft" state="frozen"/>
      <selection pane="bottomLeft" activeCell="I89" sqref="I89"/>
    </sheetView>
  </sheetViews>
  <sheetFormatPr defaultColWidth="8.875" defaultRowHeight="15.75" x14ac:dyDescent="0.2"/>
  <cols>
    <col min="1" max="1" width="8.875" style="52"/>
    <col min="2" max="16384" width="8.875" style="54"/>
  </cols>
  <sheetData>
    <row r="1" spans="1:35" s="42" customFormat="1" x14ac:dyDescent="0.2">
      <c r="A1" s="41"/>
      <c r="B1" s="42" t="s">
        <v>1</v>
      </c>
      <c r="C1" s="42" t="s">
        <v>4</v>
      </c>
      <c r="D1" s="42" t="s">
        <v>5</v>
      </c>
      <c r="E1" s="42" t="s">
        <v>6</v>
      </c>
      <c r="F1" s="42" t="s">
        <v>7</v>
      </c>
      <c r="G1" s="42" t="s">
        <v>8</v>
      </c>
      <c r="H1" s="42" t="s">
        <v>9</v>
      </c>
      <c r="I1" s="42" t="s">
        <v>10</v>
      </c>
      <c r="J1" s="42" t="s">
        <v>3</v>
      </c>
      <c r="K1" s="42" t="s">
        <v>11</v>
      </c>
      <c r="L1" s="42" t="s">
        <v>12</v>
      </c>
      <c r="M1" s="42" t="s">
        <v>14</v>
      </c>
      <c r="O1" s="42" t="s">
        <v>456</v>
      </c>
      <c r="P1" s="42" t="s">
        <v>457</v>
      </c>
      <c r="Q1" s="42" t="s">
        <v>458</v>
      </c>
      <c r="S1" s="42" t="s">
        <v>459</v>
      </c>
      <c r="T1" s="42" t="s">
        <v>460</v>
      </c>
      <c r="U1" s="42" t="s">
        <v>461</v>
      </c>
      <c r="W1" s="42" t="s">
        <v>1</v>
      </c>
      <c r="X1" s="42" t="s">
        <v>4</v>
      </c>
      <c r="Y1" s="42" t="s">
        <v>5</v>
      </c>
      <c r="Z1" s="42" t="s">
        <v>6</v>
      </c>
      <c r="AA1" s="42" t="s">
        <v>7</v>
      </c>
      <c r="AB1" s="42" t="s">
        <v>8</v>
      </c>
      <c r="AC1" s="42" t="s">
        <v>9</v>
      </c>
      <c r="AD1" s="42" t="s">
        <v>10</v>
      </c>
      <c r="AE1" s="42" t="s">
        <v>3</v>
      </c>
      <c r="AF1" s="42" t="s">
        <v>11</v>
      </c>
      <c r="AG1" s="42" t="s">
        <v>12</v>
      </c>
      <c r="AH1" s="42" t="s">
        <v>14</v>
      </c>
      <c r="AI1" s="42" t="s">
        <v>462</v>
      </c>
    </row>
    <row r="2" spans="1:35" s="45" customFormat="1" x14ac:dyDescent="0.2">
      <c r="A2" s="43" t="s">
        <v>463</v>
      </c>
      <c r="B2" s="44">
        <v>2.8000000000000001E-2</v>
      </c>
      <c r="C2" s="44">
        <v>1.7000000000000001E-2</v>
      </c>
      <c r="D2" s="44">
        <v>4.9969999999999999</v>
      </c>
      <c r="E2" s="44">
        <v>0</v>
      </c>
      <c r="F2" s="44">
        <v>28.297999999999998</v>
      </c>
      <c r="G2" s="44">
        <v>0.17599999999999999</v>
      </c>
      <c r="H2" s="44">
        <v>10.991</v>
      </c>
      <c r="I2" s="44">
        <v>0</v>
      </c>
      <c r="J2" s="44">
        <v>0.49299999999999999</v>
      </c>
      <c r="K2" s="44">
        <v>54.790999999999997</v>
      </c>
      <c r="L2" s="44">
        <v>7.5999999999999998E-2</v>
      </c>
      <c r="M2" s="44">
        <v>99.867000000000004</v>
      </c>
      <c r="N2" s="44"/>
      <c r="O2" s="44">
        <f t="shared" ref="O2:O29" si="0">H2/(40.078+16)</f>
        <v>0.19599486429615889</v>
      </c>
      <c r="P2" s="44">
        <f t="shared" ref="P2:P29" si="1">D2/(23*2+16)*2</f>
        <v>0.16119354838709676</v>
      </c>
      <c r="Q2" s="44">
        <f t="shared" ref="Q2:Q29" si="2">G2/(36.0983*2+16)*2</f>
        <v>3.9910835565089807E-3</v>
      </c>
      <c r="R2" s="44"/>
      <c r="S2" s="44">
        <f t="shared" ref="S2:S29" si="3">O2/(Q2+O2+P2)*100</f>
        <v>54.265224448413896</v>
      </c>
      <c r="T2" s="44">
        <f t="shared" ref="T2:T29" si="4">Q2/(Q2+O2+P2)*100</f>
        <v>1.1050138776038241</v>
      </c>
      <c r="U2" s="44">
        <f t="shared" ref="U2:U29" si="5">P2/(O2+P2+Q2)*100</f>
        <v>44.629761673982287</v>
      </c>
      <c r="V2" s="44"/>
      <c r="W2" s="44">
        <v>2.8999999999999998E-3</v>
      </c>
      <c r="X2" s="44">
        <v>1.8E-3</v>
      </c>
      <c r="Y2" s="44">
        <v>1.3144</v>
      </c>
      <c r="Z2" s="44">
        <v>0</v>
      </c>
      <c r="AA2" s="44">
        <v>4.5243000000000002</v>
      </c>
      <c r="AB2" s="44">
        <v>3.0499999999999999E-2</v>
      </c>
      <c r="AC2" s="44">
        <v>1.5973999999999999</v>
      </c>
      <c r="AD2" s="44">
        <v>0</v>
      </c>
      <c r="AE2" s="44">
        <v>5.5899999999999998E-2</v>
      </c>
      <c r="AF2" s="44">
        <v>7.4320000000000004</v>
      </c>
      <c r="AG2" s="44">
        <v>1.54E-2</v>
      </c>
      <c r="AH2" s="44">
        <v>14.974600000000001</v>
      </c>
      <c r="AI2" s="44">
        <f>AF2+AA2</f>
        <v>11.956300000000001</v>
      </c>
    </row>
    <row r="3" spans="1:35" s="45" customFormat="1" x14ac:dyDescent="0.2">
      <c r="A3" s="43" t="s">
        <v>464</v>
      </c>
      <c r="B3" s="44">
        <v>0.105</v>
      </c>
      <c r="C3" s="44">
        <v>0</v>
      </c>
      <c r="D3" s="44">
        <v>5.0010000000000003</v>
      </c>
      <c r="E3" s="44">
        <v>0</v>
      </c>
      <c r="F3" s="44">
        <v>28.576000000000001</v>
      </c>
      <c r="G3" s="44">
        <v>0.16700000000000001</v>
      </c>
      <c r="H3" s="44">
        <v>10.994</v>
      </c>
      <c r="I3" s="44">
        <v>2.5999999999999999E-2</v>
      </c>
      <c r="J3" s="44">
        <v>0.55600000000000005</v>
      </c>
      <c r="K3" s="44">
        <v>54.923000000000002</v>
      </c>
      <c r="L3" s="44">
        <v>0.11</v>
      </c>
      <c r="M3" s="44">
        <v>100.458</v>
      </c>
      <c r="N3" s="44"/>
      <c r="O3" s="44">
        <f t="shared" si="0"/>
        <v>0.19604836121117014</v>
      </c>
      <c r="P3" s="44">
        <f t="shared" si="1"/>
        <v>0.16132258064516131</v>
      </c>
      <c r="Q3" s="44">
        <f t="shared" si="2"/>
        <v>3.7869940564602264E-3</v>
      </c>
      <c r="R3" s="44"/>
      <c r="S3" s="44">
        <f t="shared" si="3"/>
        <v>54.28327657141935</v>
      </c>
      <c r="T3" s="44">
        <f t="shared" si="4"/>
        <v>1.048570079704594</v>
      </c>
      <c r="U3" s="44">
        <f t="shared" si="5"/>
        <v>44.668153348876061</v>
      </c>
      <c r="V3" s="44"/>
      <c r="W3" s="44">
        <v>1.06E-2</v>
      </c>
      <c r="X3" s="44">
        <v>0</v>
      </c>
      <c r="Y3" s="44">
        <v>1.3082</v>
      </c>
      <c r="Z3" s="44">
        <v>0</v>
      </c>
      <c r="AA3" s="44">
        <v>4.5437000000000003</v>
      </c>
      <c r="AB3" s="44">
        <v>2.8799999999999999E-2</v>
      </c>
      <c r="AC3" s="44">
        <v>1.5891</v>
      </c>
      <c r="AD3" s="44">
        <v>3.0000000000000001E-3</v>
      </c>
      <c r="AE3" s="44">
        <v>6.2700000000000006E-2</v>
      </c>
      <c r="AF3" s="44">
        <v>7.4089</v>
      </c>
      <c r="AG3" s="44">
        <v>2.1999999999999999E-2</v>
      </c>
      <c r="AH3" s="44">
        <v>14.977</v>
      </c>
      <c r="AI3" s="44">
        <f t="shared" ref="AI3:AI56" si="6">AF3+AA3</f>
        <v>11.9526</v>
      </c>
    </row>
    <row r="4" spans="1:35" s="45" customFormat="1" x14ac:dyDescent="0.2">
      <c r="A4" s="43" t="s">
        <v>465</v>
      </c>
      <c r="B4" s="44">
        <v>3.5999999999999997E-2</v>
      </c>
      <c r="C4" s="44">
        <v>6.0000000000000001E-3</v>
      </c>
      <c r="D4" s="44">
        <v>4.8460000000000001</v>
      </c>
      <c r="E4" s="44">
        <v>1.7999999999999999E-2</v>
      </c>
      <c r="F4" s="44">
        <v>28.635999999999999</v>
      </c>
      <c r="G4" s="44">
        <v>0.19800000000000001</v>
      </c>
      <c r="H4" s="44">
        <v>11.516</v>
      </c>
      <c r="I4" s="44">
        <v>8.0000000000000002E-3</v>
      </c>
      <c r="J4" s="44">
        <v>0.63100000000000001</v>
      </c>
      <c r="K4" s="44">
        <v>54.448</v>
      </c>
      <c r="L4" s="44">
        <v>9.0999999999999998E-2</v>
      </c>
      <c r="M4" s="44">
        <v>100.434</v>
      </c>
      <c r="N4" s="44"/>
      <c r="O4" s="44">
        <f t="shared" si="0"/>
        <v>0.20535682442312492</v>
      </c>
      <c r="P4" s="44">
        <f t="shared" si="1"/>
        <v>0.1563225806451613</v>
      </c>
      <c r="Q4" s="44">
        <f t="shared" si="2"/>
        <v>4.4899690010726037E-3</v>
      </c>
      <c r="R4" s="44"/>
      <c r="S4" s="44">
        <f t="shared" si="3"/>
        <v>56.082468651304183</v>
      </c>
      <c r="T4" s="44">
        <f t="shared" si="4"/>
        <v>1.2262000372052213</v>
      </c>
      <c r="U4" s="44">
        <f t="shared" si="5"/>
        <v>42.691331311490593</v>
      </c>
      <c r="V4" s="44"/>
      <c r="W4" s="44">
        <v>3.7000000000000002E-3</v>
      </c>
      <c r="X4" s="44">
        <v>5.9999999999999995E-4</v>
      </c>
      <c r="Y4" s="44">
        <v>1.2706999999999999</v>
      </c>
      <c r="Z4" s="44">
        <v>2.0999999999999999E-3</v>
      </c>
      <c r="AA4" s="44">
        <v>4.5648999999999997</v>
      </c>
      <c r="AB4" s="44">
        <v>3.4200000000000001E-2</v>
      </c>
      <c r="AC4" s="44">
        <v>1.6689000000000001</v>
      </c>
      <c r="AD4" s="44">
        <v>8.9999999999999998E-4</v>
      </c>
      <c r="AE4" s="44">
        <v>7.1400000000000005E-2</v>
      </c>
      <c r="AF4" s="44">
        <v>7.3636999999999997</v>
      </c>
      <c r="AG4" s="44">
        <v>1.84E-2</v>
      </c>
      <c r="AH4" s="44">
        <v>14.999499999999999</v>
      </c>
      <c r="AI4" s="44">
        <f t="shared" si="6"/>
        <v>11.928599999999999</v>
      </c>
    </row>
    <row r="5" spans="1:35" s="45" customFormat="1" x14ac:dyDescent="0.2">
      <c r="A5" s="43" t="s">
        <v>466</v>
      </c>
      <c r="B5" s="44">
        <v>0.08</v>
      </c>
      <c r="C5" s="44">
        <v>4.0000000000000001E-3</v>
      </c>
      <c r="D5" s="44">
        <v>5.1970000000000001</v>
      </c>
      <c r="E5" s="44">
        <v>1.0999999999999999E-2</v>
      </c>
      <c r="F5" s="44">
        <v>28.559000000000001</v>
      </c>
      <c r="G5" s="44">
        <v>0.21099999999999999</v>
      </c>
      <c r="H5" s="44">
        <v>10.801</v>
      </c>
      <c r="I5" s="44">
        <v>0</v>
      </c>
      <c r="J5" s="44">
        <v>0.53100000000000003</v>
      </c>
      <c r="K5" s="44">
        <v>54.970999999999997</v>
      </c>
      <c r="L5" s="44">
        <v>0.104</v>
      </c>
      <c r="M5" s="44">
        <v>100.46899999999999</v>
      </c>
      <c r="N5" s="44"/>
      <c r="O5" s="44">
        <f t="shared" si="0"/>
        <v>0.1926067263454474</v>
      </c>
      <c r="P5" s="44">
        <f t="shared" si="1"/>
        <v>0.16764516129032259</v>
      </c>
      <c r="Q5" s="44">
        <f t="shared" si="2"/>
        <v>4.7847649455874715E-3</v>
      </c>
      <c r="R5" s="44"/>
      <c r="S5" s="44">
        <f t="shared" si="3"/>
        <v>52.763667698415638</v>
      </c>
      <c r="T5" s="44">
        <f t="shared" si="4"/>
        <v>1.3107628814125916</v>
      </c>
      <c r="U5" s="44">
        <f t="shared" si="5"/>
        <v>45.925569420171776</v>
      </c>
      <c r="V5" s="44"/>
      <c r="W5" s="44">
        <v>8.2000000000000007E-3</v>
      </c>
      <c r="X5" s="44">
        <v>4.0000000000000002E-4</v>
      </c>
      <c r="Y5" s="44">
        <v>1.3593</v>
      </c>
      <c r="Z5" s="44">
        <v>1.1999999999999999E-3</v>
      </c>
      <c r="AA5" s="44">
        <v>4.5406000000000004</v>
      </c>
      <c r="AB5" s="44">
        <v>3.6299999999999999E-2</v>
      </c>
      <c r="AC5" s="44">
        <v>1.5610999999999999</v>
      </c>
      <c r="AD5" s="44">
        <v>0</v>
      </c>
      <c r="AE5" s="44">
        <v>0.06</v>
      </c>
      <c r="AF5" s="44">
        <v>7.4146999999999998</v>
      </c>
      <c r="AG5" s="44">
        <v>2.0799999999999999E-2</v>
      </c>
      <c r="AH5" s="44">
        <v>15.002599999999999</v>
      </c>
      <c r="AI5" s="44">
        <f t="shared" si="6"/>
        <v>11.955300000000001</v>
      </c>
    </row>
    <row r="6" spans="1:35" s="45" customFormat="1" x14ac:dyDescent="0.2">
      <c r="A6" s="43" t="s">
        <v>209</v>
      </c>
      <c r="B6" s="44">
        <v>2.4E-2</v>
      </c>
      <c r="C6" s="44">
        <v>1.9E-2</v>
      </c>
      <c r="D6" s="44">
        <v>4.8860000000000001</v>
      </c>
      <c r="E6" s="44">
        <v>0</v>
      </c>
      <c r="F6" s="44">
        <v>28.643000000000001</v>
      </c>
      <c r="G6" s="44">
        <v>0.159</v>
      </c>
      <c r="H6" s="44">
        <v>11.273</v>
      </c>
      <c r="I6" s="44">
        <v>1.9E-2</v>
      </c>
      <c r="J6" s="44">
        <v>0.55000000000000004</v>
      </c>
      <c r="K6" s="44">
        <v>54.683</v>
      </c>
      <c r="L6" s="44">
        <v>8.2000000000000003E-2</v>
      </c>
      <c r="M6" s="44">
        <v>100.33799999999999</v>
      </c>
      <c r="N6" s="44"/>
      <c r="O6" s="44">
        <f t="shared" si="0"/>
        <v>0.20102357430721493</v>
      </c>
      <c r="P6" s="44">
        <f t="shared" si="1"/>
        <v>0.15761290322580646</v>
      </c>
      <c r="Q6" s="44">
        <f t="shared" si="2"/>
        <v>3.6055811675279998E-3</v>
      </c>
      <c r="R6" s="44"/>
      <c r="S6" s="44">
        <f t="shared" si="3"/>
        <v>55.494266742060695</v>
      </c>
      <c r="T6" s="44">
        <f t="shared" si="4"/>
        <v>0.99535133508850382</v>
      </c>
      <c r="U6" s="44">
        <f t="shared" si="5"/>
        <v>43.510381922850804</v>
      </c>
      <c r="V6" s="44"/>
      <c r="W6" s="44">
        <v>2.5000000000000001E-3</v>
      </c>
      <c r="X6" s="44">
        <v>2E-3</v>
      </c>
      <c r="Y6" s="44">
        <v>1.2804</v>
      </c>
      <c r="Z6" s="44">
        <v>0</v>
      </c>
      <c r="AA6" s="44">
        <v>4.5628000000000002</v>
      </c>
      <c r="AB6" s="44">
        <v>2.75E-2</v>
      </c>
      <c r="AC6" s="44">
        <v>1.6324000000000001</v>
      </c>
      <c r="AD6" s="44">
        <v>2.0999999999999999E-3</v>
      </c>
      <c r="AE6" s="44">
        <v>6.2199999999999998E-2</v>
      </c>
      <c r="AF6" s="44">
        <v>7.3902999999999999</v>
      </c>
      <c r="AG6" s="44">
        <v>1.66E-2</v>
      </c>
      <c r="AH6" s="44">
        <v>14.9788</v>
      </c>
      <c r="AI6" s="44">
        <f t="shared" si="6"/>
        <v>11.953099999999999</v>
      </c>
    </row>
    <row r="7" spans="1:35" s="45" customFormat="1" x14ac:dyDescent="0.2">
      <c r="A7" s="43" t="s">
        <v>467</v>
      </c>
      <c r="B7" s="44">
        <v>7.1999999999999995E-2</v>
      </c>
      <c r="C7" s="44">
        <v>0</v>
      </c>
      <c r="D7" s="44">
        <v>5.1870000000000003</v>
      </c>
      <c r="E7" s="44">
        <v>0</v>
      </c>
      <c r="F7" s="44">
        <v>28.483000000000001</v>
      </c>
      <c r="G7" s="44">
        <v>0.20899999999999999</v>
      </c>
      <c r="H7" s="44">
        <v>10.952</v>
      </c>
      <c r="I7" s="44">
        <v>3.9E-2</v>
      </c>
      <c r="J7" s="44">
        <v>0.55100000000000005</v>
      </c>
      <c r="K7" s="44">
        <v>54.866</v>
      </c>
      <c r="L7" s="44">
        <v>8.5000000000000006E-2</v>
      </c>
      <c r="M7" s="44">
        <v>100.444</v>
      </c>
      <c r="N7" s="44"/>
      <c r="O7" s="44">
        <f t="shared" si="0"/>
        <v>0.19529940440101287</v>
      </c>
      <c r="P7" s="44">
        <f t="shared" si="1"/>
        <v>0.16732258064516131</v>
      </c>
      <c r="Q7" s="44">
        <f t="shared" si="2"/>
        <v>4.7394117233544144E-3</v>
      </c>
      <c r="R7" s="44"/>
      <c r="S7" s="44">
        <f t="shared" si="3"/>
        <v>53.162745492155729</v>
      </c>
      <c r="T7" s="44">
        <f t="shared" si="4"/>
        <v>1.2901224148839399</v>
      </c>
      <c r="U7" s="44">
        <f t="shared" si="5"/>
        <v>45.547132092960339</v>
      </c>
      <c r="V7" s="44"/>
      <c r="W7" s="44">
        <v>7.4000000000000003E-3</v>
      </c>
      <c r="X7" s="44">
        <v>0</v>
      </c>
      <c r="Y7" s="44">
        <v>1.3583000000000001</v>
      </c>
      <c r="Z7" s="44">
        <v>0</v>
      </c>
      <c r="AA7" s="44">
        <v>4.5339</v>
      </c>
      <c r="AB7" s="44">
        <v>3.5999999999999997E-2</v>
      </c>
      <c r="AC7" s="44">
        <v>1.5847</v>
      </c>
      <c r="AD7" s="44">
        <v>4.4999999999999997E-3</v>
      </c>
      <c r="AE7" s="44">
        <v>6.2199999999999998E-2</v>
      </c>
      <c r="AF7" s="44">
        <v>7.4093999999999998</v>
      </c>
      <c r="AG7" s="44">
        <v>1.7100000000000001E-2</v>
      </c>
      <c r="AH7" s="44">
        <v>15.013500000000001</v>
      </c>
      <c r="AI7" s="44">
        <f t="shared" si="6"/>
        <v>11.943300000000001</v>
      </c>
    </row>
    <row r="8" spans="1:35" s="45" customFormat="1" x14ac:dyDescent="0.2">
      <c r="A8" s="43" t="s">
        <v>190</v>
      </c>
      <c r="B8" s="44">
        <v>0.10100000000000001</v>
      </c>
      <c r="C8" s="44">
        <v>8.9999999999999993E-3</v>
      </c>
      <c r="D8" s="44">
        <v>5.0869999999999997</v>
      </c>
      <c r="E8" s="44">
        <v>0.185</v>
      </c>
      <c r="F8" s="44">
        <v>28.605</v>
      </c>
      <c r="G8" s="44">
        <v>0.18099999999999999</v>
      </c>
      <c r="H8" s="44">
        <v>11.096</v>
      </c>
      <c r="I8" s="44">
        <v>1.9E-2</v>
      </c>
      <c r="J8" s="44">
        <v>0.53100000000000003</v>
      </c>
      <c r="K8" s="44">
        <v>54.475999999999999</v>
      </c>
      <c r="L8" s="44">
        <v>8.4000000000000005E-2</v>
      </c>
      <c r="M8" s="44">
        <v>100.374</v>
      </c>
      <c r="N8" s="44"/>
      <c r="O8" s="44">
        <f t="shared" si="0"/>
        <v>0.19786725632155211</v>
      </c>
      <c r="P8" s="44">
        <f t="shared" si="1"/>
        <v>0.16409677419354837</v>
      </c>
      <c r="Q8" s="44">
        <f t="shared" si="2"/>
        <v>4.1044666120916224E-3</v>
      </c>
      <c r="R8" s="44"/>
      <c r="S8" s="44">
        <f t="shared" si="3"/>
        <v>54.05197603026798</v>
      </c>
      <c r="T8" s="44">
        <f t="shared" si="4"/>
        <v>1.1212291263253684</v>
      </c>
      <c r="U8" s="44">
        <f t="shared" si="5"/>
        <v>44.826794843406645</v>
      </c>
      <c r="V8" s="44"/>
      <c r="W8" s="44">
        <v>1.0200000000000001E-2</v>
      </c>
      <c r="X8" s="44">
        <v>1E-3</v>
      </c>
      <c r="Y8" s="44">
        <v>1.3328</v>
      </c>
      <c r="Z8" s="44">
        <v>2.12E-2</v>
      </c>
      <c r="AA8" s="44">
        <v>4.5561999999999996</v>
      </c>
      <c r="AB8" s="44">
        <v>3.1099999999999999E-2</v>
      </c>
      <c r="AC8" s="44">
        <v>1.6066</v>
      </c>
      <c r="AD8" s="44">
        <v>2.2000000000000001E-3</v>
      </c>
      <c r="AE8" s="44">
        <v>0.06</v>
      </c>
      <c r="AF8" s="44">
        <v>7.3615000000000004</v>
      </c>
      <c r="AG8" s="44">
        <v>1.6899999999999998E-2</v>
      </c>
      <c r="AH8" s="44">
        <v>14.999700000000001</v>
      </c>
      <c r="AI8" s="44">
        <f t="shared" si="6"/>
        <v>11.9177</v>
      </c>
    </row>
    <row r="9" spans="1:35" s="45" customFormat="1" x14ac:dyDescent="0.2">
      <c r="A9" s="43" t="s">
        <v>232</v>
      </c>
      <c r="B9" s="44">
        <v>1.2E-2</v>
      </c>
      <c r="C9" s="44">
        <v>2.8000000000000001E-2</v>
      </c>
      <c r="D9" s="44">
        <v>4.9189999999999996</v>
      </c>
      <c r="E9" s="44">
        <v>0</v>
      </c>
      <c r="F9" s="44">
        <v>28.704000000000001</v>
      </c>
      <c r="G9" s="44">
        <v>0.16400000000000001</v>
      </c>
      <c r="H9" s="44">
        <v>11.334</v>
      </c>
      <c r="I9" s="44">
        <v>3.3000000000000002E-2</v>
      </c>
      <c r="J9" s="44">
        <v>0.54900000000000004</v>
      </c>
      <c r="K9" s="44">
        <v>54.323</v>
      </c>
      <c r="L9" s="44">
        <v>7.8E-2</v>
      </c>
      <c r="M9" s="44">
        <v>100.14400000000001</v>
      </c>
      <c r="N9" s="44"/>
      <c r="O9" s="44">
        <f t="shared" si="0"/>
        <v>0.20211134491244337</v>
      </c>
      <c r="P9" s="44">
        <f t="shared" si="1"/>
        <v>0.1586774193548387</v>
      </c>
      <c r="Q9" s="44">
        <f t="shared" si="2"/>
        <v>3.7189642231106415E-3</v>
      </c>
      <c r="R9" s="44"/>
      <c r="S9" s="44">
        <f t="shared" si="3"/>
        <v>55.447752987155219</v>
      </c>
      <c r="T9" s="44">
        <f t="shared" si="4"/>
        <v>1.0202703351483704</v>
      </c>
      <c r="U9" s="44">
        <f t="shared" si="5"/>
        <v>43.531976677696413</v>
      </c>
      <c r="V9" s="44"/>
      <c r="W9" s="44">
        <v>1.1999999999999999E-3</v>
      </c>
      <c r="X9" s="44">
        <v>3.0000000000000001E-3</v>
      </c>
      <c r="Y9" s="44">
        <v>1.2927</v>
      </c>
      <c r="Z9" s="44">
        <v>0</v>
      </c>
      <c r="AA9" s="44">
        <v>4.5857999999999999</v>
      </c>
      <c r="AB9" s="44">
        <v>2.8299999999999999E-2</v>
      </c>
      <c r="AC9" s="44">
        <v>1.6459999999999999</v>
      </c>
      <c r="AD9" s="44">
        <v>3.8E-3</v>
      </c>
      <c r="AE9" s="44">
        <v>6.2199999999999998E-2</v>
      </c>
      <c r="AF9" s="44">
        <v>7.3630000000000004</v>
      </c>
      <c r="AG9" s="44">
        <v>1.5699999999999999E-2</v>
      </c>
      <c r="AH9" s="44">
        <v>15.0017</v>
      </c>
      <c r="AI9" s="44">
        <f t="shared" si="6"/>
        <v>11.9488</v>
      </c>
    </row>
    <row r="10" spans="1:35" s="45" customFormat="1" x14ac:dyDescent="0.2">
      <c r="A10" s="43" t="s">
        <v>220</v>
      </c>
      <c r="B10" s="44">
        <v>0</v>
      </c>
      <c r="C10" s="44">
        <v>0.03</v>
      </c>
      <c r="D10" s="44">
        <v>4.9770000000000003</v>
      </c>
      <c r="E10" s="44">
        <v>1.9E-2</v>
      </c>
      <c r="F10" s="44">
        <v>28.606999999999999</v>
      </c>
      <c r="G10" s="44">
        <v>0.17799999999999999</v>
      </c>
      <c r="H10" s="44">
        <v>11.188000000000001</v>
      </c>
      <c r="I10" s="44">
        <v>1E-3</v>
      </c>
      <c r="J10" s="44">
        <v>0.56699999999999995</v>
      </c>
      <c r="K10" s="44">
        <v>54.545000000000002</v>
      </c>
      <c r="L10" s="44">
        <v>8.1000000000000003E-2</v>
      </c>
      <c r="M10" s="44">
        <v>100.193</v>
      </c>
      <c r="N10" s="44"/>
      <c r="O10" s="44">
        <f t="shared" si="0"/>
        <v>0.19950782838189665</v>
      </c>
      <c r="P10" s="44">
        <f t="shared" si="1"/>
        <v>0.16054838709677421</v>
      </c>
      <c r="Q10" s="44">
        <f t="shared" si="2"/>
        <v>4.036436778742037E-3</v>
      </c>
      <c r="R10" s="44"/>
      <c r="S10" s="44">
        <f t="shared" si="3"/>
        <v>54.795895260430839</v>
      </c>
      <c r="T10" s="44">
        <f t="shared" si="4"/>
        <v>1.1086290134436116</v>
      </c>
      <c r="U10" s="44">
        <f t="shared" si="5"/>
        <v>44.095475726125549</v>
      </c>
      <c r="V10" s="44"/>
      <c r="W10" s="44">
        <v>0</v>
      </c>
      <c r="X10" s="44">
        <v>3.2000000000000002E-3</v>
      </c>
      <c r="Y10" s="44">
        <v>1.3065</v>
      </c>
      <c r="Z10" s="44">
        <v>2.2000000000000001E-3</v>
      </c>
      <c r="AA10" s="44">
        <v>4.5651999999999999</v>
      </c>
      <c r="AB10" s="44">
        <v>3.0800000000000001E-2</v>
      </c>
      <c r="AC10" s="44">
        <v>1.6231</v>
      </c>
      <c r="AD10" s="44">
        <v>2.0000000000000001E-4</v>
      </c>
      <c r="AE10" s="44">
        <v>6.4299999999999996E-2</v>
      </c>
      <c r="AF10" s="44">
        <v>7.3846999999999996</v>
      </c>
      <c r="AG10" s="44">
        <v>1.6299999999999999E-2</v>
      </c>
      <c r="AH10" s="44">
        <v>14.996499999999999</v>
      </c>
      <c r="AI10" s="44">
        <f t="shared" si="6"/>
        <v>11.9499</v>
      </c>
    </row>
    <row r="11" spans="1:35" s="45" customFormat="1" x14ac:dyDescent="0.2">
      <c r="A11" s="43" t="s">
        <v>262</v>
      </c>
      <c r="B11" s="44">
        <v>1.2E-2</v>
      </c>
      <c r="C11" s="44">
        <v>0</v>
      </c>
      <c r="D11" s="44">
        <v>4.9290000000000003</v>
      </c>
      <c r="E11" s="44">
        <v>0</v>
      </c>
      <c r="F11" s="44">
        <v>28.690999999999999</v>
      </c>
      <c r="G11" s="44">
        <v>0.20499999999999999</v>
      </c>
      <c r="H11" s="44">
        <v>11.29</v>
      </c>
      <c r="I11" s="44">
        <v>1.9E-2</v>
      </c>
      <c r="J11" s="44">
        <v>0.70499999999999996</v>
      </c>
      <c r="K11" s="44">
        <v>54.524999999999999</v>
      </c>
      <c r="L11" s="44">
        <v>6.7000000000000004E-2</v>
      </c>
      <c r="M11" s="44">
        <v>100.443</v>
      </c>
      <c r="N11" s="44"/>
      <c r="O11" s="44">
        <f t="shared" si="0"/>
        <v>0.20132672349227859</v>
      </c>
      <c r="P11" s="44">
        <f t="shared" si="1"/>
        <v>0.159</v>
      </c>
      <c r="Q11" s="44">
        <f t="shared" si="2"/>
        <v>4.6487052788883017E-3</v>
      </c>
      <c r="R11" s="44"/>
      <c r="S11" s="44">
        <f t="shared" si="3"/>
        <v>55.161719836900822</v>
      </c>
      <c r="T11" s="44">
        <f t="shared" si="4"/>
        <v>1.27370362836205</v>
      </c>
      <c r="U11" s="44">
        <f t="shared" si="5"/>
        <v>43.564576534737135</v>
      </c>
      <c r="V11" s="44"/>
      <c r="W11" s="44">
        <v>1.1999999999999999E-3</v>
      </c>
      <c r="X11" s="44">
        <v>0</v>
      </c>
      <c r="Y11" s="44">
        <v>1.2923</v>
      </c>
      <c r="Z11" s="44">
        <v>0</v>
      </c>
      <c r="AA11" s="44">
        <v>4.5724</v>
      </c>
      <c r="AB11" s="44">
        <v>3.5299999999999998E-2</v>
      </c>
      <c r="AC11" s="44">
        <v>1.6355999999999999</v>
      </c>
      <c r="AD11" s="44">
        <v>2.2000000000000001E-3</v>
      </c>
      <c r="AE11" s="44">
        <v>7.9799999999999996E-2</v>
      </c>
      <c r="AF11" s="44">
        <v>7.3720999999999997</v>
      </c>
      <c r="AG11" s="44">
        <v>1.35E-2</v>
      </c>
      <c r="AH11" s="44">
        <v>15.0044</v>
      </c>
      <c r="AI11" s="44">
        <f t="shared" si="6"/>
        <v>11.9445</v>
      </c>
    </row>
    <row r="12" spans="1:35" s="45" customFormat="1" x14ac:dyDescent="0.2">
      <c r="A12" s="43" t="s">
        <v>163</v>
      </c>
      <c r="B12" s="44">
        <v>1.6E-2</v>
      </c>
      <c r="C12" s="44">
        <v>1.7000000000000001E-2</v>
      </c>
      <c r="D12" s="44">
        <v>5.0030000000000001</v>
      </c>
      <c r="E12" s="44">
        <v>0</v>
      </c>
      <c r="F12" s="44">
        <v>28.573</v>
      </c>
      <c r="G12" s="44">
        <v>0.19900000000000001</v>
      </c>
      <c r="H12" s="44">
        <v>11.066000000000001</v>
      </c>
      <c r="I12" s="44">
        <v>4.0000000000000001E-3</v>
      </c>
      <c r="J12" s="44">
        <v>0.50600000000000001</v>
      </c>
      <c r="K12" s="44">
        <v>54.648000000000003</v>
      </c>
      <c r="L12" s="44">
        <v>8.8999999999999996E-2</v>
      </c>
      <c r="M12" s="44">
        <v>100.121</v>
      </c>
      <c r="N12" s="44"/>
      <c r="O12" s="44">
        <f t="shared" si="0"/>
        <v>0.19733228717143977</v>
      </c>
      <c r="P12" s="44">
        <f t="shared" si="1"/>
        <v>0.16138709677419355</v>
      </c>
      <c r="Q12" s="44">
        <f t="shared" si="2"/>
        <v>4.5126456121891319E-3</v>
      </c>
      <c r="R12" s="44"/>
      <c r="S12" s="44">
        <f t="shared" si="3"/>
        <v>54.32678594221457</v>
      </c>
      <c r="T12" s="44">
        <f t="shared" si="4"/>
        <v>1.2423589455155053</v>
      </c>
      <c r="U12" s="44">
        <f t="shared" si="5"/>
        <v>44.430855112269931</v>
      </c>
      <c r="V12" s="44"/>
      <c r="W12" s="44">
        <v>1.6000000000000001E-3</v>
      </c>
      <c r="X12" s="44">
        <v>1.8E-3</v>
      </c>
      <c r="Y12" s="44">
        <v>1.3134999999999999</v>
      </c>
      <c r="Z12" s="44">
        <v>0</v>
      </c>
      <c r="AA12" s="44">
        <v>4.5602</v>
      </c>
      <c r="AB12" s="44">
        <v>3.44E-2</v>
      </c>
      <c r="AC12" s="44">
        <v>1.6054999999999999</v>
      </c>
      <c r="AD12" s="44">
        <v>5.0000000000000001E-4</v>
      </c>
      <c r="AE12" s="44">
        <v>5.7299999999999997E-2</v>
      </c>
      <c r="AF12" s="44">
        <v>7.3993000000000002</v>
      </c>
      <c r="AG12" s="44">
        <v>1.7999999999999999E-2</v>
      </c>
      <c r="AH12" s="44">
        <v>14.992100000000001</v>
      </c>
      <c r="AI12" s="44">
        <f t="shared" si="6"/>
        <v>11.9595</v>
      </c>
    </row>
    <row r="13" spans="1:35" s="45" customFormat="1" x14ac:dyDescent="0.2">
      <c r="A13" s="43" t="s">
        <v>468</v>
      </c>
      <c r="B13" s="44">
        <v>0</v>
      </c>
      <c r="C13" s="44">
        <v>2.1000000000000001E-2</v>
      </c>
      <c r="D13" s="44">
        <v>5.1040000000000001</v>
      </c>
      <c r="E13" s="44">
        <v>0.21099999999999999</v>
      </c>
      <c r="F13" s="44">
        <v>28.242999999999999</v>
      </c>
      <c r="G13" s="44">
        <v>0.17499999999999999</v>
      </c>
      <c r="H13" s="44">
        <v>10.67</v>
      </c>
      <c r="I13" s="44">
        <v>0</v>
      </c>
      <c r="J13" s="44">
        <v>0.46600000000000003</v>
      </c>
      <c r="K13" s="44">
        <v>55.259</v>
      </c>
      <c r="L13" s="44">
        <v>0.10299999999999999</v>
      </c>
      <c r="M13" s="44">
        <v>100.252</v>
      </c>
      <c r="N13" s="44"/>
      <c r="O13" s="44">
        <f t="shared" si="0"/>
        <v>0.19027069438995683</v>
      </c>
      <c r="P13" s="44">
        <f t="shared" si="1"/>
        <v>0.16464516129032258</v>
      </c>
      <c r="Q13" s="44">
        <f t="shared" si="2"/>
        <v>3.9684069453924525E-3</v>
      </c>
      <c r="R13" s="44"/>
      <c r="S13" s="44">
        <f t="shared" si="3"/>
        <v>53.017285572205623</v>
      </c>
      <c r="T13" s="44">
        <f t="shared" si="4"/>
        <v>1.1057623191272759</v>
      </c>
      <c r="U13" s="44">
        <f t="shared" si="5"/>
        <v>45.876952108667112</v>
      </c>
      <c r="V13" s="44"/>
      <c r="W13" s="44">
        <v>0</v>
      </c>
      <c r="X13" s="44">
        <v>2.2000000000000001E-3</v>
      </c>
      <c r="Y13" s="44">
        <v>1.3346</v>
      </c>
      <c r="Z13" s="44">
        <v>2.41E-2</v>
      </c>
      <c r="AA13" s="44">
        <v>4.4894999999999996</v>
      </c>
      <c r="AB13" s="44">
        <v>3.0099999999999998E-2</v>
      </c>
      <c r="AC13" s="44">
        <v>1.5419</v>
      </c>
      <c r="AD13" s="44">
        <v>0</v>
      </c>
      <c r="AE13" s="44">
        <v>5.2600000000000001E-2</v>
      </c>
      <c r="AF13" s="44">
        <v>7.4523000000000001</v>
      </c>
      <c r="AG13" s="44">
        <v>2.06E-2</v>
      </c>
      <c r="AH13" s="44">
        <v>14.947900000000001</v>
      </c>
      <c r="AI13" s="44">
        <f t="shared" si="6"/>
        <v>11.941800000000001</v>
      </c>
    </row>
    <row r="14" spans="1:35" s="45" customFormat="1" x14ac:dyDescent="0.2">
      <c r="A14" s="43" t="s">
        <v>172</v>
      </c>
      <c r="B14" s="44">
        <v>0.02</v>
      </c>
      <c r="C14" s="44">
        <v>0</v>
      </c>
      <c r="D14" s="44">
        <v>4.9550000000000001</v>
      </c>
      <c r="E14" s="44">
        <v>0</v>
      </c>
      <c r="F14" s="44">
        <v>28.443999999999999</v>
      </c>
      <c r="G14" s="44">
        <v>0.19700000000000001</v>
      </c>
      <c r="H14" s="44">
        <v>11.128</v>
      </c>
      <c r="I14" s="44">
        <v>2.7E-2</v>
      </c>
      <c r="J14" s="44">
        <v>0.61299999999999999</v>
      </c>
      <c r="K14" s="44">
        <v>54.828000000000003</v>
      </c>
      <c r="L14" s="44">
        <v>0.11700000000000001</v>
      </c>
      <c r="M14" s="44">
        <v>100.32899999999999</v>
      </c>
      <c r="N14" s="44"/>
      <c r="O14" s="44">
        <f t="shared" si="0"/>
        <v>0.19843789008167195</v>
      </c>
      <c r="P14" s="44">
        <f t="shared" si="1"/>
        <v>0.15983870967741937</v>
      </c>
      <c r="Q14" s="44">
        <f t="shared" si="2"/>
        <v>4.4672923899560756E-3</v>
      </c>
      <c r="R14" s="44"/>
      <c r="S14" s="44">
        <f t="shared" si="3"/>
        <v>54.704681285201637</v>
      </c>
      <c r="T14" s="44">
        <f t="shared" si="4"/>
        <v>1.2315279420667724</v>
      </c>
      <c r="U14" s="44">
        <f t="shared" si="5"/>
        <v>44.063790772731586</v>
      </c>
      <c r="V14" s="44"/>
      <c r="W14" s="44">
        <v>2E-3</v>
      </c>
      <c r="X14" s="44">
        <v>0</v>
      </c>
      <c r="Y14" s="44">
        <v>1.2987</v>
      </c>
      <c r="Z14" s="44">
        <v>0</v>
      </c>
      <c r="AA14" s="44">
        <v>4.5321999999999996</v>
      </c>
      <c r="AB14" s="44">
        <v>3.4000000000000002E-2</v>
      </c>
      <c r="AC14" s="44">
        <v>1.6119000000000001</v>
      </c>
      <c r="AD14" s="44">
        <v>3.0999999999999999E-3</v>
      </c>
      <c r="AE14" s="44">
        <v>6.93E-2</v>
      </c>
      <c r="AF14" s="44">
        <v>7.4116999999999997</v>
      </c>
      <c r="AG14" s="44">
        <v>2.35E-2</v>
      </c>
      <c r="AH14" s="44">
        <v>14.9864</v>
      </c>
      <c r="AI14" s="44">
        <f t="shared" si="6"/>
        <v>11.943899999999999</v>
      </c>
    </row>
    <row r="15" spans="1:35" s="45" customFormat="1" x14ac:dyDescent="0.2">
      <c r="A15" s="43" t="s">
        <v>28</v>
      </c>
      <c r="B15" s="44">
        <v>2.8000000000000001E-2</v>
      </c>
      <c r="C15" s="44">
        <v>2.5000000000000001E-2</v>
      </c>
      <c r="D15" s="44">
        <v>5.13</v>
      </c>
      <c r="E15" s="44">
        <v>0.01</v>
      </c>
      <c r="F15" s="44">
        <v>28.116</v>
      </c>
      <c r="G15" s="44">
        <v>0.27200000000000002</v>
      </c>
      <c r="H15" s="44">
        <v>10.663</v>
      </c>
      <c r="I15" s="44">
        <v>1.2999999999999999E-2</v>
      </c>
      <c r="J15" s="44">
        <v>0.58399999999999996</v>
      </c>
      <c r="K15" s="44">
        <v>55.246000000000002</v>
      </c>
      <c r="L15" s="44">
        <v>8.4000000000000005E-2</v>
      </c>
      <c r="M15" s="44">
        <v>100.17100000000001</v>
      </c>
      <c r="N15" s="44"/>
      <c r="O15" s="44">
        <f t="shared" si="0"/>
        <v>0.19014586825493063</v>
      </c>
      <c r="P15" s="44">
        <f t="shared" si="1"/>
        <v>0.16548387096774192</v>
      </c>
      <c r="Q15" s="44">
        <f t="shared" si="2"/>
        <v>6.1680382236956981E-3</v>
      </c>
      <c r="R15" s="44"/>
      <c r="S15" s="44">
        <f t="shared" si="3"/>
        <v>52.555841994667105</v>
      </c>
      <c r="T15" s="44">
        <f t="shared" si="4"/>
        <v>1.7048303246169139</v>
      </c>
      <c r="U15" s="44">
        <f t="shared" si="5"/>
        <v>45.739327680715981</v>
      </c>
      <c r="V15" s="44"/>
      <c r="W15" s="44">
        <v>2.8999999999999998E-3</v>
      </c>
      <c r="X15" s="44">
        <v>2.5999999999999999E-3</v>
      </c>
      <c r="Y15" s="44">
        <v>1.3449</v>
      </c>
      <c r="Z15" s="44">
        <v>1.1000000000000001E-3</v>
      </c>
      <c r="AA15" s="44">
        <v>4.4810999999999996</v>
      </c>
      <c r="AB15" s="44">
        <v>4.6899999999999997E-2</v>
      </c>
      <c r="AC15" s="44">
        <v>1.5448999999999999</v>
      </c>
      <c r="AD15" s="44">
        <v>1.5E-3</v>
      </c>
      <c r="AE15" s="44">
        <v>6.6100000000000006E-2</v>
      </c>
      <c r="AF15" s="44">
        <v>7.4702999999999999</v>
      </c>
      <c r="AG15" s="44">
        <v>1.6799999999999999E-2</v>
      </c>
      <c r="AH15" s="44">
        <v>14.979100000000001</v>
      </c>
      <c r="AI15" s="44">
        <f t="shared" si="6"/>
        <v>11.9514</v>
      </c>
    </row>
    <row r="16" spans="1:35" s="45" customFormat="1" x14ac:dyDescent="0.2">
      <c r="A16" s="43" t="s">
        <v>182</v>
      </c>
      <c r="B16" s="44">
        <v>6.4000000000000001E-2</v>
      </c>
      <c r="C16" s="44">
        <v>2E-3</v>
      </c>
      <c r="D16" s="44">
        <v>4.8499999999999996</v>
      </c>
      <c r="E16" s="44">
        <v>0</v>
      </c>
      <c r="F16" s="44">
        <v>28.613</v>
      </c>
      <c r="G16" s="44">
        <v>0.159</v>
      </c>
      <c r="H16" s="44">
        <v>11.407</v>
      </c>
      <c r="I16" s="44">
        <v>0</v>
      </c>
      <c r="J16" s="44">
        <v>0.54800000000000004</v>
      </c>
      <c r="K16" s="44">
        <v>54.423999999999999</v>
      </c>
      <c r="L16" s="44">
        <v>9.1999999999999998E-2</v>
      </c>
      <c r="M16" s="44">
        <v>100.15900000000001</v>
      </c>
      <c r="N16" s="44"/>
      <c r="O16" s="44">
        <f t="shared" si="0"/>
        <v>0.20341310317771674</v>
      </c>
      <c r="P16" s="44">
        <f t="shared" si="1"/>
        <v>0.15645161290322579</v>
      </c>
      <c r="Q16" s="44">
        <f t="shared" si="2"/>
        <v>3.6055811675279998E-3</v>
      </c>
      <c r="R16" s="44"/>
      <c r="S16" s="44">
        <f t="shared" si="3"/>
        <v>55.964161230666477</v>
      </c>
      <c r="T16" s="44">
        <f t="shared" si="4"/>
        <v>0.99198784462522449</v>
      </c>
      <c r="U16" s="44">
        <f t="shared" si="5"/>
        <v>43.043850924708302</v>
      </c>
      <c r="V16" s="44"/>
      <c r="W16" s="44">
        <v>6.6E-3</v>
      </c>
      <c r="X16" s="44">
        <v>2.0000000000000001E-4</v>
      </c>
      <c r="Y16" s="44">
        <v>1.274</v>
      </c>
      <c r="Z16" s="44">
        <v>0</v>
      </c>
      <c r="AA16" s="44">
        <v>4.569</v>
      </c>
      <c r="AB16" s="44">
        <v>2.7400000000000001E-2</v>
      </c>
      <c r="AC16" s="44">
        <v>1.6557999999999999</v>
      </c>
      <c r="AD16" s="44">
        <v>0</v>
      </c>
      <c r="AE16" s="44">
        <v>6.2100000000000002E-2</v>
      </c>
      <c r="AF16" s="44">
        <v>7.3730000000000002</v>
      </c>
      <c r="AG16" s="44">
        <v>1.8499999999999999E-2</v>
      </c>
      <c r="AH16" s="44">
        <v>14.986599999999999</v>
      </c>
      <c r="AI16" s="44">
        <f t="shared" si="6"/>
        <v>11.942</v>
      </c>
    </row>
    <row r="17" spans="1:35" s="45" customFormat="1" x14ac:dyDescent="0.2">
      <c r="A17" s="43" t="s">
        <v>469</v>
      </c>
      <c r="B17" s="44">
        <v>2.4E-2</v>
      </c>
      <c r="C17" s="44">
        <v>1.2999999999999999E-2</v>
      </c>
      <c r="D17" s="44">
        <v>5.0259999999999998</v>
      </c>
      <c r="E17" s="44">
        <v>0</v>
      </c>
      <c r="F17" s="44">
        <v>28.337</v>
      </c>
      <c r="G17" s="44">
        <v>0.22700000000000001</v>
      </c>
      <c r="H17" s="44">
        <v>10.894</v>
      </c>
      <c r="I17" s="44">
        <v>0</v>
      </c>
      <c r="J17" s="44">
        <v>0.61699999999999999</v>
      </c>
      <c r="K17" s="44">
        <v>54.941000000000003</v>
      </c>
      <c r="L17" s="44">
        <v>8.5000000000000006E-2</v>
      </c>
      <c r="M17" s="44">
        <v>100.164</v>
      </c>
      <c r="N17" s="44"/>
      <c r="O17" s="44">
        <f t="shared" si="0"/>
        <v>0.19426513071079568</v>
      </c>
      <c r="P17" s="44">
        <f t="shared" si="1"/>
        <v>0.16212903225806452</v>
      </c>
      <c r="Q17" s="44">
        <f t="shared" si="2"/>
        <v>5.1475907234519247E-3</v>
      </c>
      <c r="R17" s="44"/>
      <c r="S17" s="44">
        <f t="shared" si="3"/>
        <v>53.73241920935191</v>
      </c>
      <c r="T17" s="44">
        <f t="shared" si="4"/>
        <v>1.42378872450587</v>
      </c>
      <c r="U17" s="44">
        <f t="shared" si="5"/>
        <v>44.843792066142221</v>
      </c>
      <c r="V17" s="44"/>
      <c r="W17" s="44">
        <v>2.5000000000000001E-3</v>
      </c>
      <c r="X17" s="44">
        <v>1.4E-3</v>
      </c>
      <c r="Y17" s="44">
        <v>1.3186</v>
      </c>
      <c r="Z17" s="44">
        <v>0</v>
      </c>
      <c r="AA17" s="44">
        <v>4.5194999999999999</v>
      </c>
      <c r="AB17" s="44">
        <v>3.9199999999999999E-2</v>
      </c>
      <c r="AC17" s="44">
        <v>1.5794999999999999</v>
      </c>
      <c r="AD17" s="44">
        <v>0</v>
      </c>
      <c r="AE17" s="44">
        <v>6.9800000000000001E-2</v>
      </c>
      <c r="AF17" s="44">
        <v>7.4341999999999997</v>
      </c>
      <c r="AG17" s="44">
        <v>1.7100000000000001E-2</v>
      </c>
      <c r="AH17" s="44">
        <v>14.9818</v>
      </c>
      <c r="AI17" s="44">
        <f t="shared" si="6"/>
        <v>11.9537</v>
      </c>
    </row>
    <row r="18" spans="1:35" s="45" customFormat="1" x14ac:dyDescent="0.2">
      <c r="A18" s="43" t="s">
        <v>470</v>
      </c>
      <c r="B18" s="44">
        <v>0.04</v>
      </c>
      <c r="C18" s="44">
        <v>0</v>
      </c>
      <c r="D18" s="44">
        <v>5.0279999999999996</v>
      </c>
      <c r="E18" s="44">
        <v>0</v>
      </c>
      <c r="F18" s="44">
        <v>28.37</v>
      </c>
      <c r="G18" s="44">
        <v>0.16200000000000001</v>
      </c>
      <c r="H18" s="44">
        <v>10.95</v>
      </c>
      <c r="I18" s="44">
        <v>0</v>
      </c>
      <c r="J18" s="44">
        <v>0.55100000000000005</v>
      </c>
      <c r="K18" s="44">
        <v>55.030999999999999</v>
      </c>
      <c r="L18" s="44">
        <v>7.3999999999999996E-2</v>
      </c>
      <c r="M18" s="44">
        <v>100.206</v>
      </c>
      <c r="N18" s="44"/>
      <c r="O18" s="44">
        <f t="shared" si="0"/>
        <v>0.19526373979100536</v>
      </c>
      <c r="P18" s="44">
        <f t="shared" si="1"/>
        <v>0.16219354838709676</v>
      </c>
      <c r="Q18" s="44">
        <f t="shared" si="2"/>
        <v>3.6736110008775847E-3</v>
      </c>
      <c r="R18" s="44"/>
      <c r="S18" s="44">
        <f t="shared" si="3"/>
        <v>54.070072717380768</v>
      </c>
      <c r="T18" s="44">
        <f t="shared" si="4"/>
        <v>1.0172519186891593</v>
      </c>
      <c r="U18" s="44">
        <f t="shared" si="5"/>
        <v>44.91267536393007</v>
      </c>
      <c r="V18" s="44"/>
      <c r="W18" s="44">
        <v>4.1000000000000003E-3</v>
      </c>
      <c r="X18" s="44">
        <v>0</v>
      </c>
      <c r="Y18" s="44">
        <v>1.3177000000000001</v>
      </c>
      <c r="Z18" s="44">
        <v>0</v>
      </c>
      <c r="AA18" s="44">
        <v>4.5198</v>
      </c>
      <c r="AB18" s="44">
        <v>2.8000000000000001E-2</v>
      </c>
      <c r="AC18" s="44">
        <v>1.5859000000000001</v>
      </c>
      <c r="AD18" s="44">
        <v>0</v>
      </c>
      <c r="AE18" s="44">
        <v>6.2300000000000001E-2</v>
      </c>
      <c r="AF18" s="44">
        <v>7.4381000000000004</v>
      </c>
      <c r="AG18" s="44">
        <v>1.49E-2</v>
      </c>
      <c r="AH18" s="44">
        <v>14.970800000000001</v>
      </c>
      <c r="AI18" s="44">
        <f t="shared" si="6"/>
        <v>11.9579</v>
      </c>
    </row>
    <row r="19" spans="1:35" s="45" customFormat="1" x14ac:dyDescent="0.2">
      <c r="A19" s="43" t="s">
        <v>471</v>
      </c>
      <c r="B19" s="44">
        <v>1.2E-2</v>
      </c>
      <c r="C19" s="44">
        <v>0</v>
      </c>
      <c r="D19" s="44">
        <v>4.8540000000000001</v>
      </c>
      <c r="E19" s="44">
        <v>0</v>
      </c>
      <c r="F19" s="44">
        <v>28.425999999999998</v>
      </c>
      <c r="G19" s="44">
        <v>0.17299999999999999</v>
      </c>
      <c r="H19" s="44">
        <v>11.141999999999999</v>
      </c>
      <c r="I19" s="44">
        <v>8.9999999999999993E-3</v>
      </c>
      <c r="J19" s="44">
        <v>0.5</v>
      </c>
      <c r="K19" s="44">
        <v>54.362000000000002</v>
      </c>
      <c r="L19" s="44">
        <v>9.9000000000000005E-2</v>
      </c>
      <c r="M19" s="44">
        <v>99.576999999999998</v>
      </c>
      <c r="N19" s="44"/>
      <c r="O19" s="44">
        <f t="shared" si="0"/>
        <v>0.19868754235172437</v>
      </c>
      <c r="P19" s="44">
        <f t="shared" si="1"/>
        <v>0.15658064516129033</v>
      </c>
      <c r="Q19" s="44">
        <f t="shared" si="2"/>
        <v>3.9230537231593953E-3</v>
      </c>
      <c r="R19" s="44"/>
      <c r="S19" s="44">
        <f t="shared" si="3"/>
        <v>55.315252584648654</v>
      </c>
      <c r="T19" s="44">
        <f t="shared" si="4"/>
        <v>1.0921908089011345</v>
      </c>
      <c r="U19" s="44">
        <f t="shared" si="5"/>
        <v>43.592556606450216</v>
      </c>
      <c r="V19" s="44"/>
      <c r="W19" s="44">
        <v>1.1999999999999999E-3</v>
      </c>
      <c r="X19" s="44">
        <v>0</v>
      </c>
      <c r="Y19" s="44">
        <v>1.2811999999999999</v>
      </c>
      <c r="Z19" s="44">
        <v>0</v>
      </c>
      <c r="AA19" s="44">
        <v>4.5605000000000002</v>
      </c>
      <c r="AB19" s="44">
        <v>0.03</v>
      </c>
      <c r="AC19" s="44">
        <v>1.6249</v>
      </c>
      <c r="AD19" s="44">
        <v>1.1000000000000001E-3</v>
      </c>
      <c r="AE19" s="44">
        <v>5.6899999999999999E-2</v>
      </c>
      <c r="AF19" s="44">
        <v>7.3992000000000004</v>
      </c>
      <c r="AG19" s="44">
        <v>0.02</v>
      </c>
      <c r="AH19" s="44">
        <v>14.975</v>
      </c>
      <c r="AI19" s="44">
        <f t="shared" si="6"/>
        <v>11.959700000000002</v>
      </c>
    </row>
    <row r="20" spans="1:35" s="45" customFormat="1" x14ac:dyDescent="0.2">
      <c r="A20" s="43" t="s">
        <v>211</v>
      </c>
      <c r="B20" s="44">
        <v>2.8000000000000001E-2</v>
      </c>
      <c r="C20" s="44">
        <v>0</v>
      </c>
      <c r="D20" s="44">
        <v>5.07</v>
      </c>
      <c r="E20" s="44">
        <v>0</v>
      </c>
      <c r="F20" s="44">
        <v>27.949000000000002</v>
      </c>
      <c r="G20" s="44">
        <v>0.192</v>
      </c>
      <c r="H20" s="44">
        <v>10.493</v>
      </c>
      <c r="I20" s="44">
        <v>0</v>
      </c>
      <c r="J20" s="44">
        <v>0.54400000000000004</v>
      </c>
      <c r="K20" s="44">
        <v>55.545000000000002</v>
      </c>
      <c r="L20" s="44">
        <v>6.8000000000000005E-2</v>
      </c>
      <c r="M20" s="44">
        <v>99.888999999999996</v>
      </c>
      <c r="N20" s="44"/>
      <c r="O20" s="44">
        <f t="shared" si="0"/>
        <v>0.18711437640429401</v>
      </c>
      <c r="P20" s="44">
        <f t="shared" si="1"/>
        <v>0.16354838709677419</v>
      </c>
      <c r="Q20" s="44">
        <f t="shared" si="2"/>
        <v>4.3539093343734339E-3</v>
      </c>
      <c r="R20" s="44"/>
      <c r="S20" s="44">
        <f t="shared" si="3"/>
        <v>52.705799676914275</v>
      </c>
      <c r="T20" s="44">
        <f t="shared" si="4"/>
        <v>1.2263957350508918</v>
      </c>
      <c r="U20" s="44">
        <f t="shared" si="5"/>
        <v>46.067804588034839</v>
      </c>
      <c r="V20" s="44"/>
      <c r="W20" s="44">
        <v>2.8999999999999998E-3</v>
      </c>
      <c r="X20" s="44">
        <v>0</v>
      </c>
      <c r="Y20" s="44">
        <v>1.33</v>
      </c>
      <c r="Z20" s="44">
        <v>0</v>
      </c>
      <c r="AA20" s="44">
        <v>4.4573</v>
      </c>
      <c r="AB20" s="44">
        <v>3.32E-2</v>
      </c>
      <c r="AC20" s="44">
        <v>1.5212000000000001</v>
      </c>
      <c r="AD20" s="44">
        <v>0</v>
      </c>
      <c r="AE20" s="44">
        <v>6.1499999999999999E-2</v>
      </c>
      <c r="AF20" s="44">
        <v>7.5152000000000001</v>
      </c>
      <c r="AG20" s="44">
        <v>1.38E-2</v>
      </c>
      <c r="AH20" s="44">
        <v>14.9351</v>
      </c>
      <c r="AI20" s="44">
        <f t="shared" si="6"/>
        <v>11.9725</v>
      </c>
    </row>
    <row r="21" spans="1:35" s="45" customFormat="1" x14ac:dyDescent="0.2">
      <c r="A21" s="43" t="s">
        <v>236</v>
      </c>
      <c r="B21" s="44">
        <v>4.8000000000000001E-2</v>
      </c>
      <c r="C21" s="44">
        <v>0</v>
      </c>
      <c r="D21" s="44">
        <v>4.819</v>
      </c>
      <c r="E21" s="44">
        <v>0</v>
      </c>
      <c r="F21" s="44">
        <v>28.606999999999999</v>
      </c>
      <c r="G21" s="44">
        <v>0.191</v>
      </c>
      <c r="H21" s="44">
        <v>11.286</v>
      </c>
      <c r="I21" s="44">
        <v>1.0999999999999999E-2</v>
      </c>
      <c r="J21" s="44">
        <v>0.64100000000000001</v>
      </c>
      <c r="K21" s="44">
        <v>54.384999999999998</v>
      </c>
      <c r="L21" s="44">
        <v>9.5000000000000001E-2</v>
      </c>
      <c r="M21" s="44">
        <v>100.083</v>
      </c>
      <c r="N21" s="44"/>
      <c r="O21" s="44">
        <f t="shared" si="0"/>
        <v>0.2012553942722636</v>
      </c>
      <c r="P21" s="44">
        <f t="shared" si="1"/>
        <v>0.15545161290322582</v>
      </c>
      <c r="Q21" s="44">
        <f t="shared" si="2"/>
        <v>4.3312327232569057E-3</v>
      </c>
      <c r="R21" s="44"/>
      <c r="S21" s="44">
        <f t="shared" si="3"/>
        <v>55.743511914058175</v>
      </c>
      <c r="T21" s="44">
        <f t="shared" si="4"/>
        <v>1.1996603807041619</v>
      </c>
      <c r="U21" s="44">
        <f t="shared" si="5"/>
        <v>43.056827705237659</v>
      </c>
      <c r="V21" s="44"/>
      <c r="W21" s="44">
        <v>4.8999999999999998E-3</v>
      </c>
      <c r="X21" s="44">
        <v>0</v>
      </c>
      <c r="Y21" s="44">
        <v>1.2670999999999999</v>
      </c>
      <c r="Z21" s="44">
        <v>0</v>
      </c>
      <c r="AA21" s="44">
        <v>4.5721999999999996</v>
      </c>
      <c r="AB21" s="44">
        <v>3.3000000000000002E-2</v>
      </c>
      <c r="AC21" s="44">
        <v>1.6397999999999999</v>
      </c>
      <c r="AD21" s="44">
        <v>1.2999999999999999E-3</v>
      </c>
      <c r="AE21" s="44">
        <v>7.2700000000000001E-2</v>
      </c>
      <c r="AF21" s="44">
        <v>7.3743999999999996</v>
      </c>
      <c r="AG21" s="44">
        <v>1.9199999999999998E-2</v>
      </c>
      <c r="AH21" s="44">
        <v>14.9846</v>
      </c>
      <c r="AI21" s="44">
        <f t="shared" si="6"/>
        <v>11.9466</v>
      </c>
    </row>
    <row r="22" spans="1:35" s="45" customFormat="1" x14ac:dyDescent="0.2">
      <c r="A22" s="43" t="s">
        <v>472</v>
      </c>
      <c r="B22" s="44">
        <v>2.8000000000000001E-2</v>
      </c>
      <c r="C22" s="44">
        <v>2.5999999999999999E-2</v>
      </c>
      <c r="D22" s="44">
        <v>4.9889999999999999</v>
      </c>
      <c r="E22" s="44">
        <v>0</v>
      </c>
      <c r="F22" s="44">
        <v>28.513999999999999</v>
      </c>
      <c r="G22" s="44">
        <v>0.17399999999999999</v>
      </c>
      <c r="H22" s="44">
        <v>11.154999999999999</v>
      </c>
      <c r="I22" s="44">
        <v>3.0000000000000001E-3</v>
      </c>
      <c r="J22" s="44">
        <v>0.54200000000000004</v>
      </c>
      <c r="K22" s="44">
        <v>54.941000000000003</v>
      </c>
      <c r="L22" s="44">
        <v>8.6999999999999994E-2</v>
      </c>
      <c r="M22" s="44">
        <v>100.459</v>
      </c>
      <c r="N22" s="44"/>
      <c r="O22" s="44">
        <f t="shared" si="0"/>
        <v>0.19891936231677304</v>
      </c>
      <c r="P22" s="44">
        <f t="shared" si="1"/>
        <v>0.16093548387096773</v>
      </c>
      <c r="Q22" s="44">
        <f t="shared" si="2"/>
        <v>3.9457303342759244E-3</v>
      </c>
      <c r="R22" s="44"/>
      <c r="S22" s="44">
        <f t="shared" si="3"/>
        <v>54.678132788702364</v>
      </c>
      <c r="T22" s="44">
        <f t="shared" si="4"/>
        <v>1.084586058658193</v>
      </c>
      <c r="U22" s="44">
        <f t="shared" si="5"/>
        <v>44.237281152639447</v>
      </c>
      <c r="V22" s="44"/>
      <c r="W22" s="44">
        <v>2.8999999999999998E-3</v>
      </c>
      <c r="X22" s="44">
        <v>2.8E-3</v>
      </c>
      <c r="Y22" s="44">
        <v>1.3053999999999999</v>
      </c>
      <c r="Z22" s="44">
        <v>0</v>
      </c>
      <c r="AA22" s="44">
        <v>4.5353000000000003</v>
      </c>
      <c r="AB22" s="44">
        <v>2.9899999999999999E-2</v>
      </c>
      <c r="AC22" s="44">
        <v>1.6129</v>
      </c>
      <c r="AD22" s="44">
        <v>4.0000000000000002E-4</v>
      </c>
      <c r="AE22" s="44">
        <v>6.1199999999999997E-2</v>
      </c>
      <c r="AF22" s="44">
        <v>7.4137000000000004</v>
      </c>
      <c r="AG22" s="44">
        <v>1.7600000000000001E-2</v>
      </c>
      <c r="AH22" s="44">
        <v>14.982100000000001</v>
      </c>
      <c r="AI22" s="44">
        <f t="shared" si="6"/>
        <v>11.949000000000002</v>
      </c>
    </row>
    <row r="23" spans="1:35" s="45" customFormat="1" x14ac:dyDescent="0.2">
      <c r="A23" s="43" t="s">
        <v>473</v>
      </c>
      <c r="B23" s="44">
        <v>2.8000000000000001E-2</v>
      </c>
      <c r="C23" s="44">
        <v>1.7000000000000001E-2</v>
      </c>
      <c r="D23" s="44">
        <v>5.2119999999999997</v>
      </c>
      <c r="E23" s="44">
        <v>0</v>
      </c>
      <c r="F23" s="44">
        <v>28.25</v>
      </c>
      <c r="G23" s="44">
        <v>0.20300000000000001</v>
      </c>
      <c r="H23" s="44">
        <v>10.599</v>
      </c>
      <c r="I23" s="44">
        <v>0</v>
      </c>
      <c r="J23" s="44">
        <v>0.56200000000000006</v>
      </c>
      <c r="K23" s="44">
        <v>55.506</v>
      </c>
      <c r="L23" s="44">
        <v>8.6999999999999994E-2</v>
      </c>
      <c r="M23" s="44">
        <v>100.464</v>
      </c>
      <c r="N23" s="44"/>
      <c r="O23" s="44">
        <f t="shared" si="0"/>
        <v>0.18900460073469097</v>
      </c>
      <c r="P23" s="44">
        <f t="shared" si="1"/>
        <v>0.1681290322580645</v>
      </c>
      <c r="Q23" s="44">
        <f t="shared" si="2"/>
        <v>4.6033520566552454E-3</v>
      </c>
      <c r="R23" s="44"/>
      <c r="S23" s="44">
        <f t="shared" si="3"/>
        <v>52.249177868520768</v>
      </c>
      <c r="T23" s="44">
        <f t="shared" si="4"/>
        <v>1.2725688129529966</v>
      </c>
      <c r="U23" s="44">
        <f t="shared" si="5"/>
        <v>46.478253318526242</v>
      </c>
      <c r="V23" s="44"/>
      <c r="W23" s="44">
        <v>2.8E-3</v>
      </c>
      <c r="X23" s="44">
        <v>1.8E-3</v>
      </c>
      <c r="Y23" s="44">
        <v>1.3613999999999999</v>
      </c>
      <c r="Z23" s="44">
        <v>0</v>
      </c>
      <c r="AA23" s="44">
        <v>4.4855999999999998</v>
      </c>
      <c r="AB23" s="44">
        <v>3.49E-2</v>
      </c>
      <c r="AC23" s="44">
        <v>1.5298</v>
      </c>
      <c r="AD23" s="44">
        <v>0</v>
      </c>
      <c r="AE23" s="44">
        <v>6.3299999999999995E-2</v>
      </c>
      <c r="AF23" s="44">
        <v>7.4771999999999998</v>
      </c>
      <c r="AG23" s="44">
        <v>1.7500000000000002E-2</v>
      </c>
      <c r="AH23" s="44">
        <v>14.974299999999999</v>
      </c>
      <c r="AI23" s="44">
        <f t="shared" si="6"/>
        <v>11.9628</v>
      </c>
    </row>
    <row r="24" spans="1:35" s="45" customFormat="1" x14ac:dyDescent="0.2">
      <c r="A24" s="43" t="s">
        <v>177</v>
      </c>
      <c r="B24" s="44">
        <v>9.6000000000000002E-2</v>
      </c>
      <c r="C24" s="44">
        <v>6.0000000000000001E-3</v>
      </c>
      <c r="D24" s="44">
        <v>5.3090000000000002</v>
      </c>
      <c r="E24" s="44">
        <v>0.217</v>
      </c>
      <c r="F24" s="44">
        <v>27.978999999999999</v>
      </c>
      <c r="G24" s="44">
        <v>0.188</v>
      </c>
      <c r="H24" s="44">
        <v>10.47</v>
      </c>
      <c r="I24" s="44">
        <v>0</v>
      </c>
      <c r="J24" s="44">
        <v>0.54600000000000004</v>
      </c>
      <c r="K24" s="44">
        <v>55.664999999999999</v>
      </c>
      <c r="L24" s="44">
        <v>8.6999999999999994E-2</v>
      </c>
      <c r="M24" s="44">
        <v>100.563</v>
      </c>
      <c r="N24" s="44"/>
      <c r="O24" s="44">
        <f t="shared" si="0"/>
        <v>0.18670423338920789</v>
      </c>
      <c r="P24" s="44">
        <f t="shared" si="1"/>
        <v>0.17125806451612904</v>
      </c>
      <c r="Q24" s="44">
        <f t="shared" si="2"/>
        <v>4.2632028899073204E-3</v>
      </c>
      <c r="R24" s="44"/>
      <c r="S24" s="44">
        <f t="shared" si="3"/>
        <v>51.543646976623677</v>
      </c>
      <c r="T24" s="44">
        <f t="shared" si="4"/>
        <v>1.176947200168877</v>
      </c>
      <c r="U24" s="44">
        <f t="shared" si="5"/>
        <v>47.279405823207441</v>
      </c>
      <c r="V24" s="44"/>
      <c r="W24" s="44">
        <v>9.7999999999999997E-3</v>
      </c>
      <c r="X24" s="44">
        <v>5.9999999999999995E-4</v>
      </c>
      <c r="Y24" s="44">
        <v>1.3842000000000001</v>
      </c>
      <c r="Z24" s="44">
        <v>2.47E-2</v>
      </c>
      <c r="AA24" s="44">
        <v>4.4345999999999997</v>
      </c>
      <c r="AB24" s="44">
        <v>3.2300000000000002E-2</v>
      </c>
      <c r="AC24" s="44">
        <v>1.5085</v>
      </c>
      <c r="AD24" s="44">
        <v>0</v>
      </c>
      <c r="AE24" s="44">
        <v>6.1499999999999999E-2</v>
      </c>
      <c r="AF24" s="44">
        <v>7.4851999999999999</v>
      </c>
      <c r="AG24" s="44">
        <v>1.7299999999999999E-2</v>
      </c>
      <c r="AH24" s="44">
        <v>14.9587</v>
      </c>
      <c r="AI24" s="44">
        <f t="shared" si="6"/>
        <v>11.919799999999999</v>
      </c>
    </row>
    <row r="25" spans="1:35" s="45" customFormat="1" x14ac:dyDescent="0.2">
      <c r="A25" s="43" t="s">
        <v>161</v>
      </c>
      <c r="B25" s="44">
        <v>6.8000000000000005E-2</v>
      </c>
      <c r="C25" s="44">
        <v>0</v>
      </c>
      <c r="D25" s="44">
        <v>5.0179999999999998</v>
      </c>
      <c r="E25" s="44">
        <v>0</v>
      </c>
      <c r="F25" s="44">
        <v>28.460999999999999</v>
      </c>
      <c r="G25" s="44">
        <v>0.156</v>
      </c>
      <c r="H25" s="44">
        <v>10.977</v>
      </c>
      <c r="I25" s="44">
        <v>1.2999999999999999E-2</v>
      </c>
      <c r="J25" s="44">
        <v>0.59299999999999997</v>
      </c>
      <c r="K25" s="44">
        <v>55.293999999999997</v>
      </c>
      <c r="L25" s="44">
        <v>0.114</v>
      </c>
      <c r="M25" s="44">
        <v>100.694</v>
      </c>
      <c r="N25" s="44"/>
      <c r="O25" s="44">
        <f t="shared" si="0"/>
        <v>0.19574521202610648</v>
      </c>
      <c r="P25" s="44">
        <f t="shared" si="1"/>
        <v>0.16187096774193549</v>
      </c>
      <c r="Q25" s="44">
        <f t="shared" si="2"/>
        <v>3.5375513341784149E-3</v>
      </c>
      <c r="R25" s="44"/>
      <c r="S25" s="44">
        <f t="shared" si="3"/>
        <v>54.19996947801242</v>
      </c>
      <c r="T25" s="44">
        <f t="shared" si="4"/>
        <v>0.97951399349579249</v>
      </c>
      <c r="U25" s="44">
        <f t="shared" si="5"/>
        <v>44.820516528491794</v>
      </c>
      <c r="V25" s="44"/>
      <c r="W25" s="44">
        <v>6.8999999999999999E-3</v>
      </c>
      <c r="X25" s="44">
        <v>0</v>
      </c>
      <c r="Y25" s="44">
        <v>1.3089</v>
      </c>
      <c r="Z25" s="44">
        <v>0</v>
      </c>
      <c r="AA25" s="44">
        <v>4.5126999999999997</v>
      </c>
      <c r="AB25" s="44">
        <v>2.6800000000000001E-2</v>
      </c>
      <c r="AC25" s="44">
        <v>1.5822000000000001</v>
      </c>
      <c r="AD25" s="44">
        <v>1.5E-3</v>
      </c>
      <c r="AE25" s="44">
        <v>6.6799999999999998E-2</v>
      </c>
      <c r="AF25" s="44">
        <v>7.4379999999999997</v>
      </c>
      <c r="AG25" s="44">
        <v>2.29E-2</v>
      </c>
      <c r="AH25" s="44">
        <v>14.966699999999999</v>
      </c>
      <c r="AI25" s="44">
        <f t="shared" si="6"/>
        <v>11.950699999999999</v>
      </c>
    </row>
    <row r="26" spans="1:35" s="45" customFormat="1" x14ac:dyDescent="0.2">
      <c r="A26" s="43" t="s">
        <v>49</v>
      </c>
      <c r="B26" s="44">
        <v>1.2E-2</v>
      </c>
      <c r="C26" s="44">
        <v>0</v>
      </c>
      <c r="D26" s="44">
        <v>4.5750000000000002</v>
      </c>
      <c r="E26" s="44">
        <v>0</v>
      </c>
      <c r="F26" s="44">
        <v>28.826000000000001</v>
      </c>
      <c r="G26" s="44">
        <v>0.13300000000000001</v>
      </c>
      <c r="H26" s="44">
        <v>11.449</v>
      </c>
      <c r="I26" s="44">
        <v>2.4E-2</v>
      </c>
      <c r="J26" s="44">
        <v>0.55600000000000005</v>
      </c>
      <c r="K26" s="44">
        <v>54.377000000000002</v>
      </c>
      <c r="L26" s="44">
        <v>7.5999999999999998E-2</v>
      </c>
      <c r="M26" s="44">
        <v>100.02800000000001</v>
      </c>
      <c r="N26" s="44"/>
      <c r="O26" s="44">
        <f t="shared" si="0"/>
        <v>0.20416205998787401</v>
      </c>
      <c r="P26" s="44">
        <f t="shared" si="1"/>
        <v>0.14758064516129032</v>
      </c>
      <c r="Q26" s="44">
        <f t="shared" si="2"/>
        <v>3.0159892784982641E-3</v>
      </c>
      <c r="R26" s="44"/>
      <c r="S26" s="44">
        <f t="shared" si="3"/>
        <v>57.549557824721298</v>
      </c>
      <c r="T26" s="44">
        <f t="shared" si="4"/>
        <v>0.85015232209150038</v>
      </c>
      <c r="U26" s="44">
        <f t="shared" si="5"/>
        <v>41.600289853187199</v>
      </c>
      <c r="V26" s="44"/>
      <c r="W26" s="44">
        <v>1.1999999999999999E-3</v>
      </c>
      <c r="X26" s="44">
        <v>0</v>
      </c>
      <c r="Y26" s="44">
        <v>1.202</v>
      </c>
      <c r="Z26" s="44">
        <v>0</v>
      </c>
      <c r="AA26" s="44">
        <v>4.6037999999999997</v>
      </c>
      <c r="AB26" s="44">
        <v>2.3E-2</v>
      </c>
      <c r="AC26" s="44">
        <v>1.6621999999999999</v>
      </c>
      <c r="AD26" s="44">
        <v>2.8E-3</v>
      </c>
      <c r="AE26" s="44">
        <v>6.3100000000000003E-2</v>
      </c>
      <c r="AF26" s="44">
        <v>7.3678999999999997</v>
      </c>
      <c r="AG26" s="44">
        <v>1.54E-2</v>
      </c>
      <c r="AH26" s="44">
        <v>14.9414</v>
      </c>
      <c r="AI26" s="44">
        <f t="shared" si="6"/>
        <v>11.971699999999998</v>
      </c>
    </row>
    <row r="27" spans="1:35" s="48" customFormat="1" x14ac:dyDescent="0.2">
      <c r="A27" s="46" t="s">
        <v>474</v>
      </c>
      <c r="B27" s="47">
        <f>MAX(B2:B26)</f>
        <v>0.105</v>
      </c>
      <c r="C27" s="47">
        <f t="shared" ref="C27:AI27" si="7">MAX(C2:C26)</f>
        <v>0.03</v>
      </c>
      <c r="D27" s="47">
        <f t="shared" si="7"/>
        <v>5.3090000000000002</v>
      </c>
      <c r="E27" s="47">
        <f t="shared" si="7"/>
        <v>0.217</v>
      </c>
      <c r="F27" s="47">
        <f t="shared" si="7"/>
        <v>28.826000000000001</v>
      </c>
      <c r="G27" s="47">
        <f t="shared" si="7"/>
        <v>0.27200000000000002</v>
      </c>
      <c r="H27" s="47">
        <f t="shared" si="7"/>
        <v>11.516</v>
      </c>
      <c r="I27" s="47">
        <f t="shared" si="7"/>
        <v>3.9E-2</v>
      </c>
      <c r="J27" s="47">
        <f t="shared" si="7"/>
        <v>0.70499999999999996</v>
      </c>
      <c r="K27" s="47">
        <f t="shared" si="7"/>
        <v>55.664999999999999</v>
      </c>
      <c r="L27" s="47">
        <f t="shared" si="7"/>
        <v>0.11700000000000001</v>
      </c>
      <c r="M27" s="47">
        <f t="shared" si="7"/>
        <v>100.694</v>
      </c>
      <c r="N27" s="47"/>
      <c r="O27" s="47">
        <f t="shared" si="0"/>
        <v>0.20535682442312492</v>
      </c>
      <c r="P27" s="47">
        <f t="shared" si="1"/>
        <v>0.17125806451612904</v>
      </c>
      <c r="Q27" s="47">
        <f t="shared" si="2"/>
        <v>6.1680382236956981E-3</v>
      </c>
      <c r="R27" s="47"/>
      <c r="S27" s="47">
        <f t="shared" si="3"/>
        <v>53.648376103175856</v>
      </c>
      <c r="T27" s="47">
        <f t="shared" si="4"/>
        <v>1.6113671185418312</v>
      </c>
      <c r="U27" s="47">
        <f t="shared" si="5"/>
        <v>44.740256778282308</v>
      </c>
      <c r="V27" s="47"/>
      <c r="W27" s="47">
        <f t="shared" si="7"/>
        <v>1.06E-2</v>
      </c>
      <c r="X27" s="47">
        <f t="shared" si="7"/>
        <v>3.2000000000000002E-3</v>
      </c>
      <c r="Y27" s="47">
        <f t="shared" si="7"/>
        <v>1.3842000000000001</v>
      </c>
      <c r="Z27" s="47">
        <f t="shared" si="7"/>
        <v>2.47E-2</v>
      </c>
      <c r="AA27" s="47">
        <f t="shared" si="7"/>
        <v>4.6037999999999997</v>
      </c>
      <c r="AB27" s="47">
        <f t="shared" si="7"/>
        <v>4.6899999999999997E-2</v>
      </c>
      <c r="AC27" s="47">
        <f t="shared" si="7"/>
        <v>1.6689000000000001</v>
      </c>
      <c r="AD27" s="47">
        <f t="shared" si="7"/>
        <v>4.4999999999999997E-3</v>
      </c>
      <c r="AE27" s="47">
        <f t="shared" si="7"/>
        <v>7.9799999999999996E-2</v>
      </c>
      <c r="AF27" s="47">
        <f t="shared" si="7"/>
        <v>7.5152000000000001</v>
      </c>
      <c r="AG27" s="47">
        <f t="shared" si="7"/>
        <v>2.35E-2</v>
      </c>
      <c r="AH27" s="47">
        <f t="shared" si="7"/>
        <v>15.013500000000001</v>
      </c>
      <c r="AI27" s="47">
        <f t="shared" si="7"/>
        <v>11.9725</v>
      </c>
    </row>
    <row r="28" spans="1:35" s="48" customFormat="1" x14ac:dyDescent="0.2">
      <c r="A28" s="46" t="s">
        <v>475</v>
      </c>
      <c r="B28" s="47">
        <f>MIN(B2:B26)</f>
        <v>0</v>
      </c>
      <c r="C28" s="47">
        <f t="shared" ref="C28:AI28" si="8">MIN(C2:C26)</f>
        <v>0</v>
      </c>
      <c r="D28" s="47">
        <f t="shared" si="8"/>
        <v>4.5750000000000002</v>
      </c>
      <c r="E28" s="47">
        <f t="shared" si="8"/>
        <v>0</v>
      </c>
      <c r="F28" s="47">
        <f t="shared" si="8"/>
        <v>27.949000000000002</v>
      </c>
      <c r="G28" s="47">
        <f t="shared" si="8"/>
        <v>0.13300000000000001</v>
      </c>
      <c r="H28" s="47">
        <f t="shared" si="8"/>
        <v>10.47</v>
      </c>
      <c r="I28" s="47">
        <f t="shared" si="8"/>
        <v>0</v>
      </c>
      <c r="J28" s="47">
        <f t="shared" si="8"/>
        <v>0.46600000000000003</v>
      </c>
      <c r="K28" s="47">
        <f t="shared" si="8"/>
        <v>54.323</v>
      </c>
      <c r="L28" s="47">
        <f t="shared" si="8"/>
        <v>6.7000000000000004E-2</v>
      </c>
      <c r="M28" s="47">
        <f t="shared" si="8"/>
        <v>99.576999999999998</v>
      </c>
      <c r="N28" s="47"/>
      <c r="O28" s="47">
        <f t="shared" si="0"/>
        <v>0.18670423338920789</v>
      </c>
      <c r="P28" s="47">
        <f t="shared" si="1"/>
        <v>0.14758064516129032</v>
      </c>
      <c r="Q28" s="47">
        <f t="shared" si="2"/>
        <v>3.0159892784982641E-3</v>
      </c>
      <c r="R28" s="47"/>
      <c r="S28" s="47">
        <f t="shared" si="3"/>
        <v>55.35243196701839</v>
      </c>
      <c r="T28" s="47">
        <f t="shared" si="4"/>
        <v>0.89415402276026723</v>
      </c>
      <c r="U28" s="47">
        <f t="shared" si="5"/>
        <v>43.753414010221341</v>
      </c>
      <c r="V28" s="47"/>
      <c r="W28" s="47">
        <f t="shared" si="8"/>
        <v>0</v>
      </c>
      <c r="X28" s="47">
        <f t="shared" si="8"/>
        <v>0</v>
      </c>
      <c r="Y28" s="47">
        <f t="shared" si="8"/>
        <v>1.202</v>
      </c>
      <c r="Z28" s="47">
        <f t="shared" si="8"/>
        <v>0</v>
      </c>
      <c r="AA28" s="47">
        <f t="shared" si="8"/>
        <v>4.4345999999999997</v>
      </c>
      <c r="AB28" s="47">
        <f t="shared" si="8"/>
        <v>2.3E-2</v>
      </c>
      <c r="AC28" s="47">
        <f t="shared" si="8"/>
        <v>1.5085</v>
      </c>
      <c r="AD28" s="47">
        <f t="shared" si="8"/>
        <v>0</v>
      </c>
      <c r="AE28" s="47">
        <f t="shared" si="8"/>
        <v>5.2600000000000001E-2</v>
      </c>
      <c r="AF28" s="47">
        <f t="shared" si="8"/>
        <v>7.3615000000000004</v>
      </c>
      <c r="AG28" s="47">
        <f t="shared" si="8"/>
        <v>1.35E-2</v>
      </c>
      <c r="AH28" s="47">
        <f t="shared" si="8"/>
        <v>14.9351</v>
      </c>
      <c r="AI28" s="47">
        <f t="shared" si="8"/>
        <v>11.9177</v>
      </c>
    </row>
    <row r="29" spans="1:35" s="51" customFormat="1" x14ac:dyDescent="0.2">
      <c r="A29" s="49" t="s">
        <v>476</v>
      </c>
      <c r="B29" s="50">
        <f>AVERAGE(B2:B26)</f>
        <v>3.9280000000000009E-2</v>
      </c>
      <c r="C29" s="50">
        <f t="shared" ref="C29:AI29" si="9">AVERAGE(C2:C26)</f>
        <v>9.5999999999999992E-3</v>
      </c>
      <c r="D29" s="50">
        <f t="shared" si="9"/>
        <v>4.9987200000000005</v>
      </c>
      <c r="E29" s="50">
        <f t="shared" si="9"/>
        <v>2.6839999999999996E-2</v>
      </c>
      <c r="F29" s="50">
        <f t="shared" si="9"/>
        <v>28.4604</v>
      </c>
      <c r="G29" s="50">
        <f t="shared" si="9"/>
        <v>0.18595999999999996</v>
      </c>
      <c r="H29" s="50">
        <f t="shared" si="9"/>
        <v>11.031359999999999</v>
      </c>
      <c r="I29" s="50">
        <f t="shared" si="9"/>
        <v>1.0720000000000002E-2</v>
      </c>
      <c r="J29" s="50">
        <f t="shared" si="9"/>
        <v>0.56132000000000004</v>
      </c>
      <c r="K29" s="50">
        <f t="shared" si="9"/>
        <v>54.840120000000006</v>
      </c>
      <c r="L29" s="50">
        <f t="shared" si="9"/>
        <v>8.8599999999999998E-2</v>
      </c>
      <c r="M29" s="50">
        <f t="shared" si="9"/>
        <v>100.25291999999999</v>
      </c>
      <c r="N29" s="50"/>
      <c r="O29" s="50">
        <f t="shared" si="0"/>
        <v>0.19671457612611004</v>
      </c>
      <c r="P29" s="50">
        <f t="shared" si="1"/>
        <v>0.16124903225806453</v>
      </c>
      <c r="Q29" s="50">
        <f t="shared" si="2"/>
        <v>4.2169426032296021E-3</v>
      </c>
      <c r="R29" s="50"/>
      <c r="S29" s="50">
        <f t="shared" si="3"/>
        <v>54.313953521195927</v>
      </c>
      <c r="T29" s="50">
        <f t="shared" si="4"/>
        <v>1.1643205555165932</v>
      </c>
      <c r="U29" s="50">
        <f t="shared" si="5"/>
        <v>44.521725923287477</v>
      </c>
      <c r="V29" s="50"/>
      <c r="W29" s="50">
        <f t="shared" si="9"/>
        <v>4.0080000000000011E-3</v>
      </c>
      <c r="X29" s="50">
        <f t="shared" si="9"/>
        <v>1.0159999999999998E-3</v>
      </c>
      <c r="Y29" s="50">
        <f t="shared" si="9"/>
        <v>1.3103119999999999</v>
      </c>
      <c r="Z29" s="50">
        <f t="shared" si="9"/>
        <v>3.0639999999999999E-3</v>
      </c>
      <c r="AA29" s="50">
        <f t="shared" si="9"/>
        <v>4.5353240000000001</v>
      </c>
      <c r="AB29" s="50">
        <f t="shared" si="9"/>
        <v>3.2076000000000007E-2</v>
      </c>
      <c r="AC29" s="50">
        <f t="shared" si="9"/>
        <v>1.5980719999999997</v>
      </c>
      <c r="AD29" s="50">
        <f t="shared" si="9"/>
        <v>1.2440000000000001E-3</v>
      </c>
      <c r="AE29" s="50">
        <f t="shared" si="9"/>
        <v>6.3487999999999975E-2</v>
      </c>
      <c r="AF29" s="50">
        <f t="shared" si="9"/>
        <v>7.4139999999999997</v>
      </c>
      <c r="AG29" s="50">
        <f t="shared" si="9"/>
        <v>1.7832000000000001E-2</v>
      </c>
      <c r="AH29" s="50">
        <f t="shared" si="9"/>
        <v>14.980435999999999</v>
      </c>
      <c r="AI29" s="50">
        <f t="shared" si="9"/>
        <v>11.949323999999999</v>
      </c>
    </row>
    <row r="30" spans="1:35" x14ac:dyDescent="0.2"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</row>
    <row r="31" spans="1:35" x14ac:dyDescent="0.2">
      <c r="A31" s="55" t="s">
        <v>477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</row>
    <row r="32" spans="1:35" s="45" customFormat="1" x14ac:dyDescent="0.2">
      <c r="A32" s="43" t="s">
        <v>478</v>
      </c>
      <c r="B32" s="44">
        <v>0.04</v>
      </c>
      <c r="C32" s="44">
        <v>3.5999999999999997E-2</v>
      </c>
      <c r="D32" s="44">
        <v>6.024</v>
      </c>
      <c r="E32" s="44">
        <v>0</v>
      </c>
      <c r="F32" s="44">
        <v>26.878</v>
      </c>
      <c r="G32" s="44">
        <v>0.374</v>
      </c>
      <c r="H32" s="44">
        <v>9.1769999999999996</v>
      </c>
      <c r="I32" s="44">
        <v>0</v>
      </c>
      <c r="J32" s="44">
        <v>0.67400000000000004</v>
      </c>
      <c r="K32" s="44">
        <v>57.374000000000002</v>
      </c>
      <c r="L32" s="44">
        <v>0.05</v>
      </c>
      <c r="M32" s="44">
        <v>100.627</v>
      </c>
      <c r="N32" s="44"/>
      <c r="O32" s="44">
        <f t="shared" ref="O32:O59" si="10">H32/(40.078+16)</f>
        <v>0.16364706301936588</v>
      </c>
      <c r="P32" s="44">
        <f t="shared" ref="P32:P59" si="11">D32/(23*2+16)*2</f>
        <v>0.19432258064516128</v>
      </c>
      <c r="Q32" s="44">
        <f t="shared" ref="Q32:Q59" si="12">G32/(36.0983*2+16)*2</f>
        <v>8.4810525575815844E-3</v>
      </c>
      <c r="R32" s="44"/>
      <c r="S32" s="44">
        <v>44.657320809175943</v>
      </c>
      <c r="T32" s="44">
        <v>2.3143775260945745</v>
      </c>
      <c r="U32" s="44">
        <v>53.028301664729483</v>
      </c>
      <c r="V32" s="44"/>
      <c r="W32" s="44">
        <v>4.1000000000000003E-3</v>
      </c>
      <c r="X32" s="44">
        <v>3.8E-3</v>
      </c>
      <c r="Y32" s="44">
        <v>1.5669</v>
      </c>
      <c r="Z32" s="44">
        <v>0</v>
      </c>
      <c r="AA32" s="44">
        <v>4.2496</v>
      </c>
      <c r="AB32" s="44">
        <v>6.4000000000000001E-2</v>
      </c>
      <c r="AC32" s="44">
        <v>1.319</v>
      </c>
      <c r="AD32" s="44">
        <v>0</v>
      </c>
      <c r="AE32" s="44">
        <v>7.5600000000000001E-2</v>
      </c>
      <c r="AF32" s="44">
        <v>7.6959</v>
      </c>
      <c r="AG32" s="44">
        <v>9.9000000000000008E-3</v>
      </c>
      <c r="AH32" s="44">
        <v>14.988799999999999</v>
      </c>
      <c r="AI32" s="44">
        <f t="shared" si="6"/>
        <v>11.945499999999999</v>
      </c>
    </row>
    <row r="33" spans="1:35" s="45" customFormat="1" x14ac:dyDescent="0.2">
      <c r="A33" s="43" t="s">
        <v>479</v>
      </c>
      <c r="B33" s="44">
        <v>3.2000000000000001E-2</v>
      </c>
      <c r="C33" s="44">
        <v>0</v>
      </c>
      <c r="D33" s="44">
        <v>5.48</v>
      </c>
      <c r="E33" s="44">
        <v>0</v>
      </c>
      <c r="F33" s="44">
        <v>27.655000000000001</v>
      </c>
      <c r="G33" s="44">
        <v>0.26900000000000002</v>
      </c>
      <c r="H33" s="44">
        <v>10.01</v>
      </c>
      <c r="I33" s="44">
        <v>6.0000000000000001E-3</v>
      </c>
      <c r="J33" s="44">
        <v>0.72699999999999998</v>
      </c>
      <c r="K33" s="44">
        <v>55.866999999999997</v>
      </c>
      <c r="L33" s="44">
        <v>7.1999999999999995E-2</v>
      </c>
      <c r="M33" s="44">
        <v>100.11799999999999</v>
      </c>
      <c r="N33" s="44"/>
      <c r="O33" s="44">
        <f t="shared" si="10"/>
        <v>0.17850137308748529</v>
      </c>
      <c r="P33" s="44">
        <f t="shared" si="11"/>
        <v>0.17677419354838711</v>
      </c>
      <c r="Q33" s="44">
        <f t="shared" si="12"/>
        <v>6.1000083903461136E-3</v>
      </c>
      <c r="R33" s="44"/>
      <c r="S33" s="44">
        <v>49.394974487286433</v>
      </c>
      <c r="T33" s="44">
        <v>1.6879968686050641</v>
      </c>
      <c r="U33" s="44">
        <v>48.917028644108498</v>
      </c>
      <c r="V33" s="44"/>
      <c r="W33" s="44">
        <v>3.3E-3</v>
      </c>
      <c r="X33" s="44">
        <v>0</v>
      </c>
      <c r="Y33" s="44">
        <v>1.4358</v>
      </c>
      <c r="Z33" s="44">
        <v>0</v>
      </c>
      <c r="AA33" s="44">
        <v>4.4047999999999998</v>
      </c>
      <c r="AB33" s="44">
        <v>4.6399999999999997E-2</v>
      </c>
      <c r="AC33" s="44">
        <v>1.4494</v>
      </c>
      <c r="AD33" s="44">
        <v>6.9999999999999999E-4</v>
      </c>
      <c r="AE33" s="44">
        <v>8.2199999999999995E-2</v>
      </c>
      <c r="AF33" s="44">
        <v>7.5491999999999999</v>
      </c>
      <c r="AG33" s="44">
        <v>1.44E-2</v>
      </c>
      <c r="AH33" s="44">
        <v>14.9862</v>
      </c>
      <c r="AI33" s="44">
        <f t="shared" si="6"/>
        <v>11.954000000000001</v>
      </c>
    </row>
    <row r="34" spans="1:35" s="45" customFormat="1" x14ac:dyDescent="0.2">
      <c r="A34" s="43" t="s">
        <v>480</v>
      </c>
      <c r="B34" s="44">
        <v>0.121</v>
      </c>
      <c r="C34" s="44">
        <v>2.3E-2</v>
      </c>
      <c r="D34" s="44">
        <v>5.9790000000000001</v>
      </c>
      <c r="E34" s="44">
        <v>1.6E-2</v>
      </c>
      <c r="F34" s="44">
        <v>26.456</v>
      </c>
      <c r="G34" s="44">
        <v>0.69799999999999995</v>
      </c>
      <c r="H34" s="44">
        <v>8.3490000000000002</v>
      </c>
      <c r="I34" s="44">
        <v>8.9999999999999993E-3</v>
      </c>
      <c r="J34" s="44">
        <v>0.629</v>
      </c>
      <c r="K34" s="44">
        <v>57.917999999999999</v>
      </c>
      <c r="L34" s="44">
        <v>3.3000000000000002E-2</v>
      </c>
      <c r="M34" s="44">
        <v>100.23099999999999</v>
      </c>
      <c r="N34" s="44"/>
      <c r="O34" s="44">
        <f t="shared" si="10"/>
        <v>0.1488819144762652</v>
      </c>
      <c r="P34" s="44">
        <f t="shared" si="11"/>
        <v>0.19287096774193549</v>
      </c>
      <c r="Q34" s="44">
        <f t="shared" si="12"/>
        <v>1.5828274559336754E-2</v>
      </c>
      <c r="R34" s="44"/>
      <c r="S34" s="44">
        <v>41.635838928976163</v>
      </c>
      <c r="T34" s="44">
        <v>4.4264845222770015</v>
      </c>
      <c r="U34" s="44">
        <v>53.937676548746836</v>
      </c>
      <c r="V34" s="44"/>
      <c r="W34" s="44">
        <v>1.2200000000000001E-2</v>
      </c>
      <c r="X34" s="44">
        <v>2.3999999999999998E-3</v>
      </c>
      <c r="Y34" s="44">
        <v>1.5578000000000001</v>
      </c>
      <c r="Z34" s="44">
        <v>1.8E-3</v>
      </c>
      <c r="AA34" s="44">
        <v>4.1898999999999997</v>
      </c>
      <c r="AB34" s="44">
        <v>0.1197</v>
      </c>
      <c r="AC34" s="44">
        <v>1.202</v>
      </c>
      <c r="AD34" s="44">
        <v>1.1000000000000001E-3</v>
      </c>
      <c r="AE34" s="44">
        <v>7.0699999999999999E-2</v>
      </c>
      <c r="AF34" s="44">
        <v>7.7817999999999996</v>
      </c>
      <c r="AG34" s="44">
        <v>6.6E-3</v>
      </c>
      <c r="AH34" s="44">
        <v>14.946</v>
      </c>
      <c r="AI34" s="44">
        <f t="shared" si="6"/>
        <v>11.971699999999998</v>
      </c>
    </row>
    <row r="35" spans="1:35" s="45" customFormat="1" x14ac:dyDescent="0.2">
      <c r="A35" s="43" t="s">
        <v>481</v>
      </c>
      <c r="B35" s="44">
        <v>0.06</v>
      </c>
      <c r="C35" s="44">
        <v>4.9000000000000002E-2</v>
      </c>
      <c r="D35" s="44">
        <v>5.8710000000000004</v>
      </c>
      <c r="E35" s="44">
        <v>0.156</v>
      </c>
      <c r="F35" s="44">
        <v>27.222999999999999</v>
      </c>
      <c r="G35" s="44">
        <v>0.34799999999999998</v>
      </c>
      <c r="H35" s="44">
        <v>9.4290000000000003</v>
      </c>
      <c r="I35" s="44">
        <v>3.6999999999999998E-2</v>
      </c>
      <c r="J35" s="44">
        <v>0.72699999999999998</v>
      </c>
      <c r="K35" s="44">
        <v>56.881999999999998</v>
      </c>
      <c r="L35" s="44">
        <v>5.7000000000000002E-2</v>
      </c>
      <c r="M35" s="44">
        <v>100.839</v>
      </c>
      <c r="N35" s="44"/>
      <c r="O35" s="44">
        <f t="shared" si="10"/>
        <v>0.16814080388030955</v>
      </c>
      <c r="P35" s="44">
        <f t="shared" si="11"/>
        <v>0.18938709677419358</v>
      </c>
      <c r="Q35" s="44">
        <f t="shared" si="12"/>
        <v>7.8914606685518487E-3</v>
      </c>
      <c r="R35" s="44"/>
      <c r="S35" s="44">
        <v>46.013107590011337</v>
      </c>
      <c r="T35" s="44">
        <v>2.1595628211870452</v>
      </c>
      <c r="U35" s="44">
        <v>51.827329588801618</v>
      </c>
      <c r="V35" s="44"/>
      <c r="W35" s="44">
        <v>6.1000000000000004E-3</v>
      </c>
      <c r="X35" s="44">
        <v>5.1999999999999998E-3</v>
      </c>
      <c r="Y35" s="44">
        <v>1.5254000000000001</v>
      </c>
      <c r="Z35" s="44">
        <v>1.77E-2</v>
      </c>
      <c r="AA35" s="44">
        <v>4.2995000000000001</v>
      </c>
      <c r="AB35" s="44">
        <v>5.9499999999999997E-2</v>
      </c>
      <c r="AC35" s="44">
        <v>1.3537999999999999</v>
      </c>
      <c r="AD35" s="44">
        <v>4.1999999999999997E-3</v>
      </c>
      <c r="AE35" s="44">
        <v>8.1500000000000003E-2</v>
      </c>
      <c r="AF35" s="44">
        <v>7.6216999999999997</v>
      </c>
      <c r="AG35" s="44">
        <v>1.1299999999999999E-2</v>
      </c>
      <c r="AH35" s="44">
        <v>14.985900000000001</v>
      </c>
      <c r="AI35" s="44">
        <f t="shared" si="6"/>
        <v>11.921199999999999</v>
      </c>
    </row>
    <row r="36" spans="1:35" s="45" customFormat="1" x14ac:dyDescent="0.2">
      <c r="A36" s="43" t="s">
        <v>213</v>
      </c>
      <c r="B36" s="44">
        <v>4.0000000000000001E-3</v>
      </c>
      <c r="C36" s="44">
        <v>0</v>
      </c>
      <c r="D36" s="44">
        <v>5.9960000000000004</v>
      </c>
      <c r="E36" s="44">
        <v>0</v>
      </c>
      <c r="F36" s="44">
        <v>26.486000000000001</v>
      </c>
      <c r="G36" s="44">
        <v>0.371</v>
      </c>
      <c r="H36" s="44">
        <v>8.7249999999999996</v>
      </c>
      <c r="I36" s="44">
        <v>0</v>
      </c>
      <c r="J36" s="44">
        <v>0.629</v>
      </c>
      <c r="K36" s="44">
        <v>57.942</v>
      </c>
      <c r="L36" s="44">
        <v>3.9E-2</v>
      </c>
      <c r="M36" s="44">
        <v>100.19199999999999</v>
      </c>
      <c r="N36" s="44"/>
      <c r="O36" s="44">
        <f t="shared" si="10"/>
        <v>0.15558686115767323</v>
      </c>
      <c r="P36" s="44">
        <f t="shared" si="11"/>
        <v>0.1934193548387097</v>
      </c>
      <c r="Q36" s="44">
        <f t="shared" si="12"/>
        <v>8.4130227242319999E-3</v>
      </c>
      <c r="R36" s="44"/>
      <c r="S36" s="44">
        <v>43.530634141183242</v>
      </c>
      <c r="T36" s="44">
        <v>2.3538248121020242</v>
      </c>
      <c r="U36" s="44">
        <v>54.115541046714732</v>
      </c>
      <c r="V36" s="44"/>
      <c r="W36" s="44">
        <v>4.0000000000000002E-4</v>
      </c>
      <c r="X36" s="44">
        <v>0</v>
      </c>
      <c r="Y36" s="44">
        <v>1.5613999999999999</v>
      </c>
      <c r="Z36" s="44">
        <v>0</v>
      </c>
      <c r="AA36" s="44">
        <v>4.1927000000000003</v>
      </c>
      <c r="AB36" s="44">
        <v>6.3600000000000004E-2</v>
      </c>
      <c r="AC36" s="44">
        <v>1.2555000000000001</v>
      </c>
      <c r="AD36" s="44">
        <v>0</v>
      </c>
      <c r="AE36" s="44">
        <v>7.0699999999999999E-2</v>
      </c>
      <c r="AF36" s="44">
        <v>7.7817999999999996</v>
      </c>
      <c r="AG36" s="44">
        <v>7.7000000000000002E-3</v>
      </c>
      <c r="AH36" s="44">
        <v>14.9338</v>
      </c>
      <c r="AI36" s="44">
        <f t="shared" si="6"/>
        <v>11.974499999999999</v>
      </c>
    </row>
    <row r="37" spans="1:35" s="45" customFormat="1" x14ac:dyDescent="0.2">
      <c r="A37" s="43" t="s">
        <v>482</v>
      </c>
      <c r="B37" s="44">
        <v>3.5999999999999997E-2</v>
      </c>
      <c r="C37" s="44">
        <v>0</v>
      </c>
      <c r="D37" s="44">
        <v>5.835</v>
      </c>
      <c r="E37" s="44">
        <v>5.0000000000000001E-3</v>
      </c>
      <c r="F37" s="44">
        <v>26.707000000000001</v>
      </c>
      <c r="G37" s="44">
        <v>0.33700000000000002</v>
      </c>
      <c r="H37" s="44">
        <v>8.7270000000000003</v>
      </c>
      <c r="I37" s="44">
        <v>0.02</v>
      </c>
      <c r="J37" s="44">
        <v>0.54</v>
      </c>
      <c r="K37" s="44">
        <v>57.948</v>
      </c>
      <c r="L37" s="44">
        <v>4.1000000000000002E-2</v>
      </c>
      <c r="M37" s="44">
        <v>100.196</v>
      </c>
      <c r="N37" s="44"/>
      <c r="O37" s="44">
        <f t="shared" si="10"/>
        <v>0.15562252576768074</v>
      </c>
      <c r="P37" s="44">
        <f t="shared" si="11"/>
        <v>0.18822580645161291</v>
      </c>
      <c r="Q37" s="44">
        <f t="shared" si="12"/>
        <v>7.6420179462700381E-3</v>
      </c>
      <c r="R37" s="44"/>
      <c r="S37" s="44">
        <v>44.275049284959692</v>
      </c>
      <c r="T37" s="44">
        <v>2.1741757469786562</v>
      </c>
      <c r="U37" s="44">
        <v>53.550774968061646</v>
      </c>
      <c r="V37" s="44"/>
      <c r="W37" s="44">
        <v>3.5999999999999999E-3</v>
      </c>
      <c r="X37" s="44">
        <v>0</v>
      </c>
      <c r="Y37" s="44">
        <v>1.5176000000000001</v>
      </c>
      <c r="Z37" s="44">
        <v>5.9999999999999995E-4</v>
      </c>
      <c r="AA37" s="44">
        <v>4.2222999999999997</v>
      </c>
      <c r="AB37" s="44">
        <v>5.7700000000000001E-2</v>
      </c>
      <c r="AC37" s="44">
        <v>1.2542</v>
      </c>
      <c r="AD37" s="44">
        <v>2.3E-3</v>
      </c>
      <c r="AE37" s="44">
        <v>6.0499999999999998E-2</v>
      </c>
      <c r="AF37" s="44">
        <v>7.7725</v>
      </c>
      <c r="AG37" s="44">
        <v>8.0999999999999996E-3</v>
      </c>
      <c r="AH37" s="44">
        <v>14.8994</v>
      </c>
      <c r="AI37" s="44">
        <f t="shared" si="6"/>
        <v>11.9948</v>
      </c>
    </row>
    <row r="38" spans="1:35" s="45" customFormat="1" x14ac:dyDescent="0.2">
      <c r="A38" s="43" t="s">
        <v>483</v>
      </c>
      <c r="B38" s="44">
        <v>0.08</v>
      </c>
      <c r="C38" s="44">
        <v>0</v>
      </c>
      <c r="D38" s="44">
        <v>6.3570000000000002</v>
      </c>
      <c r="E38" s="44">
        <v>0</v>
      </c>
      <c r="F38" s="44">
        <v>26.326000000000001</v>
      </c>
      <c r="G38" s="44">
        <v>0.56599999999999995</v>
      </c>
      <c r="H38" s="44">
        <v>8.2959999999999994</v>
      </c>
      <c r="I38" s="44">
        <v>3.3000000000000002E-2</v>
      </c>
      <c r="J38" s="44">
        <v>0.745</v>
      </c>
      <c r="K38" s="44">
        <v>58.622</v>
      </c>
      <c r="L38" s="44">
        <v>4.2999999999999997E-2</v>
      </c>
      <c r="M38" s="44">
        <v>101.068</v>
      </c>
      <c r="N38" s="44"/>
      <c r="O38" s="44">
        <f t="shared" si="10"/>
        <v>0.14793680231106671</v>
      </c>
      <c r="P38" s="44">
        <f t="shared" si="11"/>
        <v>0.20506451612903226</v>
      </c>
      <c r="Q38" s="44">
        <f t="shared" si="12"/>
        <v>1.2834961891955017E-2</v>
      </c>
      <c r="R38" s="44"/>
      <c r="S38" s="44">
        <v>40.437980119629138</v>
      </c>
      <c r="T38" s="44">
        <v>3.5083895671323995</v>
      </c>
      <c r="U38" s="44">
        <v>56.053630313238457</v>
      </c>
      <c r="V38" s="44"/>
      <c r="W38" s="44">
        <v>8.0000000000000002E-3</v>
      </c>
      <c r="X38" s="44">
        <v>0</v>
      </c>
      <c r="Y38" s="44">
        <v>1.6433</v>
      </c>
      <c r="Z38" s="44">
        <v>0</v>
      </c>
      <c r="AA38" s="44">
        <v>4.1364000000000001</v>
      </c>
      <c r="AB38" s="44">
        <v>9.6299999999999997E-2</v>
      </c>
      <c r="AC38" s="44">
        <v>1.1850000000000001</v>
      </c>
      <c r="AD38" s="44">
        <v>3.7000000000000002E-3</v>
      </c>
      <c r="AE38" s="44">
        <v>8.3099999999999993E-2</v>
      </c>
      <c r="AF38" s="44">
        <v>7.8146000000000004</v>
      </c>
      <c r="AG38" s="44">
        <v>8.5000000000000006E-3</v>
      </c>
      <c r="AH38" s="44">
        <v>14.978899999999999</v>
      </c>
      <c r="AI38" s="44">
        <f t="shared" si="6"/>
        <v>11.951000000000001</v>
      </c>
    </row>
    <row r="39" spans="1:35" s="45" customFormat="1" x14ac:dyDescent="0.2">
      <c r="A39" s="43" t="s">
        <v>26</v>
      </c>
      <c r="B39" s="44">
        <v>4.0000000000000001E-3</v>
      </c>
      <c r="C39" s="44">
        <v>0</v>
      </c>
      <c r="D39" s="44">
        <v>6.3150000000000004</v>
      </c>
      <c r="E39" s="44">
        <v>0</v>
      </c>
      <c r="F39" s="44">
        <v>26.259</v>
      </c>
      <c r="G39" s="44">
        <v>0.56399999999999995</v>
      </c>
      <c r="H39" s="44">
        <v>8.2569999999999997</v>
      </c>
      <c r="I39" s="44">
        <v>3.0000000000000001E-3</v>
      </c>
      <c r="J39" s="44">
        <v>0.61499999999999999</v>
      </c>
      <c r="K39" s="44">
        <v>58.825000000000003</v>
      </c>
      <c r="L39" s="44">
        <v>5.6000000000000001E-2</v>
      </c>
      <c r="M39" s="44">
        <v>100.898</v>
      </c>
      <c r="N39" s="44"/>
      <c r="O39" s="44">
        <f t="shared" si="10"/>
        <v>0.14724134241592066</v>
      </c>
      <c r="P39" s="44">
        <f t="shared" si="11"/>
        <v>0.20370967741935486</v>
      </c>
      <c r="Q39" s="44">
        <f t="shared" si="12"/>
        <v>1.2789608669721961E-2</v>
      </c>
      <c r="R39" s="44"/>
      <c r="S39" s="44">
        <v>40.479762467309236</v>
      </c>
      <c r="T39" s="44">
        <v>3.5161342086772809</v>
      </c>
      <c r="U39" s="44">
        <v>56.004103324013485</v>
      </c>
      <c r="V39" s="44"/>
      <c r="W39" s="44">
        <v>4.0000000000000002E-4</v>
      </c>
      <c r="X39" s="44">
        <v>0</v>
      </c>
      <c r="Y39" s="44">
        <v>1.6325000000000001</v>
      </c>
      <c r="Z39" s="44">
        <v>0</v>
      </c>
      <c r="AA39" s="44">
        <v>4.1265999999999998</v>
      </c>
      <c r="AB39" s="44">
        <v>9.5899999999999999E-2</v>
      </c>
      <c r="AC39" s="44">
        <v>1.1796</v>
      </c>
      <c r="AD39" s="44">
        <v>2.9999999999999997E-4</v>
      </c>
      <c r="AE39" s="44">
        <v>6.8599999999999994E-2</v>
      </c>
      <c r="AF39" s="44">
        <v>7.8426999999999998</v>
      </c>
      <c r="AG39" s="44">
        <v>1.11E-2</v>
      </c>
      <c r="AH39" s="44">
        <v>14.957700000000001</v>
      </c>
      <c r="AI39" s="44">
        <f t="shared" si="6"/>
        <v>11.9693</v>
      </c>
    </row>
    <row r="40" spans="1:35" s="45" customFormat="1" x14ac:dyDescent="0.2">
      <c r="A40" s="43" t="s">
        <v>484</v>
      </c>
      <c r="B40" s="44">
        <v>0.1</v>
      </c>
      <c r="C40" s="44">
        <v>0</v>
      </c>
      <c r="D40" s="44">
        <v>6.5250000000000004</v>
      </c>
      <c r="E40" s="44">
        <v>0</v>
      </c>
      <c r="F40" s="44">
        <v>26.245000000000001</v>
      </c>
      <c r="G40" s="44">
        <v>0.435</v>
      </c>
      <c r="H40" s="44">
        <v>7.851</v>
      </c>
      <c r="I40" s="44">
        <v>1.7000000000000001E-2</v>
      </c>
      <c r="J40" s="44">
        <v>0.68500000000000005</v>
      </c>
      <c r="K40" s="44">
        <v>58.816000000000003</v>
      </c>
      <c r="L40" s="44">
        <v>2.3E-2</v>
      </c>
      <c r="M40" s="44">
        <v>100.697</v>
      </c>
      <c r="N40" s="44"/>
      <c r="O40" s="44">
        <f t="shared" si="10"/>
        <v>0.14000142658440029</v>
      </c>
      <c r="P40" s="44">
        <f t="shared" si="11"/>
        <v>0.21048387096774196</v>
      </c>
      <c r="Q40" s="44">
        <f t="shared" si="12"/>
        <v>9.8643258356898109E-3</v>
      </c>
      <c r="R40" s="44"/>
      <c r="S40" s="44">
        <v>38.851553463043729</v>
      </c>
      <c r="T40" s="44">
        <v>2.7374319814601753</v>
      </c>
      <c r="U40" s="44">
        <v>58.411014555496102</v>
      </c>
      <c r="V40" s="44"/>
      <c r="W40" s="44">
        <v>1.01E-2</v>
      </c>
      <c r="X40" s="44">
        <v>0</v>
      </c>
      <c r="Y40" s="44">
        <v>1.6886000000000001</v>
      </c>
      <c r="Z40" s="44">
        <v>0</v>
      </c>
      <c r="AA40" s="44">
        <v>4.1287000000000003</v>
      </c>
      <c r="AB40" s="44">
        <v>7.3999999999999996E-2</v>
      </c>
      <c r="AC40" s="44">
        <v>1.1228</v>
      </c>
      <c r="AD40" s="44">
        <v>1.9E-3</v>
      </c>
      <c r="AE40" s="44">
        <v>7.6499999999999999E-2</v>
      </c>
      <c r="AF40" s="44">
        <v>7.8498999999999999</v>
      </c>
      <c r="AG40" s="44">
        <v>4.4999999999999997E-3</v>
      </c>
      <c r="AH40" s="44">
        <v>14.957000000000001</v>
      </c>
      <c r="AI40" s="44">
        <f t="shared" si="6"/>
        <v>11.9786</v>
      </c>
    </row>
    <row r="41" spans="1:35" s="45" customFormat="1" x14ac:dyDescent="0.2">
      <c r="A41" s="43" t="s">
        <v>120</v>
      </c>
      <c r="B41" s="44">
        <v>9.1999999999999998E-2</v>
      </c>
      <c r="C41" s="44">
        <v>0.04</v>
      </c>
      <c r="D41" s="44">
        <v>5.9390000000000001</v>
      </c>
      <c r="E41" s="44">
        <v>2E-3</v>
      </c>
      <c r="F41" s="44">
        <v>26.873000000000001</v>
      </c>
      <c r="G41" s="44">
        <v>0.42599999999999999</v>
      </c>
      <c r="H41" s="44">
        <v>8.9529999999999994</v>
      </c>
      <c r="I41" s="44">
        <v>0.02</v>
      </c>
      <c r="J41" s="44">
        <v>0.72399999999999998</v>
      </c>
      <c r="K41" s="44">
        <v>57.177999999999997</v>
      </c>
      <c r="L41" s="44">
        <v>0.05</v>
      </c>
      <c r="M41" s="44">
        <v>100.297</v>
      </c>
      <c r="N41" s="44"/>
      <c r="O41" s="44">
        <f t="shared" si="10"/>
        <v>0.15965262669852703</v>
      </c>
      <c r="P41" s="44">
        <f t="shared" si="11"/>
        <v>0.19158064516129034</v>
      </c>
      <c r="Q41" s="44">
        <f t="shared" si="12"/>
        <v>9.6602363356410557E-3</v>
      </c>
      <c r="R41" s="44"/>
      <c r="S41" s="44">
        <v>44.238154212532926</v>
      </c>
      <c r="T41" s="44">
        <v>2.6767553630832044</v>
      </c>
      <c r="U41" s="44">
        <v>53.085090424383871</v>
      </c>
      <c r="V41" s="44"/>
      <c r="W41" s="44">
        <v>9.2999999999999992E-3</v>
      </c>
      <c r="X41" s="44">
        <v>4.1999999999999997E-3</v>
      </c>
      <c r="Y41" s="44">
        <v>1.5492999999999999</v>
      </c>
      <c r="Z41" s="44">
        <v>2.9999999999999997E-4</v>
      </c>
      <c r="AA41" s="44">
        <v>4.2618</v>
      </c>
      <c r="AB41" s="44">
        <v>7.3200000000000001E-2</v>
      </c>
      <c r="AC41" s="44">
        <v>1.2907</v>
      </c>
      <c r="AD41" s="44">
        <v>2.3E-3</v>
      </c>
      <c r="AE41" s="44">
        <v>8.1500000000000003E-2</v>
      </c>
      <c r="AF41" s="44">
        <v>7.6929999999999996</v>
      </c>
      <c r="AG41" s="44">
        <v>0.01</v>
      </c>
      <c r="AH41" s="44">
        <v>14.9756</v>
      </c>
      <c r="AI41" s="44">
        <f t="shared" si="6"/>
        <v>11.954799999999999</v>
      </c>
    </row>
    <row r="42" spans="1:35" s="45" customFormat="1" x14ac:dyDescent="0.2">
      <c r="A42" s="43" t="s">
        <v>55</v>
      </c>
      <c r="B42" s="44">
        <v>2.8000000000000001E-2</v>
      </c>
      <c r="C42" s="44">
        <v>1.4999999999999999E-2</v>
      </c>
      <c r="D42" s="44">
        <v>6.1360000000000001</v>
      </c>
      <c r="E42" s="44">
        <v>0</v>
      </c>
      <c r="F42" s="44">
        <v>26.411999999999999</v>
      </c>
      <c r="G42" s="44">
        <v>0.436</v>
      </c>
      <c r="H42" s="44">
        <v>8.6180000000000003</v>
      </c>
      <c r="I42" s="44">
        <v>0</v>
      </c>
      <c r="J42" s="44">
        <v>0.65800000000000003</v>
      </c>
      <c r="K42" s="44">
        <v>58.037999999999997</v>
      </c>
      <c r="L42" s="44">
        <v>6.7000000000000004E-2</v>
      </c>
      <c r="M42" s="44">
        <v>100.408</v>
      </c>
      <c r="N42" s="44"/>
      <c r="O42" s="44">
        <f t="shared" si="10"/>
        <v>0.15367880452227253</v>
      </c>
      <c r="P42" s="44">
        <f t="shared" si="11"/>
        <v>0.19793548387096774</v>
      </c>
      <c r="Q42" s="44">
        <f t="shared" si="12"/>
        <v>9.8870024468063391E-3</v>
      </c>
      <c r="R42" s="44"/>
      <c r="S42" s="44">
        <v>42.511274071845776</v>
      </c>
      <c r="T42" s="44">
        <v>2.7349839951694772</v>
      </c>
      <c r="U42" s="44">
        <v>54.753741932984745</v>
      </c>
      <c r="V42" s="44"/>
      <c r="W42" s="44">
        <v>2.8E-3</v>
      </c>
      <c r="X42" s="44">
        <v>1.6000000000000001E-3</v>
      </c>
      <c r="Y42" s="44">
        <v>1.5956999999999999</v>
      </c>
      <c r="Z42" s="44">
        <v>0</v>
      </c>
      <c r="AA42" s="44">
        <v>4.1753999999999998</v>
      </c>
      <c r="AB42" s="44">
        <v>7.46E-2</v>
      </c>
      <c r="AC42" s="44">
        <v>1.2384999999999999</v>
      </c>
      <c r="AD42" s="44">
        <v>0</v>
      </c>
      <c r="AE42" s="44">
        <v>7.3800000000000004E-2</v>
      </c>
      <c r="AF42" s="44">
        <v>7.7840999999999996</v>
      </c>
      <c r="AG42" s="44">
        <v>1.34E-2</v>
      </c>
      <c r="AH42" s="44">
        <v>14.959899999999999</v>
      </c>
      <c r="AI42" s="44">
        <f t="shared" si="6"/>
        <v>11.959499999999998</v>
      </c>
    </row>
    <row r="43" spans="1:35" s="45" customFormat="1" x14ac:dyDescent="0.2">
      <c r="A43" s="43" t="s">
        <v>206</v>
      </c>
      <c r="B43" s="44">
        <v>1.6E-2</v>
      </c>
      <c r="C43" s="44">
        <v>0</v>
      </c>
      <c r="D43" s="44">
        <v>6.0910000000000002</v>
      </c>
      <c r="E43" s="44">
        <v>0</v>
      </c>
      <c r="F43" s="44">
        <v>26.082999999999998</v>
      </c>
      <c r="G43" s="44">
        <v>1.0840000000000001</v>
      </c>
      <c r="H43" s="44">
        <v>8.0169999999999995</v>
      </c>
      <c r="I43" s="44">
        <v>1.4E-2</v>
      </c>
      <c r="J43" s="44">
        <v>0.59499999999999997</v>
      </c>
      <c r="K43" s="44">
        <v>58.802999999999997</v>
      </c>
      <c r="L43" s="44">
        <v>0.04</v>
      </c>
      <c r="M43" s="44">
        <v>100.74299999999999</v>
      </c>
      <c r="N43" s="44"/>
      <c r="O43" s="44">
        <f t="shared" si="10"/>
        <v>0.14296158921502192</v>
      </c>
      <c r="P43" s="44">
        <f t="shared" si="11"/>
        <v>0.19648387096774195</v>
      </c>
      <c r="Q43" s="44">
        <f t="shared" si="12"/>
        <v>2.458144645031668E-2</v>
      </c>
      <c r="R43" s="44"/>
      <c r="S43" s="44">
        <v>39.272258893521702</v>
      </c>
      <c r="T43" s="44">
        <v>6.7526454782347853</v>
      </c>
      <c r="U43" s="44">
        <v>53.975095628243508</v>
      </c>
      <c r="V43" s="44"/>
      <c r="W43" s="44">
        <v>1.6000000000000001E-3</v>
      </c>
      <c r="X43" s="44">
        <v>0</v>
      </c>
      <c r="Y43" s="44">
        <v>1.5791999999999999</v>
      </c>
      <c r="Z43" s="44">
        <v>0</v>
      </c>
      <c r="AA43" s="44">
        <v>4.1105</v>
      </c>
      <c r="AB43" s="44">
        <v>0.18479999999999999</v>
      </c>
      <c r="AC43" s="44">
        <v>1.1486000000000001</v>
      </c>
      <c r="AD43" s="44">
        <v>1.6000000000000001E-3</v>
      </c>
      <c r="AE43" s="44">
        <v>6.6500000000000004E-2</v>
      </c>
      <c r="AF43" s="44">
        <v>7.8620999999999999</v>
      </c>
      <c r="AG43" s="44">
        <v>8.0999999999999996E-3</v>
      </c>
      <c r="AH43" s="44">
        <v>14.962999999999999</v>
      </c>
      <c r="AI43" s="44">
        <f t="shared" si="6"/>
        <v>11.9726</v>
      </c>
    </row>
    <row r="44" spans="1:35" s="45" customFormat="1" x14ac:dyDescent="0.2">
      <c r="A44" s="43" t="s">
        <v>126</v>
      </c>
      <c r="B44" s="44">
        <v>5.6000000000000001E-2</v>
      </c>
      <c r="C44" s="44">
        <v>6.0000000000000001E-3</v>
      </c>
      <c r="D44" s="44">
        <v>6.234</v>
      </c>
      <c r="E44" s="44">
        <v>0</v>
      </c>
      <c r="F44" s="44">
        <v>26.175999999999998</v>
      </c>
      <c r="G44" s="44">
        <v>0.53200000000000003</v>
      </c>
      <c r="H44" s="44">
        <v>8.0510000000000002</v>
      </c>
      <c r="I44" s="44">
        <v>1.7000000000000001E-2</v>
      </c>
      <c r="J44" s="44">
        <v>0.80500000000000005</v>
      </c>
      <c r="K44" s="44">
        <v>59.091000000000001</v>
      </c>
      <c r="L44" s="44">
        <v>2.8000000000000001E-2</v>
      </c>
      <c r="M44" s="44">
        <v>100.996</v>
      </c>
      <c r="N44" s="44"/>
      <c r="O44" s="44">
        <f t="shared" si="10"/>
        <v>0.14356788758514924</v>
      </c>
      <c r="P44" s="44">
        <f t="shared" si="11"/>
        <v>0.20109677419354838</v>
      </c>
      <c r="Q44" s="44">
        <f t="shared" si="12"/>
        <v>1.2063957113993056E-2</v>
      </c>
      <c r="R44" s="44"/>
      <c r="S44" s="44">
        <v>40.245688173489839</v>
      </c>
      <c r="T44" s="44">
        <v>3.381830465814708</v>
      </c>
      <c r="U44" s="44">
        <v>56.37248136069546</v>
      </c>
      <c r="V44" s="44"/>
      <c r="W44" s="44">
        <v>5.5999999999999999E-3</v>
      </c>
      <c r="X44" s="44">
        <v>5.9999999999999995E-4</v>
      </c>
      <c r="Y44" s="44">
        <v>1.6091</v>
      </c>
      <c r="Z44" s="44">
        <v>0</v>
      </c>
      <c r="AA44" s="44">
        <v>4.1071</v>
      </c>
      <c r="AB44" s="44">
        <v>9.0399999999999994E-2</v>
      </c>
      <c r="AC44" s="44">
        <v>1.1483000000000001</v>
      </c>
      <c r="AD44" s="44">
        <v>1.9E-3</v>
      </c>
      <c r="AE44" s="44">
        <v>8.9599999999999999E-2</v>
      </c>
      <c r="AF44" s="44">
        <v>7.8659999999999997</v>
      </c>
      <c r="AG44" s="44">
        <v>5.5999999999999999E-3</v>
      </c>
      <c r="AH44" s="44">
        <v>14.924200000000001</v>
      </c>
      <c r="AI44" s="44">
        <f t="shared" si="6"/>
        <v>11.973099999999999</v>
      </c>
    </row>
    <row r="45" spans="1:35" s="45" customFormat="1" x14ac:dyDescent="0.2">
      <c r="A45" s="43" t="s">
        <v>207</v>
      </c>
      <c r="B45" s="44">
        <v>6.4000000000000001E-2</v>
      </c>
      <c r="C45" s="44">
        <v>0</v>
      </c>
      <c r="D45" s="44">
        <v>5.1660000000000004</v>
      </c>
      <c r="E45" s="44">
        <v>0</v>
      </c>
      <c r="F45" s="44">
        <v>28.227</v>
      </c>
      <c r="G45" s="44">
        <v>0.26</v>
      </c>
      <c r="H45" s="44">
        <v>10.638</v>
      </c>
      <c r="I45" s="44">
        <v>1.2999999999999999E-2</v>
      </c>
      <c r="J45" s="44">
        <v>0.64300000000000002</v>
      </c>
      <c r="K45" s="44">
        <v>55.154000000000003</v>
      </c>
      <c r="L45" s="44">
        <v>7.3999999999999996E-2</v>
      </c>
      <c r="M45" s="44">
        <v>100.239</v>
      </c>
      <c r="N45" s="44"/>
      <c r="O45" s="44">
        <f t="shared" si="10"/>
        <v>0.18970006062983699</v>
      </c>
      <c r="P45" s="44">
        <f t="shared" si="11"/>
        <v>0.16664516129032259</v>
      </c>
      <c r="Q45" s="44">
        <f t="shared" si="12"/>
        <v>5.8959188902973584E-3</v>
      </c>
      <c r="R45" s="44"/>
      <c r="S45" s="44">
        <v>52.36844721872653</v>
      </c>
      <c r="T45" s="44">
        <v>1.627622659620102</v>
      </c>
      <c r="U45" s="44">
        <v>46.003930121653362</v>
      </c>
      <c r="V45" s="44"/>
      <c r="W45" s="44">
        <v>6.4999999999999997E-3</v>
      </c>
      <c r="X45" s="44">
        <v>0</v>
      </c>
      <c r="Y45" s="44">
        <v>1.3540000000000001</v>
      </c>
      <c r="Z45" s="44">
        <v>0</v>
      </c>
      <c r="AA45" s="44">
        <v>4.4976000000000003</v>
      </c>
      <c r="AB45" s="44">
        <v>4.48E-2</v>
      </c>
      <c r="AC45" s="44">
        <v>1.5408999999999999</v>
      </c>
      <c r="AD45" s="44">
        <v>1.5E-3</v>
      </c>
      <c r="AE45" s="44">
        <v>7.2700000000000001E-2</v>
      </c>
      <c r="AF45" s="44">
        <v>7.4555999999999996</v>
      </c>
      <c r="AG45" s="44">
        <v>1.49E-2</v>
      </c>
      <c r="AH45" s="44">
        <v>14.9885</v>
      </c>
      <c r="AI45" s="44">
        <f t="shared" si="6"/>
        <v>11.953199999999999</v>
      </c>
    </row>
    <row r="46" spans="1:35" s="45" customFormat="1" x14ac:dyDescent="0.2">
      <c r="A46" s="43" t="s">
        <v>132</v>
      </c>
      <c r="B46" s="44">
        <v>0.04</v>
      </c>
      <c r="C46" s="44">
        <v>0</v>
      </c>
      <c r="D46" s="44">
        <v>5.694</v>
      </c>
      <c r="E46" s="44">
        <v>0</v>
      </c>
      <c r="F46" s="44">
        <v>27.16</v>
      </c>
      <c r="G46" s="44">
        <v>0.26600000000000001</v>
      </c>
      <c r="H46" s="44">
        <v>9.6080000000000005</v>
      </c>
      <c r="I46" s="44">
        <v>0</v>
      </c>
      <c r="J46" s="44">
        <v>0.624</v>
      </c>
      <c r="K46" s="44">
        <v>56.685000000000002</v>
      </c>
      <c r="L46" s="44">
        <v>6.0999999999999999E-2</v>
      </c>
      <c r="M46" s="44">
        <v>100.13800000000001</v>
      </c>
      <c r="N46" s="44"/>
      <c r="O46" s="44">
        <f t="shared" si="10"/>
        <v>0.17133278647597988</v>
      </c>
      <c r="P46" s="44">
        <f t="shared" si="11"/>
        <v>0.18367741935483869</v>
      </c>
      <c r="Q46" s="44">
        <f t="shared" si="12"/>
        <v>6.0319785569965282E-3</v>
      </c>
      <c r="R46" s="44"/>
      <c r="S46" s="44">
        <v>47.455060346062496</v>
      </c>
      <c r="T46" s="44">
        <v>1.6707129576075386</v>
      </c>
      <c r="U46" s="44">
        <v>50.87422669632997</v>
      </c>
      <c r="V46" s="44"/>
      <c r="W46" s="44">
        <v>4.1000000000000003E-3</v>
      </c>
      <c r="X46" s="44">
        <v>0</v>
      </c>
      <c r="Y46" s="44">
        <v>1.4882</v>
      </c>
      <c r="Z46" s="44">
        <v>0</v>
      </c>
      <c r="AA46" s="44">
        <v>4.3152999999999997</v>
      </c>
      <c r="AB46" s="44">
        <v>4.58E-2</v>
      </c>
      <c r="AC46" s="44">
        <v>1.3876999999999999</v>
      </c>
      <c r="AD46" s="44">
        <v>0</v>
      </c>
      <c r="AE46" s="44">
        <v>7.0300000000000001E-2</v>
      </c>
      <c r="AF46" s="44">
        <v>7.6409000000000002</v>
      </c>
      <c r="AG46" s="44">
        <v>1.2200000000000001E-2</v>
      </c>
      <c r="AH46" s="44">
        <v>14.964499999999999</v>
      </c>
      <c r="AI46" s="44">
        <f t="shared" si="6"/>
        <v>11.956199999999999</v>
      </c>
    </row>
    <row r="47" spans="1:35" s="45" customFormat="1" x14ac:dyDescent="0.2">
      <c r="A47" s="43" t="s">
        <v>187</v>
      </c>
      <c r="B47" s="44">
        <v>2.8000000000000001E-2</v>
      </c>
      <c r="C47" s="44">
        <v>0</v>
      </c>
      <c r="D47" s="44">
        <v>6.024</v>
      </c>
      <c r="E47" s="44">
        <v>0</v>
      </c>
      <c r="F47" s="44">
        <v>26.228000000000002</v>
      </c>
      <c r="G47" s="44">
        <v>0.73599999999999999</v>
      </c>
      <c r="H47" s="44">
        <v>8.2539999999999996</v>
      </c>
      <c r="I47" s="44">
        <v>2.3E-2</v>
      </c>
      <c r="J47" s="44">
        <v>0.81100000000000005</v>
      </c>
      <c r="K47" s="44">
        <v>58.313000000000002</v>
      </c>
      <c r="L47" s="44">
        <v>1.9E-2</v>
      </c>
      <c r="M47" s="44">
        <v>100.43600000000001</v>
      </c>
      <c r="N47" s="44"/>
      <c r="O47" s="44">
        <f t="shared" si="10"/>
        <v>0.14718784550090944</v>
      </c>
      <c r="P47" s="44">
        <f t="shared" si="11"/>
        <v>0.19432258064516128</v>
      </c>
      <c r="Q47" s="44">
        <f t="shared" si="12"/>
        <v>1.6689985781764827E-2</v>
      </c>
      <c r="R47" s="44"/>
      <c r="S47" s="44">
        <v>41.090920222214166</v>
      </c>
      <c r="T47" s="44">
        <v>4.659398824233417</v>
      </c>
      <c r="U47" s="44">
        <v>54.249680953552406</v>
      </c>
      <c r="V47" s="44"/>
      <c r="W47" s="44">
        <v>2.8E-3</v>
      </c>
      <c r="X47" s="44">
        <v>0</v>
      </c>
      <c r="Y47" s="44">
        <v>1.5669</v>
      </c>
      <c r="Z47" s="44">
        <v>0</v>
      </c>
      <c r="AA47" s="44">
        <v>4.1468999999999996</v>
      </c>
      <c r="AB47" s="44">
        <v>0.126</v>
      </c>
      <c r="AC47" s="44">
        <v>1.1862999999999999</v>
      </c>
      <c r="AD47" s="44">
        <v>2.5999999999999999E-3</v>
      </c>
      <c r="AE47" s="44">
        <v>9.0999999999999998E-2</v>
      </c>
      <c r="AF47" s="44">
        <v>7.8219000000000003</v>
      </c>
      <c r="AG47" s="44">
        <v>3.8E-3</v>
      </c>
      <c r="AH47" s="44">
        <v>14.9482</v>
      </c>
      <c r="AI47" s="44">
        <f t="shared" si="6"/>
        <v>11.9688</v>
      </c>
    </row>
    <row r="48" spans="1:35" s="45" customFormat="1" x14ac:dyDescent="0.2">
      <c r="A48" s="43" t="s">
        <v>196</v>
      </c>
      <c r="B48" s="44">
        <v>5.1999999999999998E-2</v>
      </c>
      <c r="C48" s="44">
        <v>0</v>
      </c>
      <c r="D48" s="44">
        <v>6.0609999999999999</v>
      </c>
      <c r="E48" s="44">
        <v>0</v>
      </c>
      <c r="F48" s="44">
        <v>26.603000000000002</v>
      </c>
      <c r="G48" s="44">
        <v>0.38300000000000001</v>
      </c>
      <c r="H48" s="44">
        <v>8.6679999999999993</v>
      </c>
      <c r="I48" s="44">
        <v>7.0000000000000001E-3</v>
      </c>
      <c r="J48" s="44">
        <v>0.73299999999999998</v>
      </c>
      <c r="K48" s="44">
        <v>58.185000000000002</v>
      </c>
      <c r="L48" s="44">
        <v>3.5999999999999997E-2</v>
      </c>
      <c r="M48" s="44">
        <v>100.72799999999999</v>
      </c>
      <c r="N48" s="44"/>
      <c r="O48" s="44">
        <f t="shared" si="10"/>
        <v>0.15457041977245978</v>
      </c>
      <c r="P48" s="44">
        <f t="shared" si="11"/>
        <v>0.19551612903225807</v>
      </c>
      <c r="Q48" s="44">
        <f t="shared" si="12"/>
        <v>8.6851420576303396E-3</v>
      </c>
      <c r="R48" s="44"/>
      <c r="S48" s="44">
        <v>43.083226383032716</v>
      </c>
      <c r="T48" s="44">
        <v>2.4207991541235105</v>
      </c>
      <c r="U48" s="44">
        <v>54.495974462843776</v>
      </c>
      <c r="V48" s="44"/>
      <c r="W48" s="44">
        <v>5.1999999999999998E-3</v>
      </c>
      <c r="X48" s="44">
        <v>0</v>
      </c>
      <c r="Y48" s="44">
        <v>1.5707</v>
      </c>
      <c r="Z48" s="44">
        <v>0</v>
      </c>
      <c r="AA48" s="44">
        <v>4.1909999999999998</v>
      </c>
      <c r="AB48" s="44">
        <v>6.54E-2</v>
      </c>
      <c r="AC48" s="44">
        <v>1.2413000000000001</v>
      </c>
      <c r="AD48" s="44">
        <v>8.0000000000000004E-4</v>
      </c>
      <c r="AE48" s="44">
        <v>8.1900000000000001E-2</v>
      </c>
      <c r="AF48" s="44">
        <v>7.7767999999999997</v>
      </c>
      <c r="AG48" s="44">
        <v>7.1999999999999998E-3</v>
      </c>
      <c r="AH48" s="44">
        <v>14.940300000000001</v>
      </c>
      <c r="AI48" s="44">
        <f t="shared" si="6"/>
        <v>11.9678</v>
      </c>
    </row>
    <row r="49" spans="1:35" s="45" customFormat="1" x14ac:dyDescent="0.2">
      <c r="A49" s="43" t="s">
        <v>485</v>
      </c>
      <c r="B49" s="44">
        <v>8.7999999999999995E-2</v>
      </c>
      <c r="C49" s="44">
        <v>8.9999999999999993E-3</v>
      </c>
      <c r="D49" s="44">
        <v>6.2519999999999998</v>
      </c>
      <c r="E49" s="44">
        <v>0</v>
      </c>
      <c r="F49" s="44">
        <v>26.263999999999999</v>
      </c>
      <c r="G49" s="44">
        <v>0.57699999999999996</v>
      </c>
      <c r="H49" s="44">
        <v>8.2430000000000003</v>
      </c>
      <c r="I49" s="44">
        <v>1.7999999999999999E-2</v>
      </c>
      <c r="J49" s="44">
        <v>0.50800000000000001</v>
      </c>
      <c r="K49" s="44">
        <v>58.472999999999999</v>
      </c>
      <c r="L49" s="44">
        <v>3.4000000000000002E-2</v>
      </c>
      <c r="M49" s="44">
        <v>100.46599999999999</v>
      </c>
      <c r="N49" s="44"/>
      <c r="O49" s="44">
        <f t="shared" si="10"/>
        <v>0.14699169014586824</v>
      </c>
      <c r="P49" s="44">
        <f t="shared" si="11"/>
        <v>0.20167741935483871</v>
      </c>
      <c r="Q49" s="44">
        <f t="shared" si="12"/>
        <v>1.3084404614236829E-2</v>
      </c>
      <c r="R49" s="44"/>
      <c r="S49" s="44">
        <v>40.63310635848115</v>
      </c>
      <c r="T49" s="44">
        <v>3.6169391875152264</v>
      </c>
      <c r="U49" s="44">
        <v>55.749954454003628</v>
      </c>
      <c r="V49" s="44"/>
      <c r="W49" s="44">
        <v>8.8999999999999999E-3</v>
      </c>
      <c r="X49" s="44">
        <v>1E-3</v>
      </c>
      <c r="Y49" s="44">
        <v>1.6228</v>
      </c>
      <c r="Z49" s="44">
        <v>0</v>
      </c>
      <c r="AA49" s="44">
        <v>4.1441999999999997</v>
      </c>
      <c r="AB49" s="44">
        <v>9.8599999999999993E-2</v>
      </c>
      <c r="AC49" s="44">
        <v>1.1823999999999999</v>
      </c>
      <c r="AD49" s="44">
        <v>2.0999999999999999E-3</v>
      </c>
      <c r="AE49" s="44">
        <v>5.6800000000000003E-2</v>
      </c>
      <c r="AF49" s="44">
        <v>7.8277999999999999</v>
      </c>
      <c r="AG49" s="44">
        <v>6.7999999999999996E-3</v>
      </c>
      <c r="AH49" s="44">
        <v>14.9514</v>
      </c>
      <c r="AI49" s="44">
        <f t="shared" si="6"/>
        <v>11.972</v>
      </c>
    </row>
    <row r="50" spans="1:35" s="45" customFormat="1" x14ac:dyDescent="0.2">
      <c r="A50" s="43" t="s">
        <v>241</v>
      </c>
      <c r="B50" s="44">
        <v>0</v>
      </c>
      <c r="C50" s="44">
        <v>0</v>
      </c>
      <c r="D50" s="44">
        <v>5.9980000000000002</v>
      </c>
      <c r="E50" s="44">
        <v>0</v>
      </c>
      <c r="F50" s="44">
        <v>26.463000000000001</v>
      </c>
      <c r="G50" s="44">
        <v>0.53100000000000003</v>
      </c>
      <c r="H50" s="44">
        <v>8.6739999999999995</v>
      </c>
      <c r="I50" s="44">
        <v>1.2E-2</v>
      </c>
      <c r="J50" s="44">
        <v>0.63300000000000001</v>
      </c>
      <c r="K50" s="44">
        <v>58.143000000000001</v>
      </c>
      <c r="L50" s="44">
        <v>5.6000000000000001E-2</v>
      </c>
      <c r="M50" s="44">
        <v>100.51</v>
      </c>
      <c r="N50" s="44"/>
      <c r="O50" s="44">
        <f t="shared" si="10"/>
        <v>0.15467741360248224</v>
      </c>
      <c r="P50" s="44">
        <f t="shared" si="11"/>
        <v>0.19348387096774194</v>
      </c>
      <c r="Q50" s="44">
        <f t="shared" si="12"/>
        <v>1.2041280502876528E-2</v>
      </c>
      <c r="R50" s="44"/>
      <c r="S50" s="44">
        <v>42.941785706354281</v>
      </c>
      <c r="T50" s="44">
        <v>3.3429191434083294</v>
      </c>
      <c r="U50" s="44">
        <v>53.715295150237388</v>
      </c>
      <c r="V50" s="44"/>
      <c r="W50" s="44">
        <v>0</v>
      </c>
      <c r="X50" s="44">
        <v>0</v>
      </c>
      <c r="Y50" s="44">
        <v>1.5580000000000001</v>
      </c>
      <c r="Z50" s="44">
        <v>0</v>
      </c>
      <c r="AA50" s="44">
        <v>4.1787999999999998</v>
      </c>
      <c r="AB50" s="44">
        <v>9.0800000000000006E-2</v>
      </c>
      <c r="AC50" s="44">
        <v>1.2451000000000001</v>
      </c>
      <c r="AD50" s="44">
        <v>1.4E-3</v>
      </c>
      <c r="AE50" s="44">
        <v>7.0900000000000005E-2</v>
      </c>
      <c r="AF50" s="44">
        <v>7.7893999999999997</v>
      </c>
      <c r="AG50" s="44">
        <v>1.11E-2</v>
      </c>
      <c r="AH50" s="44">
        <v>14.945499999999999</v>
      </c>
      <c r="AI50" s="44">
        <f t="shared" si="6"/>
        <v>11.9682</v>
      </c>
    </row>
    <row r="51" spans="1:35" s="45" customFormat="1" x14ac:dyDescent="0.2">
      <c r="A51" s="43" t="s">
        <v>125</v>
      </c>
      <c r="B51" s="44">
        <v>4.8000000000000001E-2</v>
      </c>
      <c r="C51" s="44">
        <v>0</v>
      </c>
      <c r="D51" s="44">
        <v>6.2350000000000003</v>
      </c>
      <c r="E51" s="44">
        <v>0</v>
      </c>
      <c r="F51" s="44">
        <v>26.047000000000001</v>
      </c>
      <c r="G51" s="44">
        <v>0.67200000000000004</v>
      </c>
      <c r="H51" s="44">
        <v>8.1839999999999993</v>
      </c>
      <c r="I51" s="44">
        <v>4.3999999999999997E-2</v>
      </c>
      <c r="J51" s="44">
        <v>0.63500000000000001</v>
      </c>
      <c r="K51" s="44">
        <v>58.573</v>
      </c>
      <c r="L51" s="44">
        <v>4.4999999999999998E-2</v>
      </c>
      <c r="M51" s="44">
        <v>100.483</v>
      </c>
      <c r="N51" s="44"/>
      <c r="O51" s="44">
        <f t="shared" si="10"/>
        <v>0.14593958415064728</v>
      </c>
      <c r="P51" s="44">
        <f t="shared" si="11"/>
        <v>0.20112903225806453</v>
      </c>
      <c r="Q51" s="44">
        <f t="shared" si="12"/>
        <v>1.5238682670307018E-2</v>
      </c>
      <c r="R51" s="44"/>
      <c r="S51" s="44">
        <v>40.280608345905286</v>
      </c>
      <c r="T51" s="44">
        <v>4.2060103975392105</v>
      </c>
      <c r="U51" s="44">
        <v>55.513381256555505</v>
      </c>
      <c r="V51" s="44"/>
      <c r="W51" s="44">
        <v>4.7999999999999996E-3</v>
      </c>
      <c r="X51" s="44">
        <v>0</v>
      </c>
      <c r="Y51" s="44">
        <v>1.6194999999999999</v>
      </c>
      <c r="Z51" s="44">
        <v>0</v>
      </c>
      <c r="AA51" s="44">
        <v>4.1130000000000004</v>
      </c>
      <c r="AB51" s="44">
        <v>0.1148</v>
      </c>
      <c r="AC51" s="44">
        <v>1.1748000000000001</v>
      </c>
      <c r="AD51" s="44">
        <v>5.0000000000000001E-3</v>
      </c>
      <c r="AE51" s="44">
        <v>7.1199999999999999E-2</v>
      </c>
      <c r="AF51" s="44">
        <v>7.8468</v>
      </c>
      <c r="AG51" s="44">
        <v>9.1000000000000004E-3</v>
      </c>
      <c r="AH51" s="44">
        <v>14.959</v>
      </c>
      <c r="AI51" s="44">
        <f t="shared" si="6"/>
        <v>11.959800000000001</v>
      </c>
    </row>
    <row r="52" spans="1:35" s="45" customFormat="1" x14ac:dyDescent="0.2">
      <c r="A52" s="43" t="s">
        <v>61</v>
      </c>
      <c r="B52" s="44">
        <v>7.5999999999999998E-2</v>
      </c>
      <c r="C52" s="44">
        <v>6.0000000000000001E-3</v>
      </c>
      <c r="D52" s="44">
        <v>6.1289999999999996</v>
      </c>
      <c r="E52" s="44">
        <v>0</v>
      </c>
      <c r="F52" s="44">
        <v>26.388000000000002</v>
      </c>
      <c r="G52" s="44">
        <v>0.63200000000000001</v>
      </c>
      <c r="H52" s="44">
        <v>8.3420000000000005</v>
      </c>
      <c r="I52" s="44">
        <v>1.0999999999999999E-2</v>
      </c>
      <c r="J52" s="44">
        <v>0.77800000000000002</v>
      </c>
      <c r="K52" s="44">
        <v>58.671999999999997</v>
      </c>
      <c r="L52" s="44">
        <v>3.5999999999999997E-2</v>
      </c>
      <c r="M52" s="44">
        <v>101.07</v>
      </c>
      <c r="N52" s="44"/>
      <c r="O52" s="44">
        <f t="shared" si="10"/>
        <v>0.14875708834123899</v>
      </c>
      <c r="P52" s="44">
        <f t="shared" si="11"/>
        <v>0.19770967741935483</v>
      </c>
      <c r="Q52" s="44">
        <f t="shared" si="12"/>
        <v>1.4331618225645886E-2</v>
      </c>
      <c r="R52" s="44"/>
      <c r="S52" s="44">
        <v>41.229976336843116</v>
      </c>
      <c r="T52" s="44">
        <v>3.9721957918172026</v>
      </c>
      <c r="U52" s="44">
        <v>54.797827871339678</v>
      </c>
      <c r="V52" s="44"/>
      <c r="W52" s="44">
        <v>7.6E-3</v>
      </c>
      <c r="X52" s="44">
        <v>5.9999999999999995E-4</v>
      </c>
      <c r="Y52" s="44">
        <v>1.5835999999999999</v>
      </c>
      <c r="Z52" s="44">
        <v>0</v>
      </c>
      <c r="AA52" s="44">
        <v>4.1444999999999999</v>
      </c>
      <c r="AB52" s="44">
        <v>0.1074</v>
      </c>
      <c r="AC52" s="44">
        <v>1.1910000000000001</v>
      </c>
      <c r="AD52" s="44">
        <v>1.1999999999999999E-3</v>
      </c>
      <c r="AE52" s="44">
        <v>8.6699999999999999E-2</v>
      </c>
      <c r="AF52" s="44">
        <v>7.8178000000000001</v>
      </c>
      <c r="AG52" s="44">
        <v>7.1000000000000004E-3</v>
      </c>
      <c r="AH52" s="44">
        <v>14.9475</v>
      </c>
      <c r="AI52" s="44">
        <f t="shared" si="6"/>
        <v>11.962299999999999</v>
      </c>
    </row>
    <row r="53" spans="1:35" s="45" customFormat="1" x14ac:dyDescent="0.2">
      <c r="A53" s="43" t="s">
        <v>63</v>
      </c>
      <c r="B53" s="44">
        <v>7.5999999999999998E-2</v>
      </c>
      <c r="C53" s="44">
        <v>0</v>
      </c>
      <c r="D53" s="44">
        <v>6.1109999999999998</v>
      </c>
      <c r="E53" s="44">
        <v>0</v>
      </c>
      <c r="F53" s="44">
        <v>26.210999999999999</v>
      </c>
      <c r="G53" s="44">
        <v>0.36299999999999999</v>
      </c>
      <c r="H53" s="44">
        <v>8.5359999999999996</v>
      </c>
      <c r="I53" s="44">
        <v>5.0000000000000001E-3</v>
      </c>
      <c r="J53" s="44">
        <v>0.73799999999999999</v>
      </c>
      <c r="K53" s="44">
        <v>58.311999999999998</v>
      </c>
      <c r="L53" s="44">
        <v>6.5000000000000002E-2</v>
      </c>
      <c r="M53" s="44">
        <v>100.417</v>
      </c>
      <c r="N53" s="44"/>
      <c r="O53" s="44">
        <f t="shared" si="10"/>
        <v>0.15221655551196547</v>
      </c>
      <c r="P53" s="44">
        <f t="shared" si="11"/>
        <v>0.1971290322580645</v>
      </c>
      <c r="Q53" s="44">
        <f t="shared" si="12"/>
        <v>8.2316098352997729E-3</v>
      </c>
      <c r="R53" s="44"/>
      <c r="S53" s="44">
        <v>42.568865277581857</v>
      </c>
      <c r="T53" s="44">
        <v>2.3020511068452647</v>
      </c>
      <c r="U53" s="44">
        <v>55.129083615572881</v>
      </c>
      <c r="V53" s="44"/>
      <c r="W53" s="44">
        <v>7.7000000000000002E-3</v>
      </c>
      <c r="X53" s="44">
        <v>0</v>
      </c>
      <c r="Y53" s="44">
        <v>1.5879000000000001</v>
      </c>
      <c r="Z53" s="44">
        <v>0</v>
      </c>
      <c r="AA53" s="44">
        <v>4.1398999999999999</v>
      </c>
      <c r="AB53" s="44">
        <v>6.2100000000000002E-2</v>
      </c>
      <c r="AC53" s="44">
        <v>1.2256</v>
      </c>
      <c r="AD53" s="44">
        <v>5.9999999999999995E-4</v>
      </c>
      <c r="AE53" s="44">
        <v>8.2699999999999996E-2</v>
      </c>
      <c r="AF53" s="44">
        <v>7.8139000000000003</v>
      </c>
      <c r="AG53" s="44">
        <v>1.2999999999999999E-2</v>
      </c>
      <c r="AH53" s="44">
        <v>14.933400000000001</v>
      </c>
      <c r="AI53" s="44">
        <f t="shared" si="6"/>
        <v>11.953800000000001</v>
      </c>
    </row>
    <row r="54" spans="1:35" s="45" customFormat="1" x14ac:dyDescent="0.2">
      <c r="A54" s="43" t="s">
        <v>112</v>
      </c>
      <c r="B54" s="44">
        <v>8.7999999999999995E-2</v>
      </c>
      <c r="C54" s="44">
        <v>0</v>
      </c>
      <c r="D54" s="44">
        <v>5.9480000000000004</v>
      </c>
      <c r="E54" s="44">
        <v>0</v>
      </c>
      <c r="F54" s="44">
        <v>26.716000000000001</v>
      </c>
      <c r="G54" s="44">
        <v>0.374</v>
      </c>
      <c r="H54" s="44">
        <v>8.9700000000000006</v>
      </c>
      <c r="I54" s="44">
        <v>0</v>
      </c>
      <c r="J54" s="44">
        <v>0.81</v>
      </c>
      <c r="K54" s="44">
        <v>57.576000000000001</v>
      </c>
      <c r="L54" s="44">
        <v>5.5E-2</v>
      </c>
      <c r="M54" s="44">
        <v>100.53700000000001</v>
      </c>
      <c r="N54" s="44"/>
      <c r="O54" s="44">
        <f t="shared" si="10"/>
        <v>0.15995577588359072</v>
      </c>
      <c r="P54" s="44">
        <f t="shared" si="11"/>
        <v>0.19187096774193549</v>
      </c>
      <c r="Q54" s="44">
        <f t="shared" si="12"/>
        <v>8.4810525575815844E-3</v>
      </c>
      <c r="R54" s="44"/>
      <c r="S54" s="44">
        <v>44.394203394450408</v>
      </c>
      <c r="T54" s="44">
        <v>2.3538354283268208</v>
      </c>
      <c r="U54" s="44">
        <v>53.251961177222761</v>
      </c>
      <c r="V54" s="44"/>
      <c r="W54" s="44">
        <v>8.8999999999999999E-3</v>
      </c>
      <c r="X54" s="44">
        <v>0</v>
      </c>
      <c r="Y54" s="44">
        <v>1.5472999999999999</v>
      </c>
      <c r="Z54" s="44">
        <v>0</v>
      </c>
      <c r="AA54" s="44">
        <v>4.2244999999999999</v>
      </c>
      <c r="AB54" s="44">
        <v>6.3899999999999998E-2</v>
      </c>
      <c r="AC54" s="44">
        <v>1.2894000000000001</v>
      </c>
      <c r="AD54" s="44">
        <v>0</v>
      </c>
      <c r="AE54" s="44">
        <v>9.0899999999999995E-2</v>
      </c>
      <c r="AF54" s="44">
        <v>7.7241999999999997</v>
      </c>
      <c r="AG54" s="44">
        <v>1.09E-2</v>
      </c>
      <c r="AH54" s="44">
        <v>14.96</v>
      </c>
      <c r="AI54" s="44">
        <f t="shared" si="6"/>
        <v>11.948699999999999</v>
      </c>
    </row>
    <row r="55" spans="1:35" s="45" customFormat="1" x14ac:dyDescent="0.2">
      <c r="A55" s="43" t="s">
        <v>227</v>
      </c>
      <c r="B55" s="44">
        <v>8.7999999999999995E-2</v>
      </c>
      <c r="C55" s="44">
        <v>0</v>
      </c>
      <c r="D55" s="44">
        <v>6.258</v>
      </c>
      <c r="E55" s="44">
        <v>0</v>
      </c>
      <c r="F55" s="44">
        <v>26.033999999999999</v>
      </c>
      <c r="G55" s="44">
        <v>0.42099999999999999</v>
      </c>
      <c r="H55" s="44">
        <v>8.2569999999999997</v>
      </c>
      <c r="I55" s="44">
        <v>0</v>
      </c>
      <c r="J55" s="44">
        <v>0.70699999999999996</v>
      </c>
      <c r="K55" s="44">
        <v>58.826999999999998</v>
      </c>
      <c r="L55" s="44">
        <v>0.05</v>
      </c>
      <c r="M55" s="44">
        <v>100.642</v>
      </c>
      <c r="N55" s="44"/>
      <c r="O55" s="44">
        <f t="shared" si="10"/>
        <v>0.14724134241592066</v>
      </c>
      <c r="P55" s="44">
        <f t="shared" si="11"/>
        <v>0.2018709677419355</v>
      </c>
      <c r="Q55" s="44">
        <f t="shared" si="12"/>
        <v>9.5468532800584149E-3</v>
      </c>
      <c r="R55" s="44"/>
      <c r="S55" s="44">
        <v>41.053277714848832</v>
      </c>
      <c r="T55" s="44">
        <v>2.6618177515799104</v>
      </c>
      <c r="U55" s="44">
        <v>56.284904533571243</v>
      </c>
      <c r="V55" s="44"/>
      <c r="W55" s="44">
        <v>8.8999999999999999E-3</v>
      </c>
      <c r="X55" s="44">
        <v>0</v>
      </c>
      <c r="Y55" s="44">
        <v>1.621</v>
      </c>
      <c r="Z55" s="44">
        <v>0</v>
      </c>
      <c r="AA55" s="44">
        <v>4.0991</v>
      </c>
      <c r="AB55" s="44">
        <v>7.1800000000000003E-2</v>
      </c>
      <c r="AC55" s="44">
        <v>1.1819</v>
      </c>
      <c r="AD55" s="44">
        <v>0</v>
      </c>
      <c r="AE55" s="44">
        <v>7.9000000000000001E-2</v>
      </c>
      <c r="AF55" s="44">
        <v>7.8582000000000001</v>
      </c>
      <c r="AG55" s="44">
        <v>9.9000000000000008E-3</v>
      </c>
      <c r="AH55" s="44">
        <v>14.9298</v>
      </c>
      <c r="AI55" s="44">
        <f t="shared" si="6"/>
        <v>11.9573</v>
      </c>
    </row>
    <row r="56" spans="1:35" s="45" customFormat="1" x14ac:dyDescent="0.2">
      <c r="A56" s="43" t="s">
        <v>131</v>
      </c>
      <c r="B56" s="44">
        <v>4.8000000000000001E-2</v>
      </c>
      <c r="C56" s="44">
        <v>0</v>
      </c>
      <c r="D56" s="44">
        <v>5.5369999999999999</v>
      </c>
      <c r="E56" s="44">
        <v>0</v>
      </c>
      <c r="F56" s="44">
        <v>27.48</v>
      </c>
      <c r="G56" s="44">
        <v>0.27</v>
      </c>
      <c r="H56" s="44">
        <v>9.8849999999999998</v>
      </c>
      <c r="I56" s="44">
        <v>7.0000000000000001E-3</v>
      </c>
      <c r="J56" s="44">
        <v>0.76800000000000002</v>
      </c>
      <c r="K56" s="44">
        <v>56.415999999999997</v>
      </c>
      <c r="L56" s="44">
        <v>7.3999999999999996E-2</v>
      </c>
      <c r="M56" s="44">
        <v>100.485</v>
      </c>
      <c r="N56" s="44"/>
      <c r="O56" s="44">
        <f t="shared" si="10"/>
        <v>0.17627233496201719</v>
      </c>
      <c r="P56" s="44">
        <f t="shared" si="11"/>
        <v>0.17861290322580645</v>
      </c>
      <c r="Q56" s="44">
        <f t="shared" si="12"/>
        <v>6.1226850014626417E-3</v>
      </c>
      <c r="R56" s="44"/>
      <c r="S56" s="44">
        <v>48.827829983552128</v>
      </c>
      <c r="T56" s="44">
        <v>1.6959974028748257</v>
      </c>
      <c r="U56" s="44">
        <v>49.476172613573041</v>
      </c>
      <c r="V56" s="44"/>
      <c r="W56" s="44">
        <v>4.8999999999999998E-3</v>
      </c>
      <c r="X56" s="44">
        <v>0</v>
      </c>
      <c r="Y56" s="44">
        <v>1.4444999999999999</v>
      </c>
      <c r="Z56" s="44">
        <v>0</v>
      </c>
      <c r="AA56" s="44">
        <v>4.3578999999999999</v>
      </c>
      <c r="AB56" s="44">
        <v>4.6399999999999997E-2</v>
      </c>
      <c r="AC56" s="44">
        <v>1.425</v>
      </c>
      <c r="AD56" s="44">
        <v>8.9999999999999998E-4</v>
      </c>
      <c r="AE56" s="44">
        <v>8.6400000000000005E-2</v>
      </c>
      <c r="AF56" s="44">
        <v>7.5903999999999998</v>
      </c>
      <c r="AG56" s="44">
        <v>1.49E-2</v>
      </c>
      <c r="AH56" s="44">
        <v>14.971299999999999</v>
      </c>
      <c r="AI56" s="44">
        <f t="shared" si="6"/>
        <v>11.9483</v>
      </c>
    </row>
    <row r="57" spans="1:35" s="48" customFormat="1" x14ac:dyDescent="0.2">
      <c r="A57" s="46" t="s">
        <v>156</v>
      </c>
      <c r="B57" s="47">
        <f>MAX(B32:B56)</f>
        <v>0.121</v>
      </c>
      <c r="C57" s="47">
        <f t="shared" ref="C57:AI57" si="13">MAX(C32:C56)</f>
        <v>4.9000000000000002E-2</v>
      </c>
      <c r="D57" s="47">
        <f t="shared" si="13"/>
        <v>6.5250000000000004</v>
      </c>
      <c r="E57" s="47">
        <f t="shared" si="13"/>
        <v>0.156</v>
      </c>
      <c r="F57" s="47">
        <f t="shared" si="13"/>
        <v>28.227</v>
      </c>
      <c r="G57" s="47">
        <f t="shared" si="13"/>
        <v>1.0840000000000001</v>
      </c>
      <c r="H57" s="47">
        <f t="shared" si="13"/>
        <v>10.638</v>
      </c>
      <c r="I57" s="47">
        <f t="shared" si="13"/>
        <v>4.3999999999999997E-2</v>
      </c>
      <c r="J57" s="47">
        <f t="shared" si="13"/>
        <v>0.81100000000000005</v>
      </c>
      <c r="K57" s="47">
        <f t="shared" si="13"/>
        <v>59.091000000000001</v>
      </c>
      <c r="L57" s="47">
        <f t="shared" si="13"/>
        <v>7.3999999999999996E-2</v>
      </c>
      <c r="M57" s="47">
        <f t="shared" si="13"/>
        <v>101.07</v>
      </c>
      <c r="N57" s="47"/>
      <c r="O57" s="47">
        <f t="shared" si="10"/>
        <v>0.18970006062983699</v>
      </c>
      <c r="P57" s="47">
        <f t="shared" si="11"/>
        <v>0.21048387096774196</v>
      </c>
      <c r="Q57" s="47">
        <f t="shared" si="12"/>
        <v>2.458144645031668E-2</v>
      </c>
      <c r="R57" s="47"/>
      <c r="S57" s="47">
        <v>48.827829983552128</v>
      </c>
      <c r="T57" s="47">
        <v>1.6959974028748257</v>
      </c>
      <c r="U57" s="47">
        <v>49.476172613573041</v>
      </c>
      <c r="V57" s="47"/>
      <c r="W57" s="47">
        <f t="shared" si="13"/>
        <v>1.2200000000000001E-2</v>
      </c>
      <c r="X57" s="47">
        <f t="shared" si="13"/>
        <v>5.1999999999999998E-3</v>
      </c>
      <c r="Y57" s="47">
        <f t="shared" si="13"/>
        <v>1.6886000000000001</v>
      </c>
      <c r="Z57" s="47">
        <f t="shared" si="13"/>
        <v>1.77E-2</v>
      </c>
      <c r="AA57" s="47">
        <f t="shared" si="13"/>
        <v>4.4976000000000003</v>
      </c>
      <c r="AB57" s="47">
        <f t="shared" si="13"/>
        <v>0.18479999999999999</v>
      </c>
      <c r="AC57" s="47">
        <f t="shared" si="13"/>
        <v>1.5408999999999999</v>
      </c>
      <c r="AD57" s="47">
        <f t="shared" si="13"/>
        <v>5.0000000000000001E-3</v>
      </c>
      <c r="AE57" s="47">
        <f t="shared" si="13"/>
        <v>9.0999999999999998E-2</v>
      </c>
      <c r="AF57" s="47">
        <f t="shared" si="13"/>
        <v>7.8659999999999997</v>
      </c>
      <c r="AG57" s="47">
        <f t="shared" si="13"/>
        <v>1.49E-2</v>
      </c>
      <c r="AH57" s="47">
        <f t="shared" si="13"/>
        <v>14.988799999999999</v>
      </c>
      <c r="AI57" s="47">
        <f t="shared" si="13"/>
        <v>11.9948</v>
      </c>
    </row>
    <row r="58" spans="1:35" s="48" customFormat="1" x14ac:dyDescent="0.2">
      <c r="A58" s="46" t="s">
        <v>157</v>
      </c>
      <c r="B58" s="47">
        <f>MIN(B32:B56)</f>
        <v>0</v>
      </c>
      <c r="C58" s="47">
        <f t="shared" ref="C58:AI58" si="14">MIN(C32:C56)</f>
        <v>0</v>
      </c>
      <c r="D58" s="47">
        <f t="shared" si="14"/>
        <v>5.1660000000000004</v>
      </c>
      <c r="E58" s="47">
        <f t="shared" si="14"/>
        <v>0</v>
      </c>
      <c r="F58" s="47">
        <f t="shared" si="14"/>
        <v>26.033999999999999</v>
      </c>
      <c r="G58" s="47">
        <f t="shared" si="14"/>
        <v>0.26</v>
      </c>
      <c r="H58" s="47">
        <f t="shared" si="14"/>
        <v>7.851</v>
      </c>
      <c r="I58" s="47">
        <f t="shared" si="14"/>
        <v>0</v>
      </c>
      <c r="J58" s="47">
        <f t="shared" si="14"/>
        <v>0.50800000000000001</v>
      </c>
      <c r="K58" s="47">
        <f t="shared" si="14"/>
        <v>55.154000000000003</v>
      </c>
      <c r="L58" s="47">
        <f t="shared" si="14"/>
        <v>1.9E-2</v>
      </c>
      <c r="M58" s="47">
        <f t="shared" si="14"/>
        <v>100.11799999999999</v>
      </c>
      <c r="N58" s="47"/>
      <c r="O58" s="47">
        <f t="shared" si="10"/>
        <v>0.14000142658440029</v>
      </c>
      <c r="P58" s="47">
        <f t="shared" si="11"/>
        <v>0.16664516129032259</v>
      </c>
      <c r="Q58" s="47">
        <f t="shared" si="12"/>
        <v>5.8959188902973584E-3</v>
      </c>
      <c r="R58" s="47"/>
      <c r="S58" s="47">
        <v>48.827829983552128</v>
      </c>
      <c r="T58" s="47">
        <v>1.6959974028748257</v>
      </c>
      <c r="U58" s="47">
        <v>49.476172613573041</v>
      </c>
      <c r="V58" s="47"/>
      <c r="W58" s="47">
        <f t="shared" si="14"/>
        <v>0</v>
      </c>
      <c r="X58" s="47">
        <f t="shared" si="14"/>
        <v>0</v>
      </c>
      <c r="Y58" s="47">
        <f t="shared" si="14"/>
        <v>1.3540000000000001</v>
      </c>
      <c r="Z58" s="47">
        <f t="shared" si="14"/>
        <v>0</v>
      </c>
      <c r="AA58" s="47">
        <f t="shared" si="14"/>
        <v>4.0991</v>
      </c>
      <c r="AB58" s="47">
        <f t="shared" si="14"/>
        <v>4.48E-2</v>
      </c>
      <c r="AC58" s="47">
        <f t="shared" si="14"/>
        <v>1.1228</v>
      </c>
      <c r="AD58" s="47">
        <f t="shared" si="14"/>
        <v>0</v>
      </c>
      <c r="AE58" s="47">
        <f t="shared" si="14"/>
        <v>5.6800000000000003E-2</v>
      </c>
      <c r="AF58" s="47">
        <f t="shared" si="14"/>
        <v>7.4555999999999996</v>
      </c>
      <c r="AG58" s="47">
        <f t="shared" si="14"/>
        <v>3.8E-3</v>
      </c>
      <c r="AH58" s="47">
        <f t="shared" si="14"/>
        <v>14.8994</v>
      </c>
      <c r="AI58" s="47">
        <f t="shared" si="14"/>
        <v>11.921199999999999</v>
      </c>
    </row>
    <row r="59" spans="1:35" s="51" customFormat="1" x14ac:dyDescent="0.2">
      <c r="A59" s="49" t="s">
        <v>486</v>
      </c>
      <c r="B59" s="50">
        <f>AVERAGE(B32:B56)</f>
        <v>5.4600000000000017E-2</v>
      </c>
      <c r="C59" s="50">
        <f t="shared" ref="C59:AI59" si="15">AVERAGE(C32:C56)</f>
        <v>7.3600000000000002E-3</v>
      </c>
      <c r="D59" s="50">
        <f t="shared" si="15"/>
        <v>6.0077999999999996</v>
      </c>
      <c r="E59" s="50">
        <f t="shared" si="15"/>
        <v>7.1599999999999997E-3</v>
      </c>
      <c r="F59" s="50">
        <f t="shared" si="15"/>
        <v>26.624000000000002</v>
      </c>
      <c r="G59" s="50">
        <f t="shared" si="15"/>
        <v>0.47699999999999998</v>
      </c>
      <c r="H59" s="50">
        <f t="shared" si="15"/>
        <v>8.748759999999999</v>
      </c>
      <c r="I59" s="50">
        <f t="shared" si="15"/>
        <v>1.264E-2</v>
      </c>
      <c r="J59" s="50">
        <f t="shared" si="15"/>
        <v>0.68564000000000003</v>
      </c>
      <c r="K59" s="50">
        <f t="shared" si="15"/>
        <v>57.865320000000004</v>
      </c>
      <c r="L59" s="50">
        <f t="shared" si="15"/>
        <v>4.8160000000000008E-2</v>
      </c>
      <c r="M59" s="50">
        <f t="shared" si="15"/>
        <v>100.53843999999998</v>
      </c>
      <c r="N59" s="50"/>
      <c r="O59" s="50">
        <f t="shared" si="10"/>
        <v>0.15601055672456218</v>
      </c>
      <c r="P59" s="50">
        <f t="shared" si="11"/>
        <v>0.1938</v>
      </c>
      <c r="Q59" s="50">
        <f t="shared" si="12"/>
        <v>1.0816743502583999E-2</v>
      </c>
      <c r="R59" s="50"/>
      <c r="S59" s="50">
        <v>48.827829983552128</v>
      </c>
      <c r="T59" s="50">
        <v>1.6959974028748257</v>
      </c>
      <c r="U59" s="50">
        <v>49.476172613573041</v>
      </c>
      <c r="V59" s="50"/>
      <c r="W59" s="50">
        <f t="shared" si="15"/>
        <v>5.5119999999999995E-3</v>
      </c>
      <c r="X59" s="50">
        <f t="shared" si="15"/>
        <v>7.76E-4</v>
      </c>
      <c r="Y59" s="50">
        <f t="shared" si="15"/>
        <v>1.5610799999999998</v>
      </c>
      <c r="Z59" s="50">
        <f t="shared" si="15"/>
        <v>8.160000000000001E-4</v>
      </c>
      <c r="AA59" s="50">
        <f t="shared" si="15"/>
        <v>4.2063199999999998</v>
      </c>
      <c r="AB59" s="50">
        <f t="shared" si="15"/>
        <v>8.1516000000000005E-2</v>
      </c>
      <c r="AC59" s="50">
        <f t="shared" si="15"/>
        <v>1.2567519999999999</v>
      </c>
      <c r="AD59" s="50">
        <f t="shared" si="15"/>
        <v>1.444E-3</v>
      </c>
      <c r="AE59" s="50">
        <f t="shared" si="15"/>
        <v>7.6852000000000004E-2</v>
      </c>
      <c r="AF59" s="50">
        <f t="shared" si="15"/>
        <v>7.7551600000000001</v>
      </c>
      <c r="AG59" s="50">
        <f t="shared" si="15"/>
        <v>9.6039999999999997E-3</v>
      </c>
      <c r="AH59" s="50">
        <f t="shared" si="15"/>
        <v>14.955831999999997</v>
      </c>
      <c r="AI59" s="50">
        <f t="shared" si="15"/>
        <v>11.96148</v>
      </c>
    </row>
    <row r="60" spans="1:35" x14ac:dyDescent="0.2">
      <c r="A60" s="56"/>
      <c r="B60" s="57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</row>
    <row r="61" spans="1:35" x14ac:dyDescent="0.2">
      <c r="A61" s="56"/>
      <c r="B61" s="57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</row>
    <row r="62" spans="1:35" s="60" customFormat="1" x14ac:dyDescent="0.2">
      <c r="A62" s="58" t="s">
        <v>694</v>
      </c>
      <c r="B62" s="59"/>
    </row>
    <row r="63" spans="1:35" s="62" customFormat="1" x14ac:dyDescent="0.2">
      <c r="A63" s="59" t="s">
        <v>487</v>
      </c>
      <c r="B63" s="61">
        <v>2.8000000000000001E-2</v>
      </c>
      <c r="C63" s="61">
        <v>1.7000000000000001E-2</v>
      </c>
      <c r="D63" s="61">
        <v>5.9859999999999998</v>
      </c>
      <c r="E63" s="61">
        <v>0</v>
      </c>
      <c r="F63" s="61">
        <v>26.1</v>
      </c>
      <c r="G63" s="61">
        <v>1.101</v>
      </c>
      <c r="H63" s="61">
        <v>8.1940000000000008</v>
      </c>
      <c r="I63" s="61">
        <v>7.0000000000000001E-3</v>
      </c>
      <c r="J63" s="61">
        <v>0.60299999999999998</v>
      </c>
      <c r="K63" s="61">
        <v>58.454000000000001</v>
      </c>
      <c r="L63" s="61">
        <v>2.4E-2</v>
      </c>
      <c r="M63" s="61">
        <v>100.514</v>
      </c>
      <c r="N63" s="61"/>
      <c r="O63" s="61">
        <f t="shared" ref="O63:O100" si="16">H63/(40.078+16)</f>
        <v>0.14611790720068477</v>
      </c>
      <c r="P63" s="61">
        <f t="shared" ref="P63:P100" si="17">D63/(23*2+16)*2</f>
        <v>0.19309677419354837</v>
      </c>
      <c r="Q63" s="61">
        <f t="shared" ref="Q63:Q100" si="18">G63/(36.0983*2+16)*2</f>
        <v>2.4966948839297658E-2</v>
      </c>
      <c r="R63" s="61"/>
      <c r="S63" s="61">
        <f t="shared" ref="S63:S100" si="19">O63/(Q63+O63+P63)*100</f>
        <v>40.122261824954471</v>
      </c>
      <c r="T63" s="61">
        <f t="shared" ref="T63:T85" si="20">Q63/(Q63+O63+P63)*100</f>
        <v>6.8556310276516834</v>
      </c>
      <c r="U63" s="61">
        <f t="shared" ref="U63:U85" si="21">P63/(O63+P63+Q63)*100</f>
        <v>53.022107147393839</v>
      </c>
      <c r="V63" s="61"/>
      <c r="W63" s="61">
        <v>2.8E-3</v>
      </c>
      <c r="X63" s="61">
        <v>1.8E-3</v>
      </c>
      <c r="Y63" s="61">
        <v>1.5567</v>
      </c>
      <c r="Z63" s="61">
        <v>0</v>
      </c>
      <c r="AA63" s="61">
        <v>4.1260000000000003</v>
      </c>
      <c r="AB63" s="61">
        <v>0.1883</v>
      </c>
      <c r="AC63" s="61">
        <v>1.1776</v>
      </c>
      <c r="AD63" s="61">
        <v>6.9999999999999999E-4</v>
      </c>
      <c r="AE63" s="61">
        <v>6.7599999999999993E-2</v>
      </c>
      <c r="AF63" s="61">
        <v>7.8396999999999997</v>
      </c>
      <c r="AG63" s="61">
        <v>4.7000000000000002E-3</v>
      </c>
      <c r="AH63" s="61">
        <v>14.9659</v>
      </c>
      <c r="AI63" s="61">
        <f t="shared" ref="AI63:AI97" si="22">AF63+AA63</f>
        <v>11.9657</v>
      </c>
    </row>
    <row r="64" spans="1:35" s="62" customFormat="1" x14ac:dyDescent="0.2">
      <c r="A64" s="59" t="s">
        <v>488</v>
      </c>
      <c r="B64" s="61">
        <v>5.1999999999999998E-2</v>
      </c>
      <c r="C64" s="61">
        <v>0</v>
      </c>
      <c r="D64" s="61">
        <v>5.35</v>
      </c>
      <c r="E64" s="61">
        <v>0</v>
      </c>
      <c r="F64" s="61">
        <v>26.058</v>
      </c>
      <c r="G64" s="61">
        <v>2.085</v>
      </c>
      <c r="H64" s="61">
        <v>8.2390000000000008</v>
      </c>
      <c r="I64" s="61">
        <v>0.01</v>
      </c>
      <c r="J64" s="61">
        <v>0.65200000000000002</v>
      </c>
      <c r="K64" s="61">
        <v>58.234999999999999</v>
      </c>
      <c r="L64" s="61">
        <v>3.2000000000000001E-2</v>
      </c>
      <c r="M64" s="61">
        <v>100.71299999999999</v>
      </c>
      <c r="N64" s="61"/>
      <c r="O64" s="61">
        <f t="shared" si="16"/>
        <v>0.14692036092585328</v>
      </c>
      <c r="P64" s="61">
        <f t="shared" si="17"/>
        <v>0.17258064516129032</v>
      </c>
      <c r="Q64" s="61">
        <f t="shared" si="18"/>
        <v>4.7280734177961505E-2</v>
      </c>
      <c r="R64" s="61"/>
      <c r="S64" s="61">
        <f t="shared" si="19"/>
        <v>40.056618091091757</v>
      </c>
      <c r="T64" s="61">
        <f t="shared" si="20"/>
        <v>12.890700105132712</v>
      </c>
      <c r="U64" s="61">
        <f t="shared" si="21"/>
        <v>47.052681803775521</v>
      </c>
      <c r="V64" s="61"/>
      <c r="W64" s="61">
        <v>5.3E-3</v>
      </c>
      <c r="X64" s="61">
        <v>0</v>
      </c>
      <c r="Y64" s="61">
        <v>1.3944000000000001</v>
      </c>
      <c r="Z64" s="61">
        <v>0</v>
      </c>
      <c r="AA64" s="61">
        <v>4.1280999999999999</v>
      </c>
      <c r="AB64" s="61">
        <v>0.3574</v>
      </c>
      <c r="AC64" s="61">
        <v>1.1865000000000001</v>
      </c>
      <c r="AD64" s="61">
        <v>1.1000000000000001E-3</v>
      </c>
      <c r="AE64" s="61">
        <v>7.3300000000000004E-2</v>
      </c>
      <c r="AF64" s="61">
        <v>7.8269000000000002</v>
      </c>
      <c r="AG64" s="61">
        <v>6.4000000000000003E-3</v>
      </c>
      <c r="AH64" s="61">
        <v>14.9794</v>
      </c>
      <c r="AI64" s="61">
        <f t="shared" si="22"/>
        <v>11.955</v>
      </c>
    </row>
    <row r="65" spans="1:35" s="62" customFormat="1" x14ac:dyDescent="0.2">
      <c r="A65" s="59" t="s">
        <v>489</v>
      </c>
      <c r="B65" s="61">
        <v>3.5999999999999997E-2</v>
      </c>
      <c r="C65" s="61">
        <v>0</v>
      </c>
      <c r="D65" s="61">
        <v>5.68</v>
      </c>
      <c r="E65" s="61">
        <v>0</v>
      </c>
      <c r="F65" s="61">
        <v>26.248999999999999</v>
      </c>
      <c r="G65" s="61">
        <v>1.212</v>
      </c>
      <c r="H65" s="61">
        <v>8.3729999999999993</v>
      </c>
      <c r="I65" s="61">
        <v>0</v>
      </c>
      <c r="J65" s="61">
        <v>0.61599999999999999</v>
      </c>
      <c r="K65" s="61">
        <v>58.207999999999998</v>
      </c>
      <c r="L65" s="61">
        <v>5.2999999999999999E-2</v>
      </c>
      <c r="M65" s="61">
        <v>100.42700000000001</v>
      </c>
      <c r="N65" s="61"/>
      <c r="O65" s="61">
        <f t="shared" si="16"/>
        <v>0.14930988979635507</v>
      </c>
      <c r="P65" s="61">
        <f t="shared" si="17"/>
        <v>0.1832258064516129</v>
      </c>
      <c r="Q65" s="61">
        <f t="shared" si="18"/>
        <v>2.7484052673232298E-2</v>
      </c>
      <c r="R65" s="61"/>
      <c r="S65" s="61">
        <f t="shared" si="19"/>
        <v>41.472694274067571</v>
      </c>
      <c r="T65" s="61">
        <f t="shared" si="20"/>
        <v>7.6340402868421267</v>
      </c>
      <c r="U65" s="61">
        <f t="shared" si="21"/>
        <v>50.893265439090307</v>
      </c>
      <c r="V65" s="61"/>
      <c r="W65" s="61">
        <v>3.7000000000000002E-3</v>
      </c>
      <c r="X65" s="61">
        <v>0</v>
      </c>
      <c r="Y65" s="61">
        <v>1.4789000000000001</v>
      </c>
      <c r="Z65" s="61">
        <v>0</v>
      </c>
      <c r="AA65" s="61">
        <v>4.1547000000000001</v>
      </c>
      <c r="AB65" s="61">
        <v>0.20760000000000001</v>
      </c>
      <c r="AC65" s="61">
        <v>1.2048000000000001</v>
      </c>
      <c r="AD65" s="61">
        <v>0</v>
      </c>
      <c r="AE65" s="61">
        <v>6.9099999999999995E-2</v>
      </c>
      <c r="AF65" s="61">
        <v>7.8164999999999996</v>
      </c>
      <c r="AG65" s="61">
        <v>1.0500000000000001E-2</v>
      </c>
      <c r="AH65" s="61">
        <v>14.9458</v>
      </c>
      <c r="AI65" s="61">
        <f t="shared" si="22"/>
        <v>11.9712</v>
      </c>
    </row>
    <row r="66" spans="1:35" s="62" customFormat="1" x14ac:dyDescent="0.2">
      <c r="A66" s="59" t="s">
        <v>490</v>
      </c>
      <c r="B66" s="61">
        <v>1.6E-2</v>
      </c>
      <c r="C66" s="61">
        <v>0</v>
      </c>
      <c r="D66" s="61">
        <v>5.0679999999999996</v>
      </c>
      <c r="E66" s="61">
        <v>0</v>
      </c>
      <c r="F66" s="61">
        <v>26.79</v>
      </c>
      <c r="G66" s="61">
        <v>1.534</v>
      </c>
      <c r="H66" s="61">
        <v>9.0530000000000008</v>
      </c>
      <c r="I66" s="61">
        <v>1.7000000000000001E-2</v>
      </c>
      <c r="J66" s="61">
        <v>0.60099999999999998</v>
      </c>
      <c r="K66" s="61">
        <v>56.71</v>
      </c>
      <c r="L66" s="61">
        <v>2.7E-2</v>
      </c>
      <c r="M66" s="61">
        <v>99.816000000000003</v>
      </c>
      <c r="N66" s="61"/>
      <c r="O66" s="61">
        <f t="shared" si="16"/>
        <v>0.16143585719890155</v>
      </c>
      <c r="P66" s="61">
        <f t="shared" si="17"/>
        <v>0.16348387096774192</v>
      </c>
      <c r="Q66" s="61">
        <f t="shared" si="18"/>
        <v>3.4785921452754415E-2</v>
      </c>
      <c r="R66" s="61"/>
      <c r="S66" s="61">
        <f t="shared" si="19"/>
        <v>44.879989338425943</v>
      </c>
      <c r="T66" s="61">
        <f t="shared" si="20"/>
        <v>9.6706630795377162</v>
      </c>
      <c r="U66" s="61">
        <f t="shared" si="21"/>
        <v>45.449347582036339</v>
      </c>
      <c r="V66" s="61"/>
      <c r="W66" s="61">
        <v>1.6000000000000001E-3</v>
      </c>
      <c r="X66" s="61">
        <v>0</v>
      </c>
      <c r="Y66" s="61">
        <v>1.3327</v>
      </c>
      <c r="Z66" s="61">
        <v>0</v>
      </c>
      <c r="AA66" s="61">
        <v>4.2826000000000004</v>
      </c>
      <c r="AB66" s="61">
        <v>0.26540000000000002</v>
      </c>
      <c r="AC66" s="61">
        <v>1.3157000000000001</v>
      </c>
      <c r="AD66" s="61">
        <v>2E-3</v>
      </c>
      <c r="AE66" s="61">
        <v>6.8099999999999994E-2</v>
      </c>
      <c r="AF66" s="61">
        <v>7.6913</v>
      </c>
      <c r="AG66" s="61">
        <v>5.4999999999999997E-3</v>
      </c>
      <c r="AH66" s="61">
        <v>14.9649</v>
      </c>
      <c r="AI66" s="61">
        <f t="shared" si="22"/>
        <v>11.9739</v>
      </c>
    </row>
    <row r="67" spans="1:35" s="62" customFormat="1" x14ac:dyDescent="0.2">
      <c r="A67" s="59" t="s">
        <v>491</v>
      </c>
      <c r="B67" s="61">
        <v>0.10100000000000001</v>
      </c>
      <c r="C67" s="61">
        <v>0</v>
      </c>
      <c r="D67" s="61">
        <v>5.8280000000000003</v>
      </c>
      <c r="E67" s="61">
        <v>0.14899999999999999</v>
      </c>
      <c r="F67" s="61">
        <v>27.38</v>
      </c>
      <c r="G67" s="61">
        <v>0.54200000000000004</v>
      </c>
      <c r="H67" s="61">
        <v>9.6180000000000003</v>
      </c>
      <c r="I67" s="61">
        <v>0</v>
      </c>
      <c r="J67" s="61">
        <v>0.67300000000000004</v>
      </c>
      <c r="K67" s="61">
        <v>56.543999999999997</v>
      </c>
      <c r="L67" s="61">
        <v>0.03</v>
      </c>
      <c r="M67" s="61">
        <v>100.86499999999999</v>
      </c>
      <c r="N67" s="61"/>
      <c r="O67" s="61">
        <f t="shared" si="16"/>
        <v>0.17151110952601734</v>
      </c>
      <c r="P67" s="61">
        <f t="shared" si="17"/>
        <v>0.188</v>
      </c>
      <c r="Q67" s="61">
        <f t="shared" si="18"/>
        <v>1.229072322515834E-2</v>
      </c>
      <c r="R67" s="61"/>
      <c r="S67" s="61">
        <f t="shared" si="19"/>
        <v>46.129710619473805</v>
      </c>
      <c r="T67" s="61">
        <f t="shared" si="20"/>
        <v>3.3057188379659688</v>
      </c>
      <c r="U67" s="61">
        <f t="shared" si="21"/>
        <v>50.564570542560226</v>
      </c>
      <c r="V67" s="61"/>
      <c r="W67" s="61">
        <v>1.01E-2</v>
      </c>
      <c r="X67" s="61">
        <v>0</v>
      </c>
      <c r="Y67" s="61">
        <v>1.5161</v>
      </c>
      <c r="Z67" s="61">
        <v>1.6899999999999998E-2</v>
      </c>
      <c r="AA67" s="61">
        <v>4.3300999999999998</v>
      </c>
      <c r="AB67" s="61">
        <v>9.2700000000000005E-2</v>
      </c>
      <c r="AC67" s="61">
        <v>1.3828</v>
      </c>
      <c r="AD67" s="61">
        <v>0</v>
      </c>
      <c r="AE67" s="61">
        <v>7.5600000000000001E-2</v>
      </c>
      <c r="AF67" s="61">
        <v>7.5867000000000004</v>
      </c>
      <c r="AG67" s="61">
        <v>6.0000000000000001E-3</v>
      </c>
      <c r="AH67" s="61">
        <v>15.016999999999999</v>
      </c>
      <c r="AI67" s="61">
        <f t="shared" si="22"/>
        <v>11.9168</v>
      </c>
    </row>
    <row r="68" spans="1:35" s="62" customFormat="1" x14ac:dyDescent="0.2">
      <c r="A68" s="59" t="s">
        <v>492</v>
      </c>
      <c r="B68" s="61">
        <v>6.4000000000000001E-2</v>
      </c>
      <c r="C68" s="61">
        <v>0</v>
      </c>
      <c r="D68" s="61">
        <v>5.71</v>
      </c>
      <c r="E68" s="61">
        <v>0</v>
      </c>
      <c r="F68" s="61">
        <v>26.024000000000001</v>
      </c>
      <c r="G68" s="61">
        <v>1.68</v>
      </c>
      <c r="H68" s="61">
        <v>8.0009999999999994</v>
      </c>
      <c r="I68" s="61">
        <v>0</v>
      </c>
      <c r="J68" s="61">
        <v>0.72499999999999998</v>
      </c>
      <c r="K68" s="61">
        <v>58.311</v>
      </c>
      <c r="L68" s="61">
        <v>1.7000000000000001E-2</v>
      </c>
      <c r="M68" s="61">
        <v>100.532</v>
      </c>
      <c r="N68" s="61"/>
      <c r="O68" s="61">
        <f t="shared" si="16"/>
        <v>0.142676272334962</v>
      </c>
      <c r="P68" s="61">
        <f t="shared" si="17"/>
        <v>0.18419354838709678</v>
      </c>
      <c r="Q68" s="61">
        <f t="shared" si="18"/>
        <v>3.809670667576754E-2</v>
      </c>
      <c r="R68" s="61"/>
      <c r="S68" s="61">
        <f t="shared" si="19"/>
        <v>39.092974731745699</v>
      </c>
      <c r="T68" s="61">
        <f t="shared" si="20"/>
        <v>10.438411146192811</v>
      </c>
      <c r="U68" s="61">
        <f t="shared" si="21"/>
        <v>50.468614122061481</v>
      </c>
      <c r="V68" s="61"/>
      <c r="W68" s="61">
        <v>6.4999999999999997E-3</v>
      </c>
      <c r="X68" s="61">
        <v>0</v>
      </c>
      <c r="Y68" s="61">
        <v>1.4883</v>
      </c>
      <c r="Z68" s="61">
        <v>0</v>
      </c>
      <c r="AA68" s="61">
        <v>4.1234000000000002</v>
      </c>
      <c r="AB68" s="61">
        <v>0.28810000000000002</v>
      </c>
      <c r="AC68" s="61">
        <v>1.1523000000000001</v>
      </c>
      <c r="AD68" s="61">
        <v>0</v>
      </c>
      <c r="AE68" s="61">
        <v>8.1600000000000006E-2</v>
      </c>
      <c r="AF68" s="61">
        <v>7.8381999999999996</v>
      </c>
      <c r="AG68" s="61">
        <v>3.3999999999999998E-3</v>
      </c>
      <c r="AH68" s="61">
        <v>14.9818</v>
      </c>
      <c r="AI68" s="61">
        <f t="shared" si="22"/>
        <v>11.961600000000001</v>
      </c>
    </row>
    <row r="69" spans="1:35" s="62" customFormat="1" x14ac:dyDescent="0.2">
      <c r="A69" s="59" t="s">
        <v>493</v>
      </c>
      <c r="B69" s="61">
        <v>0</v>
      </c>
      <c r="C69" s="61">
        <v>0</v>
      </c>
      <c r="D69" s="61">
        <v>4.7699999999999996</v>
      </c>
      <c r="E69" s="61">
        <v>0</v>
      </c>
      <c r="F69" s="61">
        <v>25.736000000000001</v>
      </c>
      <c r="G69" s="61">
        <v>2.9580000000000002</v>
      </c>
      <c r="H69" s="61">
        <v>7.9379999999999997</v>
      </c>
      <c r="I69" s="61">
        <v>2.3E-2</v>
      </c>
      <c r="J69" s="61">
        <v>0.54700000000000004</v>
      </c>
      <c r="K69" s="61">
        <v>58.250999999999998</v>
      </c>
      <c r="L69" s="61">
        <v>1.9E-2</v>
      </c>
      <c r="M69" s="61">
        <v>100.242</v>
      </c>
      <c r="N69" s="61"/>
      <c r="O69" s="61">
        <f t="shared" si="16"/>
        <v>0.14155283711972608</v>
      </c>
      <c r="P69" s="61">
        <f t="shared" si="17"/>
        <v>0.15387096774193548</v>
      </c>
      <c r="Q69" s="61">
        <f t="shared" si="18"/>
        <v>6.7077415682690711E-2</v>
      </c>
      <c r="R69" s="61"/>
      <c r="S69" s="61">
        <f t="shared" si="19"/>
        <v>39.048927037311032</v>
      </c>
      <c r="T69" s="61">
        <f t="shared" si="20"/>
        <v>18.50405236759299</v>
      </c>
      <c r="U69" s="61">
        <f t="shared" si="21"/>
        <v>42.447020595095978</v>
      </c>
      <c r="V69" s="61"/>
      <c r="W69" s="61">
        <v>0</v>
      </c>
      <c r="X69" s="61">
        <v>0</v>
      </c>
      <c r="Y69" s="61">
        <v>1.2504999999999999</v>
      </c>
      <c r="Z69" s="61">
        <v>0</v>
      </c>
      <c r="AA69" s="61">
        <v>4.101</v>
      </c>
      <c r="AB69" s="61">
        <v>0.51019999999999999</v>
      </c>
      <c r="AC69" s="61">
        <v>1.1498999999999999</v>
      </c>
      <c r="AD69" s="61">
        <v>2.5999999999999999E-3</v>
      </c>
      <c r="AE69" s="61">
        <v>6.1899999999999997E-2</v>
      </c>
      <c r="AF69" s="61">
        <v>7.8749000000000002</v>
      </c>
      <c r="AG69" s="61">
        <v>3.8999999999999998E-3</v>
      </c>
      <c r="AH69" s="61">
        <v>14.9549</v>
      </c>
      <c r="AI69" s="61">
        <f t="shared" si="22"/>
        <v>11.975899999999999</v>
      </c>
    </row>
    <row r="70" spans="1:35" s="62" customFormat="1" x14ac:dyDescent="0.2">
      <c r="A70" s="59" t="s">
        <v>494</v>
      </c>
      <c r="B70" s="61">
        <v>6.8000000000000005E-2</v>
      </c>
      <c r="C70" s="61">
        <v>8.0000000000000002E-3</v>
      </c>
      <c r="D70" s="61">
        <v>4.87</v>
      </c>
      <c r="E70" s="61">
        <v>0</v>
      </c>
      <c r="F70" s="61">
        <v>25.536999999999999</v>
      </c>
      <c r="G70" s="61">
        <v>2.919</v>
      </c>
      <c r="H70" s="61">
        <v>7.7530000000000001</v>
      </c>
      <c r="I70" s="61">
        <v>0</v>
      </c>
      <c r="J70" s="61">
        <v>0.58599999999999997</v>
      </c>
      <c r="K70" s="61">
        <v>58.637999999999998</v>
      </c>
      <c r="L70" s="61">
        <v>2.1999999999999999E-2</v>
      </c>
      <c r="M70" s="61">
        <v>100.401</v>
      </c>
      <c r="N70" s="61"/>
      <c r="O70" s="61">
        <f t="shared" si="16"/>
        <v>0.13825386069403331</v>
      </c>
      <c r="P70" s="61">
        <f t="shared" si="17"/>
        <v>0.15709677419354839</v>
      </c>
      <c r="Q70" s="61">
        <f t="shared" si="18"/>
        <v>6.6193027849146116E-2</v>
      </c>
      <c r="R70" s="61"/>
      <c r="S70" s="61">
        <f t="shared" si="19"/>
        <v>38.239879423556175</v>
      </c>
      <c r="T70" s="61">
        <f t="shared" si="20"/>
        <v>18.308446439938614</v>
      </c>
      <c r="U70" s="61">
        <f t="shared" si="21"/>
        <v>43.451674136505211</v>
      </c>
      <c r="V70" s="61"/>
      <c r="W70" s="61">
        <v>6.8999999999999999E-3</v>
      </c>
      <c r="X70" s="61">
        <v>8.0000000000000004E-4</v>
      </c>
      <c r="Y70" s="61">
        <v>1.2735000000000001</v>
      </c>
      <c r="Z70" s="61">
        <v>0</v>
      </c>
      <c r="AA70" s="61">
        <v>4.0595999999999997</v>
      </c>
      <c r="AB70" s="61">
        <v>0.50229999999999997</v>
      </c>
      <c r="AC70" s="61">
        <v>1.1204000000000001</v>
      </c>
      <c r="AD70" s="61">
        <v>0</v>
      </c>
      <c r="AE70" s="61">
        <v>6.6100000000000006E-2</v>
      </c>
      <c r="AF70" s="61">
        <v>7.9084000000000003</v>
      </c>
      <c r="AG70" s="61">
        <v>4.4000000000000003E-3</v>
      </c>
      <c r="AH70" s="61">
        <v>14.942399999999999</v>
      </c>
      <c r="AI70" s="61">
        <f t="shared" si="22"/>
        <v>11.968</v>
      </c>
    </row>
    <row r="71" spans="1:35" s="62" customFormat="1" x14ac:dyDescent="0.2">
      <c r="A71" s="59" t="s">
        <v>495</v>
      </c>
      <c r="B71" s="61">
        <v>1.6E-2</v>
      </c>
      <c r="C71" s="61">
        <v>0</v>
      </c>
      <c r="D71" s="61">
        <v>5.1769999999999996</v>
      </c>
      <c r="E71" s="61">
        <v>0</v>
      </c>
      <c r="F71" s="61">
        <v>24.957000000000001</v>
      </c>
      <c r="G71" s="61">
        <v>3.069</v>
      </c>
      <c r="H71" s="61">
        <v>6.8959999999999999</v>
      </c>
      <c r="I71" s="61">
        <v>0</v>
      </c>
      <c r="J71" s="61">
        <v>0.58699999999999997</v>
      </c>
      <c r="K71" s="61">
        <v>59.667000000000002</v>
      </c>
      <c r="L71" s="61">
        <v>3.0000000000000001E-3</v>
      </c>
      <c r="M71" s="61">
        <v>100.372</v>
      </c>
      <c r="N71" s="61"/>
      <c r="O71" s="61">
        <f t="shared" si="16"/>
        <v>0.12297157530582402</v>
      </c>
      <c r="P71" s="61">
        <f t="shared" si="17"/>
        <v>0.16699999999999998</v>
      </c>
      <c r="Q71" s="61">
        <f t="shared" si="18"/>
        <v>6.9594519516625347E-2</v>
      </c>
      <c r="R71" s="61"/>
      <c r="S71" s="61">
        <f t="shared" si="19"/>
        <v>34.199991900389364</v>
      </c>
      <c r="T71" s="61">
        <f t="shared" si="20"/>
        <v>19.35513957482296</v>
      </c>
      <c r="U71" s="61">
        <f t="shared" si="21"/>
        <v>46.444868524787672</v>
      </c>
      <c r="V71" s="61"/>
      <c r="W71" s="61">
        <v>1.6000000000000001E-3</v>
      </c>
      <c r="X71" s="61">
        <v>0</v>
      </c>
      <c r="Y71" s="61">
        <v>1.3509</v>
      </c>
      <c r="Z71" s="61">
        <v>0</v>
      </c>
      <c r="AA71" s="61">
        <v>3.9586000000000001</v>
      </c>
      <c r="AB71" s="61">
        <v>0.52690000000000003</v>
      </c>
      <c r="AC71" s="61">
        <v>0.99439999999999995</v>
      </c>
      <c r="AD71" s="61">
        <v>0</v>
      </c>
      <c r="AE71" s="61">
        <v>6.6100000000000006E-2</v>
      </c>
      <c r="AF71" s="61">
        <v>8.0294000000000008</v>
      </c>
      <c r="AG71" s="61">
        <v>6.9999999999999999E-4</v>
      </c>
      <c r="AH71" s="61">
        <v>14.928599999999999</v>
      </c>
      <c r="AI71" s="61">
        <f t="shared" si="22"/>
        <v>11.988000000000001</v>
      </c>
    </row>
    <row r="72" spans="1:35" s="62" customFormat="1" x14ac:dyDescent="0.2">
      <c r="A72" s="59" t="s">
        <v>496</v>
      </c>
      <c r="B72" s="61">
        <v>7.5999999999999998E-2</v>
      </c>
      <c r="C72" s="61">
        <v>0</v>
      </c>
      <c r="D72" s="61">
        <v>4.8899999999999997</v>
      </c>
      <c r="E72" s="61">
        <v>5.0000000000000001E-3</v>
      </c>
      <c r="F72" s="61">
        <v>25.236999999999998</v>
      </c>
      <c r="G72" s="61">
        <v>3.323</v>
      </c>
      <c r="H72" s="61">
        <v>7.33</v>
      </c>
      <c r="I72" s="61">
        <v>0</v>
      </c>
      <c r="J72" s="61">
        <v>0.67400000000000004</v>
      </c>
      <c r="K72" s="61">
        <v>58.997</v>
      </c>
      <c r="L72" s="61">
        <v>3.1E-2</v>
      </c>
      <c r="M72" s="61">
        <v>100.563</v>
      </c>
      <c r="N72" s="61"/>
      <c r="O72" s="61">
        <f t="shared" si="16"/>
        <v>0.13071079567744925</v>
      </c>
      <c r="P72" s="61">
        <f t="shared" si="17"/>
        <v>0.15774193548387097</v>
      </c>
      <c r="Q72" s="61">
        <f t="shared" si="18"/>
        <v>7.5354378740223549E-2</v>
      </c>
      <c r="R72" s="61"/>
      <c r="S72" s="61">
        <f t="shared" si="19"/>
        <v>35.928598457799026</v>
      </c>
      <c r="T72" s="61">
        <f t="shared" si="20"/>
        <v>20.712728445746023</v>
      </c>
      <c r="U72" s="61">
        <f t="shared" si="21"/>
        <v>43.358673096454957</v>
      </c>
      <c r="V72" s="61"/>
      <c r="W72" s="61">
        <v>7.7999999999999996E-3</v>
      </c>
      <c r="X72" s="61">
        <v>0</v>
      </c>
      <c r="Y72" s="61">
        <v>1.2779</v>
      </c>
      <c r="Z72" s="61">
        <v>5.0000000000000001E-4</v>
      </c>
      <c r="AA72" s="61">
        <v>4.0094000000000003</v>
      </c>
      <c r="AB72" s="61">
        <v>0.57140000000000002</v>
      </c>
      <c r="AC72" s="61">
        <v>1.0586</v>
      </c>
      <c r="AD72" s="61">
        <v>0</v>
      </c>
      <c r="AE72" s="61">
        <v>7.5999999999999998E-2</v>
      </c>
      <c r="AF72" s="61">
        <v>7.9518000000000004</v>
      </c>
      <c r="AG72" s="61">
        <v>6.3E-3</v>
      </c>
      <c r="AH72" s="61">
        <v>14.9597</v>
      </c>
      <c r="AI72" s="61">
        <f t="shared" si="22"/>
        <v>11.961200000000002</v>
      </c>
    </row>
    <row r="73" spans="1:35" s="62" customFormat="1" x14ac:dyDescent="0.2">
      <c r="A73" s="59" t="s">
        <v>497</v>
      </c>
      <c r="B73" s="61">
        <v>0.08</v>
      </c>
      <c r="C73" s="61">
        <v>0</v>
      </c>
      <c r="D73" s="61">
        <v>5.8630000000000004</v>
      </c>
      <c r="E73" s="61">
        <v>0</v>
      </c>
      <c r="F73" s="61">
        <v>26.170999999999999</v>
      </c>
      <c r="G73" s="61">
        <v>1</v>
      </c>
      <c r="H73" s="61">
        <v>8.2810000000000006</v>
      </c>
      <c r="I73" s="61">
        <v>1E-3</v>
      </c>
      <c r="J73" s="61">
        <v>0.70699999999999996</v>
      </c>
      <c r="K73" s="61">
        <v>58.512999999999998</v>
      </c>
      <c r="L73" s="61">
        <v>2.8000000000000001E-2</v>
      </c>
      <c r="M73" s="61">
        <v>100.64400000000001</v>
      </c>
      <c r="N73" s="61"/>
      <c r="O73" s="61">
        <f t="shared" si="16"/>
        <v>0.14766931773601055</v>
      </c>
      <c r="P73" s="61">
        <f t="shared" si="17"/>
        <v>0.18912903225806452</v>
      </c>
      <c r="Q73" s="61">
        <f t="shared" si="18"/>
        <v>2.26766111165283E-2</v>
      </c>
      <c r="R73" s="61"/>
      <c r="S73" s="61">
        <f t="shared" si="19"/>
        <v>41.079166482078179</v>
      </c>
      <c r="T73" s="61">
        <f t="shared" si="20"/>
        <v>6.3082588691208326</v>
      </c>
      <c r="U73" s="61">
        <f t="shared" si="21"/>
        <v>52.61257464880098</v>
      </c>
      <c r="V73" s="61"/>
      <c r="W73" s="61">
        <v>8.0999999999999996E-3</v>
      </c>
      <c r="X73" s="61">
        <v>0</v>
      </c>
      <c r="Y73" s="61">
        <v>1.5222</v>
      </c>
      <c r="Z73" s="61">
        <v>0</v>
      </c>
      <c r="AA73" s="61">
        <v>4.1303000000000001</v>
      </c>
      <c r="AB73" s="61">
        <v>0.17080000000000001</v>
      </c>
      <c r="AC73" s="61">
        <v>1.1880999999999999</v>
      </c>
      <c r="AD73" s="61">
        <v>1E-4</v>
      </c>
      <c r="AE73" s="61">
        <v>7.9100000000000004E-2</v>
      </c>
      <c r="AF73" s="61">
        <v>7.8345000000000002</v>
      </c>
      <c r="AG73" s="61">
        <v>5.4999999999999997E-3</v>
      </c>
      <c r="AH73" s="61">
        <v>14.938700000000001</v>
      </c>
      <c r="AI73" s="61">
        <f t="shared" si="22"/>
        <v>11.9648</v>
      </c>
    </row>
    <row r="74" spans="1:35" s="62" customFormat="1" x14ac:dyDescent="0.2">
      <c r="A74" s="59" t="s">
        <v>498</v>
      </c>
      <c r="B74" s="61">
        <v>0.02</v>
      </c>
      <c r="C74" s="61">
        <v>1.0999999999999999E-2</v>
      </c>
      <c r="D74" s="61">
        <v>5.14</v>
      </c>
      <c r="E74" s="61">
        <v>0</v>
      </c>
      <c r="F74" s="61">
        <v>25.908999999999999</v>
      </c>
      <c r="G74" s="61">
        <v>2.4</v>
      </c>
      <c r="H74" s="61">
        <v>8.0719999999999992</v>
      </c>
      <c r="I74" s="61">
        <v>1.4E-2</v>
      </c>
      <c r="J74" s="61">
        <v>0.66</v>
      </c>
      <c r="K74" s="61">
        <v>58.424999999999997</v>
      </c>
      <c r="L74" s="61">
        <v>0.02</v>
      </c>
      <c r="M74" s="61">
        <v>100.67100000000001</v>
      </c>
      <c r="N74" s="61"/>
      <c r="O74" s="61">
        <f t="shared" si="16"/>
        <v>0.14394236599022786</v>
      </c>
      <c r="P74" s="61">
        <f t="shared" si="17"/>
        <v>0.16580645161290322</v>
      </c>
      <c r="Q74" s="61">
        <f t="shared" si="18"/>
        <v>5.442386667966792E-2</v>
      </c>
      <c r="R74" s="61"/>
      <c r="S74" s="61">
        <f t="shared" si="19"/>
        <v>39.525854684490589</v>
      </c>
      <c r="T74" s="61">
        <f t="shared" si="20"/>
        <v>14.944521933832073</v>
      </c>
      <c r="U74" s="61">
        <f t="shared" si="21"/>
        <v>45.529623381677325</v>
      </c>
      <c r="V74" s="61"/>
      <c r="W74" s="61">
        <v>2E-3</v>
      </c>
      <c r="X74" s="61">
        <v>1.1999999999999999E-3</v>
      </c>
      <c r="Y74" s="61">
        <v>1.3404</v>
      </c>
      <c r="Z74" s="61">
        <v>0</v>
      </c>
      <c r="AA74" s="61">
        <v>4.1071</v>
      </c>
      <c r="AB74" s="61">
        <v>0.4118</v>
      </c>
      <c r="AC74" s="61">
        <v>1.1631</v>
      </c>
      <c r="AD74" s="61">
        <v>1.5E-3</v>
      </c>
      <c r="AE74" s="61">
        <v>7.4200000000000002E-2</v>
      </c>
      <c r="AF74" s="61">
        <v>7.8573000000000004</v>
      </c>
      <c r="AG74" s="61">
        <v>3.8999999999999998E-3</v>
      </c>
      <c r="AH74" s="61">
        <v>14.9625</v>
      </c>
      <c r="AI74" s="61">
        <f t="shared" si="22"/>
        <v>11.964400000000001</v>
      </c>
    </row>
    <row r="75" spans="1:35" s="62" customFormat="1" x14ac:dyDescent="0.2">
      <c r="A75" s="59" t="s">
        <v>499</v>
      </c>
      <c r="B75" s="61">
        <v>6.4000000000000001E-2</v>
      </c>
      <c r="C75" s="61">
        <v>0</v>
      </c>
      <c r="D75" s="61">
        <v>5.8689999999999998</v>
      </c>
      <c r="E75" s="61">
        <v>0</v>
      </c>
      <c r="F75" s="61">
        <v>26.396999999999998</v>
      </c>
      <c r="G75" s="61">
        <v>1.2090000000000001</v>
      </c>
      <c r="H75" s="61">
        <v>8.27</v>
      </c>
      <c r="I75" s="61">
        <v>0</v>
      </c>
      <c r="J75" s="61">
        <v>0.56799999999999995</v>
      </c>
      <c r="K75" s="61">
        <v>58.308</v>
      </c>
      <c r="L75" s="61">
        <v>2.5000000000000001E-2</v>
      </c>
      <c r="M75" s="61">
        <v>100.71</v>
      </c>
      <c r="N75" s="61"/>
      <c r="O75" s="61">
        <f t="shared" si="16"/>
        <v>0.14747316238096936</v>
      </c>
      <c r="P75" s="61">
        <f t="shared" si="17"/>
        <v>0.18932258064516128</v>
      </c>
      <c r="Q75" s="61">
        <f t="shared" si="18"/>
        <v>2.7416022839882717E-2</v>
      </c>
      <c r="R75" s="61"/>
      <c r="S75" s="61">
        <f t="shared" si="19"/>
        <v>40.491048396064713</v>
      </c>
      <c r="T75" s="61">
        <f t="shared" si="20"/>
        <v>7.5274951029365029</v>
      </c>
      <c r="U75" s="61">
        <f t="shared" si="21"/>
        <v>51.981456500998789</v>
      </c>
      <c r="V75" s="61"/>
      <c r="W75" s="61">
        <v>6.4999999999999997E-3</v>
      </c>
      <c r="X75" s="61">
        <v>0</v>
      </c>
      <c r="Y75" s="61">
        <v>1.5241</v>
      </c>
      <c r="Z75" s="61">
        <v>0</v>
      </c>
      <c r="AA75" s="61">
        <v>4.1665999999999999</v>
      </c>
      <c r="AB75" s="61">
        <v>0.20649999999999999</v>
      </c>
      <c r="AC75" s="61">
        <v>1.1866000000000001</v>
      </c>
      <c r="AD75" s="61">
        <v>0</v>
      </c>
      <c r="AE75" s="61">
        <v>6.3600000000000004E-2</v>
      </c>
      <c r="AF75" s="61">
        <v>7.8083</v>
      </c>
      <c r="AG75" s="61">
        <v>5.0000000000000001E-3</v>
      </c>
      <c r="AH75" s="61">
        <v>14.9672</v>
      </c>
      <c r="AI75" s="61">
        <f t="shared" si="22"/>
        <v>11.9749</v>
      </c>
    </row>
    <row r="76" spans="1:35" s="62" customFormat="1" x14ac:dyDescent="0.2">
      <c r="A76" s="59" t="s">
        <v>500</v>
      </c>
      <c r="B76" s="61">
        <v>2.4E-2</v>
      </c>
      <c r="C76" s="61">
        <v>6.0000000000000001E-3</v>
      </c>
      <c r="D76" s="61">
        <v>6.2089999999999996</v>
      </c>
      <c r="E76" s="61">
        <v>0</v>
      </c>
      <c r="F76" s="61">
        <v>26.295999999999999</v>
      </c>
      <c r="G76" s="61">
        <v>0.55600000000000005</v>
      </c>
      <c r="H76" s="61">
        <v>8.2949999999999999</v>
      </c>
      <c r="I76" s="61">
        <v>0</v>
      </c>
      <c r="J76" s="61">
        <v>0.54400000000000004</v>
      </c>
      <c r="K76" s="61">
        <v>58.881</v>
      </c>
      <c r="L76" s="61">
        <v>4.3999999999999997E-2</v>
      </c>
      <c r="M76" s="61">
        <v>100.855</v>
      </c>
      <c r="N76" s="61"/>
      <c r="O76" s="61">
        <f t="shared" si="16"/>
        <v>0.14791897000606297</v>
      </c>
      <c r="P76" s="61">
        <f t="shared" si="17"/>
        <v>0.20029032258064514</v>
      </c>
      <c r="Q76" s="61">
        <f t="shared" si="18"/>
        <v>1.2608195780789736E-2</v>
      </c>
      <c r="R76" s="61"/>
      <c r="S76" s="61">
        <f t="shared" si="19"/>
        <v>40.995510133202124</v>
      </c>
      <c r="T76" s="61">
        <f t="shared" si="20"/>
        <v>3.4943416511862933</v>
      </c>
      <c r="U76" s="61">
        <f t="shared" si="21"/>
        <v>55.510148215611586</v>
      </c>
      <c r="V76" s="61"/>
      <c r="W76" s="61">
        <v>2.3999999999999998E-3</v>
      </c>
      <c r="X76" s="61">
        <v>5.9999999999999995E-4</v>
      </c>
      <c r="Y76" s="61">
        <v>1.6045</v>
      </c>
      <c r="Z76" s="61">
        <v>0</v>
      </c>
      <c r="AA76" s="61">
        <v>4.1308999999999996</v>
      </c>
      <c r="AB76" s="61">
        <v>9.4500000000000001E-2</v>
      </c>
      <c r="AC76" s="61">
        <v>1.1846000000000001</v>
      </c>
      <c r="AD76" s="61">
        <v>0</v>
      </c>
      <c r="AE76" s="61">
        <v>6.0600000000000001E-2</v>
      </c>
      <c r="AF76" s="61">
        <v>7.8472999999999997</v>
      </c>
      <c r="AG76" s="61">
        <v>8.6999999999999994E-3</v>
      </c>
      <c r="AH76" s="61">
        <v>14.934100000000001</v>
      </c>
      <c r="AI76" s="61">
        <f t="shared" si="22"/>
        <v>11.978199999999999</v>
      </c>
    </row>
    <row r="77" spans="1:35" s="62" customFormat="1" x14ac:dyDescent="0.2">
      <c r="A77" s="59" t="s">
        <v>501</v>
      </c>
      <c r="B77" s="61">
        <v>6.8000000000000005E-2</v>
      </c>
      <c r="C77" s="61">
        <v>2.1000000000000001E-2</v>
      </c>
      <c r="D77" s="61">
        <v>5.1890000000000001</v>
      </c>
      <c r="E77" s="61">
        <v>0</v>
      </c>
      <c r="F77" s="61">
        <v>25.751000000000001</v>
      </c>
      <c r="G77" s="61">
        <v>2.6989999999999998</v>
      </c>
      <c r="H77" s="61">
        <v>7.78</v>
      </c>
      <c r="I77" s="61">
        <v>0</v>
      </c>
      <c r="J77" s="61">
        <v>0.56399999999999995</v>
      </c>
      <c r="K77" s="61">
        <v>58.575000000000003</v>
      </c>
      <c r="L77" s="61">
        <v>1.7999999999999999E-2</v>
      </c>
      <c r="M77" s="61">
        <v>100.66500000000001</v>
      </c>
      <c r="N77" s="61"/>
      <c r="O77" s="61">
        <f t="shared" si="16"/>
        <v>0.13873533292913443</v>
      </c>
      <c r="P77" s="61">
        <f t="shared" si="17"/>
        <v>0.16738709677419356</v>
      </c>
      <c r="Q77" s="61">
        <f t="shared" si="18"/>
        <v>6.1204173403509879E-2</v>
      </c>
      <c r="R77" s="61"/>
      <c r="S77" s="61">
        <f t="shared" si="19"/>
        <v>37.768931451115975</v>
      </c>
      <c r="T77" s="61">
        <f t="shared" si="20"/>
        <v>16.66205847489584</v>
      </c>
      <c r="U77" s="61">
        <f t="shared" si="21"/>
        <v>45.569010073988196</v>
      </c>
      <c r="V77" s="61"/>
      <c r="W77" s="61">
        <v>6.8999999999999999E-3</v>
      </c>
      <c r="X77" s="61">
        <v>2.2000000000000001E-3</v>
      </c>
      <c r="Y77" s="61">
        <v>1.3536999999999999</v>
      </c>
      <c r="Z77" s="61">
        <v>0</v>
      </c>
      <c r="AA77" s="61">
        <v>4.0834000000000001</v>
      </c>
      <c r="AB77" s="61">
        <v>0.46329999999999999</v>
      </c>
      <c r="AC77" s="61">
        <v>1.1214999999999999</v>
      </c>
      <c r="AD77" s="61">
        <v>0</v>
      </c>
      <c r="AE77" s="61">
        <v>6.3399999999999998E-2</v>
      </c>
      <c r="AF77" s="61">
        <v>7.8803000000000001</v>
      </c>
      <c r="AG77" s="61">
        <v>3.5999999999999999E-3</v>
      </c>
      <c r="AH77" s="61">
        <v>14.978300000000001</v>
      </c>
      <c r="AI77" s="61">
        <f t="shared" si="22"/>
        <v>11.963699999999999</v>
      </c>
    </row>
    <row r="78" spans="1:35" s="62" customFormat="1" x14ac:dyDescent="0.2">
      <c r="A78" s="59" t="s">
        <v>502</v>
      </c>
      <c r="B78" s="61">
        <v>8.8999999999999996E-2</v>
      </c>
      <c r="C78" s="61">
        <v>0</v>
      </c>
      <c r="D78" s="61">
        <v>5.7770000000000001</v>
      </c>
      <c r="E78" s="61">
        <v>0</v>
      </c>
      <c r="F78" s="61">
        <v>25.872</v>
      </c>
      <c r="G78" s="61">
        <v>1.7130000000000001</v>
      </c>
      <c r="H78" s="61">
        <v>7.8940000000000001</v>
      </c>
      <c r="I78" s="61">
        <v>3.4000000000000002E-2</v>
      </c>
      <c r="J78" s="61">
        <v>0.55300000000000005</v>
      </c>
      <c r="K78" s="61">
        <v>58.441000000000003</v>
      </c>
      <c r="L78" s="61">
        <v>1.7999999999999999E-2</v>
      </c>
      <c r="M78" s="61">
        <v>100.39100000000001</v>
      </c>
      <c r="N78" s="61"/>
      <c r="O78" s="61">
        <f t="shared" si="16"/>
        <v>0.14076821569956133</v>
      </c>
      <c r="P78" s="61">
        <f t="shared" si="17"/>
        <v>0.18635483870967742</v>
      </c>
      <c r="Q78" s="61">
        <f t="shared" si="18"/>
        <v>3.884503484261298E-2</v>
      </c>
      <c r="R78" s="61"/>
      <c r="S78" s="61">
        <f t="shared" si="19"/>
        <v>38.464614766640906</v>
      </c>
      <c r="T78" s="61">
        <f t="shared" si="20"/>
        <v>10.614322937834238</v>
      </c>
      <c r="U78" s="61">
        <f t="shared" si="21"/>
        <v>50.921062295524855</v>
      </c>
      <c r="V78" s="61"/>
      <c r="W78" s="61">
        <v>8.9999999999999993E-3</v>
      </c>
      <c r="X78" s="61">
        <v>0</v>
      </c>
      <c r="Y78" s="61">
        <v>1.5066999999999999</v>
      </c>
      <c r="Z78" s="61">
        <v>0</v>
      </c>
      <c r="AA78" s="61">
        <v>4.1018999999999997</v>
      </c>
      <c r="AB78" s="61">
        <v>0.29399999999999998</v>
      </c>
      <c r="AC78" s="61">
        <v>1.1376999999999999</v>
      </c>
      <c r="AD78" s="61">
        <v>3.8E-3</v>
      </c>
      <c r="AE78" s="61">
        <v>6.2199999999999998E-2</v>
      </c>
      <c r="AF78" s="61">
        <v>7.8608000000000002</v>
      </c>
      <c r="AG78" s="61">
        <v>3.5999999999999999E-3</v>
      </c>
      <c r="AH78" s="61">
        <v>14.979699999999999</v>
      </c>
      <c r="AI78" s="61">
        <f t="shared" si="22"/>
        <v>11.9627</v>
      </c>
    </row>
    <row r="79" spans="1:35" s="62" customFormat="1" x14ac:dyDescent="0.2">
      <c r="A79" s="59" t="s">
        <v>503</v>
      </c>
      <c r="B79" s="61">
        <v>5.6000000000000001E-2</v>
      </c>
      <c r="C79" s="61">
        <v>0</v>
      </c>
      <c r="D79" s="61">
        <v>5.6950000000000003</v>
      </c>
      <c r="E79" s="61">
        <v>0</v>
      </c>
      <c r="F79" s="61">
        <v>26.053999999999998</v>
      </c>
      <c r="G79" s="61">
        <v>1.5249999999999999</v>
      </c>
      <c r="H79" s="61">
        <v>8.2249999999999996</v>
      </c>
      <c r="I79" s="61">
        <v>4.0000000000000001E-3</v>
      </c>
      <c r="J79" s="61">
        <v>0.69099999999999995</v>
      </c>
      <c r="K79" s="61">
        <v>58.398000000000003</v>
      </c>
      <c r="L79" s="61">
        <v>1.7000000000000001E-2</v>
      </c>
      <c r="M79" s="61">
        <v>100.66500000000001</v>
      </c>
      <c r="N79" s="61"/>
      <c r="O79" s="61">
        <f t="shared" si="16"/>
        <v>0.14667070865580084</v>
      </c>
      <c r="P79" s="61">
        <f t="shared" si="17"/>
        <v>0.18370967741935484</v>
      </c>
      <c r="Q79" s="61">
        <f t="shared" si="18"/>
        <v>3.4581831952705658E-2</v>
      </c>
      <c r="R79" s="61"/>
      <c r="S79" s="61">
        <f t="shared" si="19"/>
        <v>40.187915737788494</v>
      </c>
      <c r="T79" s="61">
        <f t="shared" si="20"/>
        <v>9.4754553333149882</v>
      </c>
      <c r="U79" s="61">
        <f t="shared" si="21"/>
        <v>50.336628928896523</v>
      </c>
      <c r="V79" s="61"/>
      <c r="W79" s="61">
        <v>5.7000000000000002E-3</v>
      </c>
      <c r="X79" s="61">
        <v>0</v>
      </c>
      <c r="Y79" s="61">
        <v>1.4816</v>
      </c>
      <c r="Z79" s="61">
        <v>0</v>
      </c>
      <c r="AA79" s="61">
        <v>4.1207000000000003</v>
      </c>
      <c r="AB79" s="61">
        <v>0.26100000000000001</v>
      </c>
      <c r="AC79" s="61">
        <v>1.1825000000000001</v>
      </c>
      <c r="AD79" s="61">
        <v>4.0000000000000002E-4</v>
      </c>
      <c r="AE79" s="61">
        <v>7.7600000000000002E-2</v>
      </c>
      <c r="AF79" s="61">
        <v>7.8361000000000001</v>
      </c>
      <c r="AG79" s="61">
        <v>3.5000000000000001E-3</v>
      </c>
      <c r="AH79" s="61">
        <v>14.969099999999999</v>
      </c>
      <c r="AI79" s="61">
        <f t="shared" si="22"/>
        <v>11.956800000000001</v>
      </c>
    </row>
    <row r="80" spans="1:35" s="62" customFormat="1" x14ac:dyDescent="0.2">
      <c r="A80" s="59" t="s">
        <v>504</v>
      </c>
      <c r="B80" s="61">
        <v>0.113</v>
      </c>
      <c r="C80" s="61">
        <v>6.0000000000000001E-3</v>
      </c>
      <c r="D80" s="61">
        <v>4.5910000000000002</v>
      </c>
      <c r="E80" s="61">
        <v>0</v>
      </c>
      <c r="F80" s="61">
        <v>26.132000000000001</v>
      </c>
      <c r="G80" s="61">
        <v>2.8450000000000002</v>
      </c>
      <c r="H80" s="61">
        <v>8.3019999999999996</v>
      </c>
      <c r="I80" s="61">
        <v>1.4E-2</v>
      </c>
      <c r="J80" s="61">
        <v>0.74</v>
      </c>
      <c r="K80" s="61">
        <v>58.100999999999999</v>
      </c>
      <c r="L80" s="61">
        <v>1.6E-2</v>
      </c>
      <c r="M80" s="61">
        <v>100.86</v>
      </c>
      <c r="N80" s="61"/>
      <c r="O80" s="61">
        <f t="shared" si="16"/>
        <v>0.14804379614108917</v>
      </c>
      <c r="P80" s="61">
        <f t="shared" si="17"/>
        <v>0.14809677419354839</v>
      </c>
      <c r="Q80" s="61">
        <f t="shared" si="18"/>
        <v>6.4514958626523025E-2</v>
      </c>
      <c r="R80" s="61"/>
      <c r="S80" s="61">
        <f t="shared" si="19"/>
        <v>41.048530870306486</v>
      </c>
      <c r="T80" s="61">
        <f t="shared" si="20"/>
        <v>17.888248881793995</v>
      </c>
      <c r="U80" s="61">
        <f t="shared" si="21"/>
        <v>41.063220247899515</v>
      </c>
      <c r="V80" s="61"/>
      <c r="W80" s="61">
        <v>1.14E-2</v>
      </c>
      <c r="X80" s="61">
        <v>5.9999999999999995E-4</v>
      </c>
      <c r="Y80" s="61">
        <v>1.1977</v>
      </c>
      <c r="Z80" s="61">
        <v>0</v>
      </c>
      <c r="AA80" s="61">
        <v>4.1436999999999999</v>
      </c>
      <c r="AB80" s="61">
        <v>0.48830000000000001</v>
      </c>
      <c r="AC80" s="61">
        <v>1.1968000000000001</v>
      </c>
      <c r="AD80" s="61">
        <v>1.6000000000000001E-3</v>
      </c>
      <c r="AE80" s="61">
        <v>8.3299999999999999E-2</v>
      </c>
      <c r="AF80" s="61">
        <v>7.8163999999999998</v>
      </c>
      <c r="AG80" s="61">
        <v>3.0999999999999999E-3</v>
      </c>
      <c r="AH80" s="61">
        <v>14.9429</v>
      </c>
      <c r="AI80" s="61">
        <f t="shared" si="22"/>
        <v>11.960100000000001</v>
      </c>
    </row>
    <row r="81" spans="1:35" s="62" customFormat="1" x14ac:dyDescent="0.2">
      <c r="A81" s="59" t="s">
        <v>505</v>
      </c>
      <c r="B81" s="61">
        <v>0</v>
      </c>
      <c r="C81" s="61">
        <v>0</v>
      </c>
      <c r="D81" s="61">
        <v>4.7130000000000001</v>
      </c>
      <c r="E81" s="61">
        <v>0</v>
      </c>
      <c r="F81" s="61">
        <v>25.806000000000001</v>
      </c>
      <c r="G81" s="61">
        <v>3.2519999999999998</v>
      </c>
      <c r="H81" s="61">
        <v>8.0380000000000003</v>
      </c>
      <c r="I81" s="61">
        <v>1.0999999999999999E-2</v>
      </c>
      <c r="J81" s="61">
        <v>0.52600000000000002</v>
      </c>
      <c r="K81" s="61">
        <v>58.017000000000003</v>
      </c>
      <c r="L81" s="61">
        <v>1.4E-2</v>
      </c>
      <c r="M81" s="61">
        <v>100.377</v>
      </c>
      <c r="N81" s="61"/>
      <c r="O81" s="61">
        <f t="shared" si="16"/>
        <v>0.14333606762010057</v>
      </c>
      <c r="P81" s="61">
        <f t="shared" si="17"/>
        <v>0.15203225806451612</v>
      </c>
      <c r="Q81" s="61">
        <f t="shared" si="18"/>
        <v>7.3744339350950025E-2</v>
      </c>
      <c r="R81" s="61"/>
      <c r="S81" s="61">
        <f t="shared" si="19"/>
        <v>38.832606192553456</v>
      </c>
      <c r="T81" s="61">
        <f t="shared" si="20"/>
        <v>19.978815775352551</v>
      </c>
      <c r="U81" s="61">
        <f t="shared" si="21"/>
        <v>41.188578032093993</v>
      </c>
      <c r="V81" s="61"/>
      <c r="W81" s="61">
        <v>0</v>
      </c>
      <c r="X81" s="61">
        <v>0</v>
      </c>
      <c r="Y81" s="61">
        <v>1.2363999999999999</v>
      </c>
      <c r="Z81" s="61">
        <v>0</v>
      </c>
      <c r="AA81" s="61">
        <v>4.1153000000000004</v>
      </c>
      <c r="AB81" s="61">
        <v>0.56130000000000002</v>
      </c>
      <c r="AC81" s="61">
        <v>1.1653</v>
      </c>
      <c r="AD81" s="61">
        <v>1.1999999999999999E-3</v>
      </c>
      <c r="AE81" s="61">
        <v>5.9499999999999997E-2</v>
      </c>
      <c r="AF81" s="61">
        <v>7.8495999999999997</v>
      </c>
      <c r="AG81" s="61">
        <v>2.8E-3</v>
      </c>
      <c r="AH81" s="61">
        <v>14.991400000000001</v>
      </c>
      <c r="AI81" s="61">
        <f t="shared" si="22"/>
        <v>11.9649</v>
      </c>
    </row>
    <row r="82" spans="1:35" s="62" customFormat="1" x14ac:dyDescent="0.2">
      <c r="A82" s="59" t="s">
        <v>506</v>
      </c>
      <c r="B82" s="61">
        <v>0.10100000000000001</v>
      </c>
      <c r="C82" s="61">
        <v>0</v>
      </c>
      <c r="D82" s="61">
        <v>5.1779999999999999</v>
      </c>
      <c r="E82" s="61">
        <v>0</v>
      </c>
      <c r="F82" s="61">
        <v>26.613</v>
      </c>
      <c r="G82" s="61">
        <v>1.669</v>
      </c>
      <c r="H82" s="61">
        <v>8.9179999999999993</v>
      </c>
      <c r="I82" s="61">
        <v>0</v>
      </c>
      <c r="J82" s="61">
        <v>0.63100000000000001</v>
      </c>
      <c r="K82" s="61">
        <v>57.216999999999999</v>
      </c>
      <c r="L82" s="61">
        <v>2.3E-2</v>
      </c>
      <c r="M82" s="61">
        <v>100.35</v>
      </c>
      <c r="N82" s="61"/>
      <c r="O82" s="61">
        <f t="shared" si="16"/>
        <v>0.15902849602339597</v>
      </c>
      <c r="P82" s="61">
        <f t="shared" si="17"/>
        <v>0.16703225806451613</v>
      </c>
      <c r="Q82" s="61">
        <f t="shared" si="18"/>
        <v>3.7847263953485734E-2</v>
      </c>
      <c r="R82" s="61"/>
      <c r="S82" s="61">
        <f t="shared" si="19"/>
        <v>43.700190196222891</v>
      </c>
      <c r="T82" s="61">
        <f t="shared" si="20"/>
        <v>10.400228100821968</v>
      </c>
      <c r="U82" s="61">
        <f t="shared" si="21"/>
        <v>45.899581702955132</v>
      </c>
      <c r="V82" s="61"/>
      <c r="W82" s="61">
        <v>1.0200000000000001E-2</v>
      </c>
      <c r="X82" s="61">
        <v>0</v>
      </c>
      <c r="Y82" s="61">
        <v>1.3551</v>
      </c>
      <c r="Z82" s="61">
        <v>0</v>
      </c>
      <c r="AA82" s="61">
        <v>4.2333999999999996</v>
      </c>
      <c r="AB82" s="61">
        <v>0.2873</v>
      </c>
      <c r="AC82" s="61">
        <v>1.2895000000000001</v>
      </c>
      <c r="AD82" s="61">
        <v>0</v>
      </c>
      <c r="AE82" s="61">
        <v>7.1199999999999999E-2</v>
      </c>
      <c r="AF82" s="61">
        <v>7.7214999999999998</v>
      </c>
      <c r="AG82" s="61">
        <v>4.5999999999999999E-3</v>
      </c>
      <c r="AH82" s="61">
        <v>14.972799999999999</v>
      </c>
      <c r="AI82" s="61">
        <f t="shared" si="22"/>
        <v>11.954899999999999</v>
      </c>
    </row>
    <row r="83" spans="1:35" s="65" customFormat="1" x14ac:dyDescent="0.2">
      <c r="A83" s="63" t="s">
        <v>156</v>
      </c>
      <c r="B83" s="64">
        <f>MAX(B63:B82)</f>
        <v>0.113</v>
      </c>
      <c r="C83" s="64">
        <f t="shared" ref="C83:AI83" si="23">MAX(C63:C82)</f>
        <v>2.1000000000000001E-2</v>
      </c>
      <c r="D83" s="64">
        <f t="shared" si="23"/>
        <v>6.2089999999999996</v>
      </c>
      <c r="E83" s="64">
        <f t="shared" si="23"/>
        <v>0.14899999999999999</v>
      </c>
      <c r="F83" s="64">
        <f t="shared" si="23"/>
        <v>27.38</v>
      </c>
      <c r="G83" s="64">
        <f t="shared" si="23"/>
        <v>3.323</v>
      </c>
      <c r="H83" s="64">
        <f t="shared" si="23"/>
        <v>9.6180000000000003</v>
      </c>
      <c r="I83" s="64">
        <f t="shared" si="23"/>
        <v>3.4000000000000002E-2</v>
      </c>
      <c r="J83" s="64">
        <f t="shared" si="23"/>
        <v>0.74</v>
      </c>
      <c r="K83" s="64">
        <f t="shared" si="23"/>
        <v>59.667000000000002</v>
      </c>
      <c r="L83" s="64">
        <f t="shared" si="23"/>
        <v>5.2999999999999999E-2</v>
      </c>
      <c r="M83" s="64">
        <f t="shared" si="23"/>
        <v>100.86499999999999</v>
      </c>
      <c r="N83" s="64"/>
      <c r="O83" s="64">
        <f t="shared" si="16"/>
        <v>0.17151110952601734</v>
      </c>
      <c r="P83" s="64">
        <f t="shared" si="17"/>
        <v>0.20029032258064514</v>
      </c>
      <c r="Q83" s="64">
        <f t="shared" si="18"/>
        <v>7.5354378740223549E-2</v>
      </c>
      <c r="R83" s="64"/>
      <c r="S83" s="64">
        <f t="shared" si="19"/>
        <v>38.356005975005822</v>
      </c>
      <c r="T83" s="64">
        <f t="shared" si="20"/>
        <v>16.851928771205483</v>
      </c>
      <c r="U83" s="64">
        <f t="shared" si="21"/>
        <v>44.792065253788692</v>
      </c>
      <c r="V83" s="64"/>
      <c r="W83" s="64">
        <f t="shared" si="23"/>
        <v>1.14E-2</v>
      </c>
      <c r="X83" s="64">
        <f t="shared" si="23"/>
        <v>2.2000000000000001E-3</v>
      </c>
      <c r="Y83" s="64">
        <f t="shared" si="23"/>
        <v>1.6045</v>
      </c>
      <c r="Z83" s="64">
        <f t="shared" si="23"/>
        <v>1.6899999999999998E-2</v>
      </c>
      <c r="AA83" s="64">
        <f t="shared" si="23"/>
        <v>4.3300999999999998</v>
      </c>
      <c r="AB83" s="64">
        <f t="shared" si="23"/>
        <v>0.57140000000000002</v>
      </c>
      <c r="AC83" s="64">
        <f t="shared" si="23"/>
        <v>1.3828</v>
      </c>
      <c r="AD83" s="64">
        <f t="shared" si="23"/>
        <v>3.8E-3</v>
      </c>
      <c r="AE83" s="64">
        <f t="shared" si="23"/>
        <v>8.3299999999999999E-2</v>
      </c>
      <c r="AF83" s="64">
        <f t="shared" si="23"/>
        <v>8.0294000000000008</v>
      </c>
      <c r="AG83" s="64">
        <f t="shared" si="23"/>
        <v>1.0500000000000001E-2</v>
      </c>
      <c r="AH83" s="64">
        <f t="shared" si="23"/>
        <v>15.016999999999999</v>
      </c>
      <c r="AI83" s="64">
        <f t="shared" si="23"/>
        <v>11.988000000000001</v>
      </c>
    </row>
    <row r="84" spans="1:35" s="65" customFormat="1" x14ac:dyDescent="0.2">
      <c r="A84" s="63" t="s">
        <v>157</v>
      </c>
      <c r="B84" s="64">
        <f>MIN(B63:B82)</f>
        <v>0</v>
      </c>
      <c r="C84" s="64">
        <f t="shared" ref="C84:AI84" si="24">MIN(C63:C82)</f>
        <v>0</v>
      </c>
      <c r="D84" s="64">
        <f t="shared" si="24"/>
        <v>4.5910000000000002</v>
      </c>
      <c r="E84" s="64">
        <f t="shared" si="24"/>
        <v>0</v>
      </c>
      <c r="F84" s="64">
        <f t="shared" si="24"/>
        <v>24.957000000000001</v>
      </c>
      <c r="G84" s="64">
        <f t="shared" si="24"/>
        <v>0.54200000000000004</v>
      </c>
      <c r="H84" s="64">
        <f t="shared" si="24"/>
        <v>6.8959999999999999</v>
      </c>
      <c r="I84" s="64">
        <f t="shared" si="24"/>
        <v>0</v>
      </c>
      <c r="J84" s="64">
        <f t="shared" si="24"/>
        <v>0.52600000000000002</v>
      </c>
      <c r="K84" s="64">
        <f t="shared" si="24"/>
        <v>56.543999999999997</v>
      </c>
      <c r="L84" s="64">
        <f t="shared" si="24"/>
        <v>3.0000000000000001E-3</v>
      </c>
      <c r="M84" s="64">
        <f t="shared" si="24"/>
        <v>99.816000000000003</v>
      </c>
      <c r="N84" s="64"/>
      <c r="O84" s="64">
        <f t="shared" si="16"/>
        <v>0.12297157530582402</v>
      </c>
      <c r="P84" s="64">
        <f t="shared" si="17"/>
        <v>0.14809677419354839</v>
      </c>
      <c r="Q84" s="64">
        <f t="shared" si="18"/>
        <v>1.229072322515834E-2</v>
      </c>
      <c r="R84" s="64"/>
      <c r="S84" s="64">
        <f t="shared" si="19"/>
        <v>43.397789992548283</v>
      </c>
      <c r="T84" s="64">
        <f t="shared" si="20"/>
        <v>4.3375082742125013</v>
      </c>
      <c r="U84" s="64">
        <f t="shared" si="21"/>
        <v>52.264701733239214</v>
      </c>
      <c r="V84" s="64"/>
      <c r="W84" s="64">
        <f t="shared" si="24"/>
        <v>0</v>
      </c>
      <c r="X84" s="64">
        <f t="shared" si="24"/>
        <v>0</v>
      </c>
      <c r="Y84" s="64">
        <f t="shared" si="24"/>
        <v>1.1977</v>
      </c>
      <c r="Z84" s="64">
        <f t="shared" si="24"/>
        <v>0</v>
      </c>
      <c r="AA84" s="64">
        <f t="shared" si="24"/>
        <v>3.9586000000000001</v>
      </c>
      <c r="AB84" s="64">
        <f t="shared" si="24"/>
        <v>9.2700000000000005E-2</v>
      </c>
      <c r="AC84" s="64">
        <f t="shared" si="24"/>
        <v>0.99439999999999995</v>
      </c>
      <c r="AD84" s="64">
        <f t="shared" si="24"/>
        <v>0</v>
      </c>
      <c r="AE84" s="64">
        <f t="shared" si="24"/>
        <v>5.9499999999999997E-2</v>
      </c>
      <c r="AF84" s="64">
        <f t="shared" si="24"/>
        <v>7.5867000000000004</v>
      </c>
      <c r="AG84" s="64">
        <f t="shared" si="24"/>
        <v>6.9999999999999999E-4</v>
      </c>
      <c r="AH84" s="64">
        <f t="shared" si="24"/>
        <v>14.928599999999999</v>
      </c>
      <c r="AI84" s="64">
        <f t="shared" si="24"/>
        <v>11.9168</v>
      </c>
    </row>
    <row r="85" spans="1:35" s="65" customFormat="1" x14ac:dyDescent="0.2">
      <c r="A85" s="63" t="s">
        <v>486</v>
      </c>
      <c r="B85" s="64">
        <f>AVERAGE(B63:B82)</f>
        <v>5.3600000000000002E-2</v>
      </c>
      <c r="C85" s="64">
        <f t="shared" ref="C85:AI85" si="25">AVERAGE(C63:C82)</f>
        <v>3.4500000000000004E-3</v>
      </c>
      <c r="D85" s="64">
        <f t="shared" si="25"/>
        <v>5.3776499999999992</v>
      </c>
      <c r="E85" s="64">
        <f t="shared" si="25"/>
        <v>7.7000000000000002E-3</v>
      </c>
      <c r="F85" s="64">
        <f t="shared" si="25"/>
        <v>26.053449999999998</v>
      </c>
      <c r="G85" s="64">
        <f t="shared" si="25"/>
        <v>1.9645499999999998</v>
      </c>
      <c r="H85" s="64">
        <f t="shared" si="25"/>
        <v>8.1735000000000007</v>
      </c>
      <c r="I85" s="64">
        <f t="shared" si="25"/>
        <v>6.7500000000000008E-3</v>
      </c>
      <c r="J85" s="64">
        <f t="shared" si="25"/>
        <v>0.62240000000000006</v>
      </c>
      <c r="K85" s="64">
        <f t="shared" si="25"/>
        <v>58.244550000000004</v>
      </c>
      <c r="L85" s="64">
        <f t="shared" si="25"/>
        <v>2.4050000000000009E-2</v>
      </c>
      <c r="M85" s="64">
        <f t="shared" si="25"/>
        <v>100.53164999999998</v>
      </c>
      <c r="N85" s="64"/>
      <c r="O85" s="64">
        <f t="shared" si="16"/>
        <v>0.14575234494810799</v>
      </c>
      <c r="P85" s="64">
        <f t="shared" si="17"/>
        <v>0.17347258064516127</v>
      </c>
      <c r="Q85" s="64">
        <f t="shared" si="18"/>
        <v>4.4549336368975671E-2</v>
      </c>
      <c r="R85" s="64"/>
      <c r="S85" s="64">
        <f t="shared" si="19"/>
        <v>40.06670075059769</v>
      </c>
      <c r="T85" s="64">
        <f t="shared" si="20"/>
        <v>12.246423407931845</v>
      </c>
      <c r="U85" s="64">
        <f t="shared" si="21"/>
        <v>47.686875841470467</v>
      </c>
      <c r="V85" s="64"/>
      <c r="W85" s="64">
        <f t="shared" si="25"/>
        <v>5.4250000000000001E-3</v>
      </c>
      <c r="X85" s="64">
        <f t="shared" si="25"/>
        <v>3.5999999999999997E-4</v>
      </c>
      <c r="Y85" s="64">
        <f t="shared" si="25"/>
        <v>1.4021150000000002</v>
      </c>
      <c r="Z85" s="64">
        <f t="shared" si="25"/>
        <v>8.699999999999999E-4</v>
      </c>
      <c r="AA85" s="64">
        <f t="shared" si="25"/>
        <v>4.1303399999999995</v>
      </c>
      <c r="AB85" s="64">
        <f t="shared" si="25"/>
        <v>0.337455</v>
      </c>
      <c r="AC85" s="64">
        <f t="shared" si="25"/>
        <v>1.1779350000000002</v>
      </c>
      <c r="AD85" s="64">
        <f t="shared" si="25"/>
        <v>7.5000000000000002E-4</v>
      </c>
      <c r="AE85" s="64">
        <f t="shared" si="25"/>
        <v>7.0004999999999998E-2</v>
      </c>
      <c r="AF85" s="64">
        <f t="shared" si="25"/>
        <v>7.8337949999999994</v>
      </c>
      <c r="AG85" s="64">
        <f t="shared" si="25"/>
        <v>4.8050000000000011E-3</v>
      </c>
      <c r="AH85" s="64">
        <f t="shared" si="25"/>
        <v>14.963855000000001</v>
      </c>
      <c r="AI85" s="64">
        <f t="shared" si="25"/>
        <v>11.964135000000002</v>
      </c>
    </row>
    <row r="86" spans="1:35" s="67" customFormat="1" x14ac:dyDescent="0.2">
      <c r="A86" s="66"/>
      <c r="O86" s="53"/>
      <c r="P86" s="53"/>
      <c r="Q86" s="53"/>
      <c r="S86" s="53"/>
      <c r="T86" s="53"/>
      <c r="U86" s="53"/>
    </row>
    <row r="87" spans="1:35" s="69" customFormat="1" x14ac:dyDescent="0.2">
      <c r="A87" s="68" t="s">
        <v>695</v>
      </c>
      <c r="O87" s="70"/>
      <c r="P87" s="70"/>
      <c r="Q87" s="70"/>
      <c r="S87" s="70"/>
      <c r="T87" s="70"/>
      <c r="U87" s="70"/>
    </row>
    <row r="88" spans="1:35" s="69" customFormat="1" x14ac:dyDescent="0.2">
      <c r="A88" s="68" t="s">
        <v>507</v>
      </c>
      <c r="B88" s="70">
        <v>0.04</v>
      </c>
      <c r="C88" s="70">
        <v>0</v>
      </c>
      <c r="D88" s="70">
        <v>5.05</v>
      </c>
      <c r="E88" s="70">
        <v>0</v>
      </c>
      <c r="F88" s="70">
        <v>26.454000000000001</v>
      </c>
      <c r="G88" s="70">
        <v>0.57099999999999995</v>
      </c>
      <c r="H88" s="70">
        <v>7.4429999999999996</v>
      </c>
      <c r="I88" s="70">
        <v>2E-3</v>
      </c>
      <c r="J88" s="70">
        <v>0.77700000000000002</v>
      </c>
      <c r="K88" s="70">
        <v>60.75</v>
      </c>
      <c r="L88" s="70">
        <v>1.2E-2</v>
      </c>
      <c r="M88" s="70">
        <v>101.099</v>
      </c>
      <c r="N88" s="70"/>
      <c r="O88" s="70">
        <f t="shared" si="16"/>
        <v>0.13272584614287242</v>
      </c>
      <c r="P88" s="70">
        <f t="shared" si="17"/>
        <v>0.16290322580645161</v>
      </c>
      <c r="Q88" s="70">
        <f t="shared" si="18"/>
        <v>1.2948344947537658E-2</v>
      </c>
      <c r="R88" s="70"/>
      <c r="S88" s="70">
        <f t="shared" si="19"/>
        <v>43.012170974013451</v>
      </c>
      <c r="T88" s="70">
        <f t="shared" ref="T88:T100" si="26">Q88/(Q88+O88+P88)*100</f>
        <v>4.1961414667831924</v>
      </c>
      <c r="U88" s="70">
        <f t="shared" ref="U88:U100" si="27">P88/(O88+P88+Q88)*100</f>
        <v>52.791687559203361</v>
      </c>
      <c r="V88" s="70"/>
      <c r="W88" s="70">
        <v>4.0000000000000001E-3</v>
      </c>
      <c r="X88" s="70">
        <v>0</v>
      </c>
      <c r="Y88" s="70">
        <v>1.2896000000000001</v>
      </c>
      <c r="Z88" s="70">
        <v>0</v>
      </c>
      <c r="AA88" s="70">
        <v>4.1063999999999998</v>
      </c>
      <c r="AB88" s="70">
        <v>9.5899999999999999E-2</v>
      </c>
      <c r="AC88" s="70">
        <v>1.0502</v>
      </c>
      <c r="AD88" s="70">
        <v>2.0000000000000001E-4</v>
      </c>
      <c r="AE88" s="70">
        <v>8.5599999999999996E-2</v>
      </c>
      <c r="AF88" s="70">
        <v>8.0006000000000004</v>
      </c>
      <c r="AG88" s="70">
        <v>2.3999999999999998E-3</v>
      </c>
      <c r="AH88" s="70">
        <v>14.6349</v>
      </c>
      <c r="AI88" s="70">
        <f t="shared" si="22"/>
        <v>12.106999999999999</v>
      </c>
    </row>
    <row r="89" spans="1:35" s="69" customFormat="1" x14ac:dyDescent="0.2">
      <c r="A89" s="68" t="s">
        <v>508</v>
      </c>
      <c r="B89" s="70">
        <v>3.5999999999999997E-2</v>
      </c>
      <c r="C89" s="70">
        <v>1.2999999999999999E-2</v>
      </c>
      <c r="D89" s="70">
        <v>3.9020000000000001</v>
      </c>
      <c r="E89" s="70">
        <v>0</v>
      </c>
      <c r="F89" s="70">
        <v>25.094999999999999</v>
      </c>
      <c r="G89" s="70">
        <v>0.60699999999999998</v>
      </c>
      <c r="H89" s="70">
        <v>6.3540000000000001</v>
      </c>
      <c r="I89" s="70">
        <v>0</v>
      </c>
      <c r="J89" s="70">
        <v>0.49399999999999999</v>
      </c>
      <c r="K89" s="70">
        <v>63.575000000000003</v>
      </c>
      <c r="L89" s="70">
        <v>1.4E-2</v>
      </c>
      <c r="M89" s="70">
        <v>100.09</v>
      </c>
      <c r="N89" s="70"/>
      <c r="O89" s="70">
        <f t="shared" si="16"/>
        <v>0.11330646599379435</v>
      </c>
      <c r="P89" s="70">
        <f t="shared" si="17"/>
        <v>0.12587096774193549</v>
      </c>
      <c r="Q89" s="70">
        <f t="shared" si="18"/>
        <v>1.3764702947732677E-2</v>
      </c>
      <c r="R89" s="70"/>
      <c r="S89" s="70">
        <f t="shared" si="19"/>
        <v>44.795409527036853</v>
      </c>
      <c r="T89" s="70">
        <f t="shared" si="26"/>
        <v>5.4418386466617594</v>
      </c>
      <c r="U89" s="70">
        <f t="shared" si="27"/>
        <v>49.76275182630139</v>
      </c>
      <c r="V89" s="70"/>
      <c r="W89" s="70">
        <v>3.5999999999999999E-3</v>
      </c>
      <c r="X89" s="70">
        <v>1.4E-3</v>
      </c>
      <c r="Y89" s="70">
        <v>0.99219999999999997</v>
      </c>
      <c r="Z89" s="70">
        <v>0</v>
      </c>
      <c r="AA89" s="70">
        <v>3.8792</v>
      </c>
      <c r="AB89" s="70">
        <v>0.10150000000000001</v>
      </c>
      <c r="AC89" s="70">
        <v>0.89290000000000003</v>
      </c>
      <c r="AD89" s="70">
        <v>0</v>
      </c>
      <c r="AE89" s="70">
        <v>5.4199999999999998E-2</v>
      </c>
      <c r="AF89" s="70">
        <v>8.3376000000000001</v>
      </c>
      <c r="AG89" s="70">
        <v>2.8E-3</v>
      </c>
      <c r="AH89" s="70">
        <v>14.2654</v>
      </c>
      <c r="AI89" s="70">
        <f t="shared" si="22"/>
        <v>12.216799999999999</v>
      </c>
    </row>
    <row r="90" spans="1:35" s="69" customFormat="1" x14ac:dyDescent="0.2">
      <c r="A90" s="68" t="s">
        <v>509</v>
      </c>
      <c r="B90" s="70">
        <v>0.02</v>
      </c>
      <c r="C90" s="70">
        <v>0</v>
      </c>
      <c r="D90" s="70">
        <v>4.0149999999999997</v>
      </c>
      <c r="E90" s="70">
        <v>0</v>
      </c>
      <c r="F90" s="70">
        <v>25.713999999999999</v>
      </c>
      <c r="G90" s="70">
        <v>0.56200000000000006</v>
      </c>
      <c r="H90" s="70">
        <v>6.6859999999999999</v>
      </c>
      <c r="I90" s="70">
        <v>2.1999999999999999E-2</v>
      </c>
      <c r="J90" s="70">
        <v>0.51500000000000001</v>
      </c>
      <c r="K90" s="70">
        <v>63.546999999999997</v>
      </c>
      <c r="L90" s="70">
        <v>2.7E-2</v>
      </c>
      <c r="M90" s="70">
        <v>101.108</v>
      </c>
      <c r="N90" s="70"/>
      <c r="O90" s="70">
        <f t="shared" si="16"/>
        <v>0.11922679125503761</v>
      </c>
      <c r="P90" s="70">
        <f t="shared" si="17"/>
        <v>0.12951612903225806</v>
      </c>
      <c r="Q90" s="70">
        <f t="shared" si="18"/>
        <v>1.2744255447488907E-2</v>
      </c>
      <c r="R90" s="70"/>
      <c r="S90" s="70">
        <f t="shared" si="19"/>
        <v>45.595655282140612</v>
      </c>
      <c r="T90" s="70">
        <f t="shared" si="26"/>
        <v>4.8737592624484449</v>
      </c>
      <c r="U90" s="70">
        <f t="shared" si="27"/>
        <v>49.530585455410943</v>
      </c>
      <c r="V90" s="70"/>
      <c r="W90" s="70">
        <v>2E-3</v>
      </c>
      <c r="X90" s="70">
        <v>0</v>
      </c>
      <c r="Y90" s="70">
        <v>1.0126999999999999</v>
      </c>
      <c r="Z90" s="70">
        <v>0</v>
      </c>
      <c r="AA90" s="70">
        <v>3.9426999999999999</v>
      </c>
      <c r="AB90" s="70">
        <v>9.3299999999999994E-2</v>
      </c>
      <c r="AC90" s="70">
        <v>0.93200000000000005</v>
      </c>
      <c r="AD90" s="70">
        <v>2.3999999999999998E-3</v>
      </c>
      <c r="AE90" s="70">
        <v>5.6000000000000001E-2</v>
      </c>
      <c r="AF90" s="70">
        <v>8.2666000000000004</v>
      </c>
      <c r="AG90" s="70">
        <v>5.3E-3</v>
      </c>
      <c r="AH90" s="70">
        <v>14.313000000000001</v>
      </c>
      <c r="AI90" s="70">
        <f t="shared" si="22"/>
        <v>12.209300000000001</v>
      </c>
    </row>
    <row r="91" spans="1:35" s="69" customFormat="1" x14ac:dyDescent="0.2">
      <c r="A91" s="68" t="s">
        <v>510</v>
      </c>
      <c r="B91" s="70">
        <v>6.4000000000000001E-2</v>
      </c>
      <c r="C91" s="70">
        <v>1.0999999999999999E-2</v>
      </c>
      <c r="D91" s="70">
        <v>4.0250000000000004</v>
      </c>
      <c r="E91" s="70">
        <v>0</v>
      </c>
      <c r="F91" s="70">
        <v>25.463999999999999</v>
      </c>
      <c r="G91" s="70">
        <v>0.73899999999999999</v>
      </c>
      <c r="H91" s="70">
        <v>6.2690000000000001</v>
      </c>
      <c r="I91" s="70">
        <v>1.2999999999999999E-2</v>
      </c>
      <c r="J91" s="70">
        <v>0.85499999999999998</v>
      </c>
      <c r="K91" s="70">
        <v>63.405999999999999</v>
      </c>
      <c r="L91" s="70">
        <v>2.4E-2</v>
      </c>
      <c r="M91" s="70">
        <v>100.87</v>
      </c>
      <c r="N91" s="70"/>
      <c r="O91" s="70">
        <f t="shared" si="16"/>
        <v>0.11179072006847605</v>
      </c>
      <c r="P91" s="70">
        <f t="shared" si="17"/>
        <v>0.12983870967741937</v>
      </c>
      <c r="Q91" s="70">
        <f t="shared" si="18"/>
        <v>1.6758015615114415E-2</v>
      </c>
      <c r="R91" s="70"/>
      <c r="S91" s="70">
        <f t="shared" si="19"/>
        <v>43.264764629831767</v>
      </c>
      <c r="T91" s="70">
        <f t="shared" si="26"/>
        <v>6.4856152711679576</v>
      </c>
      <c r="U91" s="70">
        <f t="shared" si="27"/>
        <v>50.249620099000282</v>
      </c>
      <c r="V91" s="70"/>
      <c r="W91" s="70">
        <v>6.3E-3</v>
      </c>
      <c r="X91" s="70">
        <v>1.1999999999999999E-3</v>
      </c>
      <c r="Y91" s="70">
        <v>1.0189999999999999</v>
      </c>
      <c r="Z91" s="70">
        <v>0</v>
      </c>
      <c r="AA91" s="70">
        <v>3.9192999999999998</v>
      </c>
      <c r="AB91" s="70">
        <v>0.1231</v>
      </c>
      <c r="AC91" s="70">
        <v>0.87719999999999998</v>
      </c>
      <c r="AD91" s="70">
        <v>1.4E-3</v>
      </c>
      <c r="AE91" s="70">
        <v>9.3399999999999997E-2</v>
      </c>
      <c r="AF91" s="70">
        <v>8.2795000000000005</v>
      </c>
      <c r="AG91" s="70">
        <v>4.7000000000000002E-3</v>
      </c>
      <c r="AH91" s="70">
        <v>14.325100000000001</v>
      </c>
      <c r="AI91" s="70">
        <f t="shared" si="22"/>
        <v>12.1988</v>
      </c>
    </row>
    <row r="92" spans="1:35" s="69" customFormat="1" x14ac:dyDescent="0.2">
      <c r="A92" s="68" t="s">
        <v>511</v>
      </c>
      <c r="B92" s="70">
        <v>0.06</v>
      </c>
      <c r="C92" s="70">
        <v>8.0000000000000002E-3</v>
      </c>
      <c r="D92" s="70">
        <v>4.9969999999999999</v>
      </c>
      <c r="E92" s="70">
        <v>0</v>
      </c>
      <c r="F92" s="70">
        <v>25.97</v>
      </c>
      <c r="G92" s="70">
        <v>0.7</v>
      </c>
      <c r="H92" s="70">
        <v>6.62</v>
      </c>
      <c r="I92" s="70">
        <v>6.0000000000000001E-3</v>
      </c>
      <c r="J92" s="70">
        <v>0.41499999999999998</v>
      </c>
      <c r="K92" s="70">
        <v>62.304000000000002</v>
      </c>
      <c r="L92" s="70">
        <v>2.1999999999999999E-2</v>
      </c>
      <c r="M92" s="70">
        <v>101.102</v>
      </c>
      <c r="N92" s="70"/>
      <c r="O92" s="70">
        <f t="shared" si="16"/>
        <v>0.11804985912479046</v>
      </c>
      <c r="P92" s="70">
        <f t="shared" si="17"/>
        <v>0.16119354838709676</v>
      </c>
      <c r="Q92" s="70">
        <f t="shared" si="18"/>
        <v>1.587362778156981E-2</v>
      </c>
      <c r="R92" s="70"/>
      <c r="S92" s="70">
        <f t="shared" si="19"/>
        <v>40.001031796556454</v>
      </c>
      <c r="T92" s="70">
        <f t="shared" si="26"/>
        <v>5.3787568602352867</v>
      </c>
      <c r="U92" s="70">
        <f t="shared" si="27"/>
        <v>54.620211343208261</v>
      </c>
      <c r="V92" s="70"/>
      <c r="W92" s="70">
        <v>5.8999999999999999E-3</v>
      </c>
      <c r="X92" s="70">
        <v>8.0000000000000004E-4</v>
      </c>
      <c r="Y92" s="70">
        <v>1.2681</v>
      </c>
      <c r="Z92" s="70">
        <v>0</v>
      </c>
      <c r="AA92" s="70">
        <v>4.0060000000000002</v>
      </c>
      <c r="AB92" s="70">
        <v>0.1168</v>
      </c>
      <c r="AC92" s="70">
        <v>0.92830000000000001</v>
      </c>
      <c r="AD92" s="70">
        <v>5.9999999999999995E-4</v>
      </c>
      <c r="AE92" s="70">
        <v>4.5400000000000003E-2</v>
      </c>
      <c r="AF92" s="70">
        <v>8.1534999999999993</v>
      </c>
      <c r="AG92" s="70">
        <v>4.3E-3</v>
      </c>
      <c r="AH92" s="70">
        <v>14.5297</v>
      </c>
      <c r="AI92" s="70">
        <f t="shared" si="22"/>
        <v>12.1595</v>
      </c>
    </row>
    <row r="93" spans="1:35" s="69" customFormat="1" x14ac:dyDescent="0.2">
      <c r="A93" s="68" t="s">
        <v>512</v>
      </c>
      <c r="B93" s="70">
        <v>2.4E-2</v>
      </c>
      <c r="C93" s="70">
        <v>4.0000000000000001E-3</v>
      </c>
      <c r="D93" s="70">
        <v>5.2919999999999998</v>
      </c>
      <c r="E93" s="70">
        <v>0</v>
      </c>
      <c r="F93" s="70">
        <v>26.745999999999999</v>
      </c>
      <c r="G93" s="70">
        <v>0.66100000000000003</v>
      </c>
      <c r="H93" s="70">
        <v>7.6420000000000003</v>
      </c>
      <c r="I93" s="70">
        <v>1.9E-2</v>
      </c>
      <c r="J93" s="70">
        <v>0.65200000000000002</v>
      </c>
      <c r="K93" s="70">
        <v>60.290999999999997</v>
      </c>
      <c r="L93" s="70">
        <v>1.7999999999999999E-2</v>
      </c>
      <c r="M93" s="70">
        <v>101.349</v>
      </c>
      <c r="N93" s="70"/>
      <c r="O93" s="70">
        <f t="shared" si="16"/>
        <v>0.13627447483861763</v>
      </c>
      <c r="P93" s="70">
        <f t="shared" si="17"/>
        <v>0.17070967741935483</v>
      </c>
      <c r="Q93" s="70">
        <f t="shared" si="18"/>
        <v>1.4989239948025207E-2</v>
      </c>
      <c r="R93" s="70"/>
      <c r="S93" s="70">
        <f t="shared" si="19"/>
        <v>42.324762895758049</v>
      </c>
      <c r="T93" s="70">
        <f t="shared" si="26"/>
        <v>4.6554281536516324</v>
      </c>
      <c r="U93" s="70">
        <f t="shared" si="27"/>
        <v>53.019808950590317</v>
      </c>
      <c r="V93" s="70"/>
      <c r="W93" s="70">
        <v>2.3999999999999998E-3</v>
      </c>
      <c r="X93" s="70">
        <v>4.0000000000000002E-4</v>
      </c>
      <c r="Y93" s="70">
        <v>1.3512</v>
      </c>
      <c r="Z93" s="70">
        <v>0</v>
      </c>
      <c r="AA93" s="70">
        <v>4.1516999999999999</v>
      </c>
      <c r="AB93" s="70">
        <v>0.111</v>
      </c>
      <c r="AC93" s="70">
        <v>1.0784</v>
      </c>
      <c r="AD93" s="70">
        <v>2.0999999999999999E-3</v>
      </c>
      <c r="AE93" s="70">
        <v>7.1800000000000003E-2</v>
      </c>
      <c r="AF93" s="70">
        <v>7.94</v>
      </c>
      <c r="AG93" s="70">
        <v>3.5999999999999999E-3</v>
      </c>
      <c r="AH93" s="70">
        <v>14.7126</v>
      </c>
      <c r="AI93" s="70">
        <f t="shared" si="22"/>
        <v>12.091699999999999</v>
      </c>
    </row>
    <row r="94" spans="1:35" s="69" customFormat="1" x14ac:dyDescent="0.2">
      <c r="A94" s="68" t="s">
        <v>513</v>
      </c>
      <c r="B94" s="70">
        <v>5.6000000000000001E-2</v>
      </c>
      <c r="C94" s="70">
        <v>1.0999999999999999E-2</v>
      </c>
      <c r="D94" s="70">
        <v>3.4870000000000001</v>
      </c>
      <c r="E94" s="70">
        <v>0</v>
      </c>
      <c r="F94" s="70">
        <v>26.446000000000002</v>
      </c>
      <c r="G94" s="70">
        <v>0.42799999999999999</v>
      </c>
      <c r="H94" s="70">
        <v>7.1219999999999999</v>
      </c>
      <c r="I94" s="70">
        <v>0.01</v>
      </c>
      <c r="J94" s="70">
        <v>0.65500000000000003</v>
      </c>
      <c r="K94" s="70">
        <v>62.369</v>
      </c>
      <c r="L94" s="70">
        <v>1.2E-2</v>
      </c>
      <c r="M94" s="70">
        <v>100.596</v>
      </c>
      <c r="N94" s="70"/>
      <c r="O94" s="70">
        <f t="shared" si="16"/>
        <v>0.12700167623667033</v>
      </c>
      <c r="P94" s="70">
        <f t="shared" si="17"/>
        <v>0.11248387096774194</v>
      </c>
      <c r="Q94" s="70">
        <f t="shared" si="18"/>
        <v>9.7055895578741121E-3</v>
      </c>
      <c r="R94" s="70"/>
      <c r="S94" s="70">
        <f t="shared" si="19"/>
        <v>50.965567189423119</v>
      </c>
      <c r="T94" s="70">
        <f t="shared" si="26"/>
        <v>3.8948373862641312</v>
      </c>
      <c r="U94" s="70">
        <f t="shared" si="27"/>
        <v>45.139595424312738</v>
      </c>
      <c r="V94" s="70"/>
      <c r="W94" s="70">
        <v>5.4999999999999997E-3</v>
      </c>
      <c r="X94" s="70">
        <v>1.1999999999999999E-3</v>
      </c>
      <c r="Y94" s="70">
        <v>0.88460000000000005</v>
      </c>
      <c r="Z94" s="70">
        <v>0</v>
      </c>
      <c r="AA94" s="70">
        <v>4.0780000000000003</v>
      </c>
      <c r="AB94" s="70">
        <v>7.1400000000000005E-2</v>
      </c>
      <c r="AC94" s="70">
        <v>0.99839999999999995</v>
      </c>
      <c r="AD94" s="70">
        <v>1.1000000000000001E-3</v>
      </c>
      <c r="AE94" s="70">
        <v>7.17E-2</v>
      </c>
      <c r="AF94" s="70">
        <v>8.1593999999999998</v>
      </c>
      <c r="AG94" s="70">
        <v>2.3E-3</v>
      </c>
      <c r="AH94" s="70">
        <v>14.2736</v>
      </c>
      <c r="AI94" s="70">
        <f t="shared" si="22"/>
        <v>12.237400000000001</v>
      </c>
    </row>
    <row r="95" spans="1:35" s="69" customFormat="1" x14ac:dyDescent="0.2">
      <c r="A95" s="68" t="s">
        <v>514</v>
      </c>
      <c r="B95" s="70">
        <v>6.8000000000000005E-2</v>
      </c>
      <c r="C95" s="70">
        <v>2.5000000000000001E-2</v>
      </c>
      <c r="D95" s="70">
        <v>2.911</v>
      </c>
      <c r="E95" s="70">
        <v>0.01</v>
      </c>
      <c r="F95" s="70">
        <v>25.384</v>
      </c>
      <c r="G95" s="70">
        <v>0.43099999999999999</v>
      </c>
      <c r="H95" s="70">
        <v>6.6859999999999999</v>
      </c>
      <c r="I95" s="70">
        <v>0</v>
      </c>
      <c r="J95" s="70">
        <v>0.70899999999999996</v>
      </c>
      <c r="K95" s="70">
        <v>64.671999999999997</v>
      </c>
      <c r="L95" s="70">
        <v>2.8000000000000001E-2</v>
      </c>
      <c r="M95" s="70">
        <v>100.92400000000001</v>
      </c>
      <c r="N95" s="70"/>
      <c r="O95" s="70">
        <f t="shared" si="16"/>
        <v>0.11922679125503761</v>
      </c>
      <c r="P95" s="70">
        <f t="shared" si="17"/>
        <v>9.3903225806451621E-2</v>
      </c>
      <c r="Q95" s="70">
        <f t="shared" si="18"/>
        <v>9.7736193912236983E-3</v>
      </c>
      <c r="R95" s="70"/>
      <c r="S95" s="70">
        <f t="shared" si="19"/>
        <v>53.488042255573767</v>
      </c>
      <c r="T95" s="70">
        <f t="shared" si="26"/>
        <v>4.3846836896701262</v>
      </c>
      <c r="U95" s="70">
        <f t="shared" si="27"/>
        <v>42.127274054756107</v>
      </c>
      <c r="V95" s="70"/>
      <c r="W95" s="70">
        <v>6.7000000000000002E-3</v>
      </c>
      <c r="X95" s="70">
        <v>2.5000000000000001E-3</v>
      </c>
      <c r="Y95" s="70">
        <v>0.73109999999999997</v>
      </c>
      <c r="Z95" s="70">
        <v>1.1000000000000001E-3</v>
      </c>
      <c r="AA95" s="70">
        <v>3.8757999999999999</v>
      </c>
      <c r="AB95" s="70">
        <v>7.1199999999999999E-2</v>
      </c>
      <c r="AC95" s="70">
        <v>0.92800000000000005</v>
      </c>
      <c r="AD95" s="70">
        <v>0</v>
      </c>
      <c r="AE95" s="70">
        <v>7.6799999999999993E-2</v>
      </c>
      <c r="AF95" s="70">
        <v>8.3774999999999995</v>
      </c>
      <c r="AG95" s="70">
        <v>5.4000000000000003E-3</v>
      </c>
      <c r="AH95" s="70">
        <v>14.0761</v>
      </c>
      <c r="AI95" s="70">
        <f t="shared" si="22"/>
        <v>12.253299999999999</v>
      </c>
    </row>
    <row r="96" spans="1:35" s="69" customFormat="1" x14ac:dyDescent="0.2">
      <c r="A96" s="68" t="s">
        <v>515</v>
      </c>
      <c r="B96" s="70">
        <v>5.1999999999999998E-2</v>
      </c>
      <c r="C96" s="70">
        <v>8.9999999999999993E-3</v>
      </c>
      <c r="D96" s="70">
        <v>4.6180000000000003</v>
      </c>
      <c r="E96" s="70">
        <v>0</v>
      </c>
      <c r="F96" s="70">
        <v>25.959</v>
      </c>
      <c r="G96" s="70">
        <v>0.52</v>
      </c>
      <c r="H96" s="70">
        <v>7.2290000000000001</v>
      </c>
      <c r="I96" s="70">
        <v>2.1999999999999999E-2</v>
      </c>
      <c r="J96" s="70">
        <v>0.59399999999999997</v>
      </c>
      <c r="K96" s="70">
        <v>62.454000000000001</v>
      </c>
      <c r="L96" s="70">
        <v>2.3E-2</v>
      </c>
      <c r="M96" s="70">
        <v>101.48</v>
      </c>
      <c r="N96" s="70"/>
      <c r="O96" s="70">
        <f t="shared" si="16"/>
        <v>0.12890973287207103</v>
      </c>
      <c r="P96" s="70">
        <f t="shared" si="17"/>
        <v>0.14896774193548387</v>
      </c>
      <c r="Q96" s="70">
        <f t="shared" si="18"/>
        <v>1.1791837780594717E-2</v>
      </c>
      <c r="R96" s="70"/>
      <c r="S96" s="70">
        <f t="shared" si="19"/>
        <v>44.502378149857464</v>
      </c>
      <c r="T96" s="70">
        <f t="shared" si="26"/>
        <v>4.0707928897391668</v>
      </c>
      <c r="U96" s="70">
        <f t="shared" si="27"/>
        <v>51.42682896040337</v>
      </c>
      <c r="V96" s="70"/>
      <c r="W96" s="70">
        <v>5.1000000000000004E-3</v>
      </c>
      <c r="X96" s="70">
        <v>1E-3</v>
      </c>
      <c r="Y96" s="70">
        <v>1.1678999999999999</v>
      </c>
      <c r="Z96" s="70">
        <v>0</v>
      </c>
      <c r="AA96" s="70">
        <v>3.9910999999999999</v>
      </c>
      <c r="AB96" s="70">
        <v>8.6599999999999996E-2</v>
      </c>
      <c r="AC96" s="70">
        <v>1.0104</v>
      </c>
      <c r="AD96" s="70">
        <v>2.3999999999999998E-3</v>
      </c>
      <c r="AE96" s="70">
        <v>6.4799999999999996E-2</v>
      </c>
      <c r="AF96" s="70">
        <v>8.1462000000000003</v>
      </c>
      <c r="AG96" s="70">
        <v>4.4000000000000003E-3</v>
      </c>
      <c r="AH96" s="70">
        <v>14.479900000000001</v>
      </c>
      <c r="AI96" s="70">
        <f t="shared" si="22"/>
        <v>12.1373</v>
      </c>
    </row>
    <row r="97" spans="1:35" s="69" customFormat="1" x14ac:dyDescent="0.2">
      <c r="A97" s="68" t="s">
        <v>516</v>
      </c>
      <c r="B97" s="70">
        <v>8.0000000000000002E-3</v>
      </c>
      <c r="C97" s="70">
        <v>3.5999999999999997E-2</v>
      </c>
      <c r="D97" s="70">
        <v>4.7190000000000003</v>
      </c>
      <c r="E97" s="70">
        <v>0</v>
      </c>
      <c r="F97" s="70">
        <v>24.681999999999999</v>
      </c>
      <c r="G97" s="70">
        <v>0.63</v>
      </c>
      <c r="H97" s="70">
        <v>6.5259999999999998</v>
      </c>
      <c r="I97" s="70">
        <v>0</v>
      </c>
      <c r="J97" s="70">
        <v>0.67300000000000004</v>
      </c>
      <c r="K97" s="70">
        <v>63.427999999999997</v>
      </c>
      <c r="L97" s="70">
        <v>2.7E-2</v>
      </c>
      <c r="M97" s="70">
        <v>100.729</v>
      </c>
      <c r="N97" s="70"/>
      <c r="O97" s="70">
        <f t="shared" si="16"/>
        <v>0.11637362245443846</v>
      </c>
      <c r="P97" s="70">
        <f t="shared" si="17"/>
        <v>0.15222580645161291</v>
      </c>
      <c r="Q97" s="70">
        <f t="shared" si="18"/>
        <v>1.428626500341283E-2</v>
      </c>
      <c r="R97" s="70"/>
      <c r="S97" s="70">
        <f t="shared" si="19"/>
        <v>41.138037362781283</v>
      </c>
      <c r="T97" s="70">
        <f t="shared" si="26"/>
        <v>5.0501899922818509</v>
      </c>
      <c r="U97" s="70">
        <f t="shared" si="27"/>
        <v>53.811772644936873</v>
      </c>
      <c r="V97" s="70"/>
      <c r="W97" s="70">
        <v>8.0000000000000004E-4</v>
      </c>
      <c r="X97" s="70">
        <v>3.7000000000000002E-3</v>
      </c>
      <c r="Y97" s="70">
        <v>1.1993</v>
      </c>
      <c r="Z97" s="70">
        <v>0</v>
      </c>
      <c r="AA97" s="70">
        <v>3.8129</v>
      </c>
      <c r="AB97" s="70">
        <v>0.1053</v>
      </c>
      <c r="AC97" s="70">
        <v>0.91649999999999998</v>
      </c>
      <c r="AD97" s="70">
        <v>0</v>
      </c>
      <c r="AE97" s="70">
        <v>7.3800000000000004E-2</v>
      </c>
      <c r="AF97" s="70">
        <v>8.3127999999999993</v>
      </c>
      <c r="AG97" s="70">
        <v>5.1999999999999998E-3</v>
      </c>
      <c r="AH97" s="70">
        <v>14.430300000000001</v>
      </c>
      <c r="AI97" s="70">
        <f t="shared" si="22"/>
        <v>12.125699999999998</v>
      </c>
    </row>
    <row r="98" spans="1:35" s="73" customFormat="1" x14ac:dyDescent="0.2">
      <c r="A98" s="71" t="s">
        <v>156</v>
      </c>
      <c r="B98" s="72">
        <f>MAX(B88:B97)</f>
        <v>6.8000000000000005E-2</v>
      </c>
      <c r="C98" s="72">
        <f t="shared" ref="C98:AI98" si="28">MAX(C88:C97)</f>
        <v>3.5999999999999997E-2</v>
      </c>
      <c r="D98" s="72">
        <f t="shared" si="28"/>
        <v>5.2919999999999998</v>
      </c>
      <c r="E98" s="72">
        <f t="shared" si="28"/>
        <v>0.01</v>
      </c>
      <c r="F98" s="72">
        <f t="shared" si="28"/>
        <v>26.745999999999999</v>
      </c>
      <c r="G98" s="72">
        <f t="shared" si="28"/>
        <v>0.73899999999999999</v>
      </c>
      <c r="H98" s="72">
        <f t="shared" si="28"/>
        <v>7.6420000000000003</v>
      </c>
      <c r="I98" s="72">
        <f t="shared" si="28"/>
        <v>2.1999999999999999E-2</v>
      </c>
      <c r="J98" s="72">
        <f t="shared" si="28"/>
        <v>0.85499999999999998</v>
      </c>
      <c r="K98" s="72">
        <f t="shared" si="28"/>
        <v>64.671999999999997</v>
      </c>
      <c r="L98" s="72">
        <f t="shared" si="28"/>
        <v>2.8000000000000001E-2</v>
      </c>
      <c r="M98" s="72">
        <f t="shared" si="28"/>
        <v>101.48</v>
      </c>
      <c r="N98" s="72"/>
      <c r="O98" s="72">
        <f t="shared" si="16"/>
        <v>0.13627447483861763</v>
      </c>
      <c r="P98" s="72">
        <f t="shared" si="17"/>
        <v>0.17070967741935483</v>
      </c>
      <c r="Q98" s="72">
        <f t="shared" si="18"/>
        <v>1.6758015615114415E-2</v>
      </c>
      <c r="R98" s="72"/>
      <c r="S98" s="72">
        <f t="shared" si="19"/>
        <v>42.093520202792931</v>
      </c>
      <c r="T98" s="72">
        <f t="shared" si="26"/>
        <v>5.1763462650574086</v>
      </c>
      <c r="U98" s="72">
        <f t="shared" si="27"/>
        <v>52.730133532149658</v>
      </c>
      <c r="V98" s="72"/>
      <c r="W98" s="72">
        <f t="shared" si="28"/>
        <v>6.7000000000000002E-3</v>
      </c>
      <c r="X98" s="72">
        <f t="shared" si="28"/>
        <v>3.7000000000000002E-3</v>
      </c>
      <c r="Y98" s="72">
        <f t="shared" si="28"/>
        <v>1.3512</v>
      </c>
      <c r="Z98" s="72">
        <f t="shared" si="28"/>
        <v>1.1000000000000001E-3</v>
      </c>
      <c r="AA98" s="72">
        <f t="shared" si="28"/>
        <v>4.1516999999999999</v>
      </c>
      <c r="AB98" s="72">
        <f t="shared" si="28"/>
        <v>0.1231</v>
      </c>
      <c r="AC98" s="72">
        <f t="shared" si="28"/>
        <v>1.0784</v>
      </c>
      <c r="AD98" s="72">
        <f t="shared" si="28"/>
        <v>2.3999999999999998E-3</v>
      </c>
      <c r="AE98" s="72">
        <f t="shared" si="28"/>
        <v>9.3399999999999997E-2</v>
      </c>
      <c r="AF98" s="72">
        <f t="shared" si="28"/>
        <v>8.3774999999999995</v>
      </c>
      <c r="AG98" s="72">
        <f t="shared" si="28"/>
        <v>5.4000000000000003E-3</v>
      </c>
      <c r="AH98" s="72">
        <f t="shared" si="28"/>
        <v>14.7126</v>
      </c>
      <c r="AI98" s="72">
        <f t="shared" si="28"/>
        <v>12.253299999999999</v>
      </c>
    </row>
    <row r="99" spans="1:35" s="73" customFormat="1" x14ac:dyDescent="0.2">
      <c r="A99" s="71" t="s">
        <v>157</v>
      </c>
      <c r="B99" s="72">
        <f>MIN(B88:B97)</f>
        <v>8.0000000000000002E-3</v>
      </c>
      <c r="C99" s="72">
        <f t="shared" ref="C99:AI99" si="29">MIN(C88:C97)</f>
        <v>0</v>
      </c>
      <c r="D99" s="72">
        <f t="shared" si="29"/>
        <v>2.911</v>
      </c>
      <c r="E99" s="72">
        <f t="shared" si="29"/>
        <v>0</v>
      </c>
      <c r="F99" s="72">
        <f t="shared" si="29"/>
        <v>24.681999999999999</v>
      </c>
      <c r="G99" s="72">
        <f t="shared" si="29"/>
        <v>0.42799999999999999</v>
      </c>
      <c r="H99" s="72">
        <f t="shared" si="29"/>
        <v>6.2690000000000001</v>
      </c>
      <c r="I99" s="72">
        <f t="shared" si="29"/>
        <v>0</v>
      </c>
      <c r="J99" s="72">
        <f t="shared" si="29"/>
        <v>0.41499999999999998</v>
      </c>
      <c r="K99" s="72">
        <f t="shared" si="29"/>
        <v>60.290999999999997</v>
      </c>
      <c r="L99" s="72">
        <f t="shared" si="29"/>
        <v>1.2E-2</v>
      </c>
      <c r="M99" s="72">
        <f t="shared" si="29"/>
        <v>100.09</v>
      </c>
      <c r="N99" s="72"/>
      <c r="O99" s="72">
        <f t="shared" si="16"/>
        <v>0.11179072006847605</v>
      </c>
      <c r="P99" s="72">
        <f t="shared" si="17"/>
        <v>9.3903225806451621E-2</v>
      </c>
      <c r="Q99" s="72">
        <f t="shared" si="18"/>
        <v>9.7055895578741121E-3</v>
      </c>
      <c r="R99" s="72"/>
      <c r="S99" s="72">
        <f t="shared" si="19"/>
        <v>51.899239171456536</v>
      </c>
      <c r="T99" s="72">
        <f t="shared" si="26"/>
        <v>4.5058544524586344</v>
      </c>
      <c r="U99" s="72">
        <f t="shared" si="27"/>
        <v>43.594906376084836</v>
      </c>
      <c r="V99" s="72"/>
      <c r="W99" s="72">
        <f t="shared" si="29"/>
        <v>8.0000000000000004E-4</v>
      </c>
      <c r="X99" s="72">
        <f t="shared" si="29"/>
        <v>0</v>
      </c>
      <c r="Y99" s="72">
        <f t="shared" si="29"/>
        <v>0.73109999999999997</v>
      </c>
      <c r="Z99" s="72">
        <f t="shared" si="29"/>
        <v>0</v>
      </c>
      <c r="AA99" s="72">
        <f t="shared" si="29"/>
        <v>3.8129</v>
      </c>
      <c r="AB99" s="72">
        <f t="shared" si="29"/>
        <v>7.1199999999999999E-2</v>
      </c>
      <c r="AC99" s="72">
        <f t="shared" si="29"/>
        <v>0.87719999999999998</v>
      </c>
      <c r="AD99" s="72">
        <f t="shared" si="29"/>
        <v>0</v>
      </c>
      <c r="AE99" s="72">
        <f t="shared" si="29"/>
        <v>4.5400000000000003E-2</v>
      </c>
      <c r="AF99" s="72">
        <f t="shared" si="29"/>
        <v>7.94</v>
      </c>
      <c r="AG99" s="72">
        <f t="shared" si="29"/>
        <v>2.3E-3</v>
      </c>
      <c r="AH99" s="72">
        <f t="shared" si="29"/>
        <v>14.0761</v>
      </c>
      <c r="AI99" s="72">
        <f t="shared" si="29"/>
        <v>12.091699999999999</v>
      </c>
    </row>
    <row r="100" spans="1:35" s="73" customFormat="1" x14ac:dyDescent="0.2">
      <c r="A100" s="71" t="s">
        <v>486</v>
      </c>
      <c r="B100" s="72">
        <f>AVERAGE(B88:B97)</f>
        <v>4.2799999999999998E-2</v>
      </c>
      <c r="C100" s="72">
        <f t="shared" ref="C100:AI100" si="30">AVERAGE(C88:C97)</f>
        <v>1.1699999999999999E-2</v>
      </c>
      <c r="D100" s="72">
        <f t="shared" si="30"/>
        <v>4.3016000000000005</v>
      </c>
      <c r="E100" s="72">
        <f t="shared" si="30"/>
        <v>1E-3</v>
      </c>
      <c r="F100" s="72">
        <f t="shared" si="30"/>
        <v>25.791400000000003</v>
      </c>
      <c r="G100" s="72">
        <f t="shared" si="30"/>
        <v>0.58490000000000009</v>
      </c>
      <c r="H100" s="72">
        <f t="shared" si="30"/>
        <v>6.8576999999999995</v>
      </c>
      <c r="I100" s="72">
        <f t="shared" si="30"/>
        <v>9.4000000000000004E-3</v>
      </c>
      <c r="J100" s="72">
        <f t="shared" si="30"/>
        <v>0.63390000000000002</v>
      </c>
      <c r="K100" s="72">
        <f t="shared" si="30"/>
        <v>62.679599999999994</v>
      </c>
      <c r="L100" s="72">
        <f t="shared" si="30"/>
        <v>2.07E-2</v>
      </c>
      <c r="M100" s="72">
        <f t="shared" si="30"/>
        <v>100.93470000000001</v>
      </c>
      <c r="N100" s="72"/>
      <c r="O100" s="72">
        <f t="shared" si="16"/>
        <v>0.12228859802418059</v>
      </c>
      <c r="P100" s="72">
        <f t="shared" si="17"/>
        <v>0.13876129032258067</v>
      </c>
      <c r="Q100" s="72">
        <f t="shared" si="18"/>
        <v>1.3263549842057404E-2</v>
      </c>
      <c r="R100" s="72"/>
      <c r="S100" s="72">
        <f t="shared" si="19"/>
        <v>44.579878707949213</v>
      </c>
      <c r="T100" s="72">
        <f t="shared" si="26"/>
        <v>4.8351804890169774</v>
      </c>
      <c r="U100" s="72">
        <f t="shared" si="27"/>
        <v>50.584940803033817</v>
      </c>
      <c r="V100" s="72"/>
      <c r="W100" s="72">
        <f t="shared" si="30"/>
        <v>4.2299999999999994E-3</v>
      </c>
      <c r="X100" s="72">
        <f t="shared" si="30"/>
        <v>1.2200000000000002E-3</v>
      </c>
      <c r="Y100" s="72">
        <f t="shared" si="30"/>
        <v>1.0915700000000002</v>
      </c>
      <c r="Z100" s="72">
        <f t="shared" si="30"/>
        <v>1.1E-4</v>
      </c>
      <c r="AA100" s="72">
        <f t="shared" si="30"/>
        <v>3.9763100000000002</v>
      </c>
      <c r="AB100" s="72">
        <f t="shared" si="30"/>
        <v>9.7610000000000002E-2</v>
      </c>
      <c r="AC100" s="72">
        <f t="shared" si="30"/>
        <v>0.96122999999999992</v>
      </c>
      <c r="AD100" s="72">
        <f t="shared" si="30"/>
        <v>1.0199999999999999E-3</v>
      </c>
      <c r="AE100" s="72">
        <f t="shared" si="30"/>
        <v>6.9349999999999995E-2</v>
      </c>
      <c r="AF100" s="72">
        <f t="shared" si="30"/>
        <v>8.1973699999999994</v>
      </c>
      <c r="AG100" s="72">
        <f t="shared" si="30"/>
        <v>4.0399999999999993E-3</v>
      </c>
      <c r="AH100" s="72">
        <f t="shared" si="30"/>
        <v>14.404059999999998</v>
      </c>
      <c r="AI100" s="72">
        <f t="shared" si="30"/>
        <v>12.173679999999997</v>
      </c>
    </row>
    <row r="101" spans="1:35" x14ac:dyDescent="0.2"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</row>
    <row r="102" spans="1:35" x14ac:dyDescent="0.2">
      <c r="O102" s="53"/>
      <c r="P102" s="53"/>
      <c r="Q102" s="53"/>
      <c r="R102" s="53"/>
      <c r="S102" s="53"/>
      <c r="T102" s="53"/>
      <c r="U102" s="53"/>
    </row>
    <row r="103" spans="1:35" x14ac:dyDescent="0.2">
      <c r="O103" s="53"/>
      <c r="P103" s="53"/>
      <c r="Q103" s="53"/>
      <c r="R103" s="53"/>
      <c r="S103" s="53"/>
      <c r="T103" s="53"/>
      <c r="U103" s="53"/>
    </row>
    <row r="104" spans="1:35" x14ac:dyDescent="0.2"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O104" s="53"/>
      <c r="P104" s="53"/>
      <c r="Q104" s="53"/>
      <c r="R104" s="53"/>
      <c r="S104" s="53"/>
      <c r="T104" s="53"/>
      <c r="U104" s="5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7C61-A74B-48CC-96A4-4D81C292F9FE}">
  <dimension ref="A1:AS48"/>
  <sheetViews>
    <sheetView topLeftCell="A22" workbookViewId="0">
      <selection activeCell="B53" sqref="B53"/>
    </sheetView>
  </sheetViews>
  <sheetFormatPr defaultRowHeight="14.25" x14ac:dyDescent="0.2"/>
  <sheetData>
    <row r="1" spans="1:32" s="74" customFormat="1" ht="15" x14ac:dyDescent="0.2">
      <c r="B1" s="74" t="s">
        <v>8</v>
      </c>
      <c r="C1" s="74" t="s">
        <v>9</v>
      </c>
      <c r="D1" s="74" t="s">
        <v>3</v>
      </c>
      <c r="E1" s="74" t="s">
        <v>1</v>
      </c>
      <c r="F1" s="74" t="s">
        <v>518</v>
      </c>
      <c r="G1" s="74" t="s">
        <v>6</v>
      </c>
      <c r="H1" s="75" t="s">
        <v>12</v>
      </c>
      <c r="I1" s="75" t="s">
        <v>519</v>
      </c>
      <c r="J1" s="74" t="s">
        <v>520</v>
      </c>
      <c r="K1" s="74" t="s">
        <v>10</v>
      </c>
      <c r="L1" s="74" t="s">
        <v>4</v>
      </c>
      <c r="M1" s="74" t="s">
        <v>5</v>
      </c>
      <c r="N1" s="74" t="s">
        <v>7</v>
      </c>
      <c r="O1" s="74" t="s">
        <v>11</v>
      </c>
      <c r="P1" s="74" t="s">
        <v>14</v>
      </c>
      <c r="R1" s="74" t="s">
        <v>8</v>
      </c>
      <c r="S1" s="74" t="s">
        <v>9</v>
      </c>
      <c r="T1" s="74" t="s">
        <v>3</v>
      </c>
      <c r="U1" s="74" t="s">
        <v>1</v>
      </c>
      <c r="V1" s="74" t="s">
        <v>518</v>
      </c>
      <c r="W1" s="74" t="s">
        <v>6</v>
      </c>
      <c r="X1" s="74" t="s">
        <v>12</v>
      </c>
      <c r="Y1" s="74" t="s">
        <v>519</v>
      </c>
      <c r="Z1" s="74" t="s">
        <v>520</v>
      </c>
      <c r="AA1" s="74" t="s">
        <v>10</v>
      </c>
      <c r="AB1" s="74" t="s">
        <v>4</v>
      </c>
      <c r="AC1" s="74" t="s">
        <v>5</v>
      </c>
      <c r="AD1" s="74" t="s">
        <v>7</v>
      </c>
      <c r="AE1" s="74" t="s">
        <v>11</v>
      </c>
      <c r="AF1" s="74" t="s">
        <v>14</v>
      </c>
    </row>
    <row r="2" spans="1:32" s="36" customFormat="1" ht="15.75" x14ac:dyDescent="0.25">
      <c r="A2" s="36" t="s">
        <v>522</v>
      </c>
      <c r="B2" s="36">
        <v>0</v>
      </c>
      <c r="C2" s="36">
        <v>47.225000000000001</v>
      </c>
      <c r="D2" s="36">
        <v>3.3109999999999999</v>
      </c>
      <c r="E2" s="36">
        <v>0</v>
      </c>
      <c r="F2" s="36">
        <v>0</v>
      </c>
      <c r="G2" s="36">
        <v>45.956000000000003</v>
      </c>
      <c r="H2" s="36">
        <v>1.778</v>
      </c>
      <c r="I2" s="36">
        <v>0</v>
      </c>
      <c r="J2" s="36">
        <v>2E-3</v>
      </c>
      <c r="K2" s="36">
        <v>9.4E-2</v>
      </c>
      <c r="L2" s="36">
        <v>0</v>
      </c>
      <c r="M2" s="36">
        <v>1.45</v>
      </c>
      <c r="N2" s="36">
        <v>0</v>
      </c>
      <c r="O2" s="36">
        <v>0</v>
      </c>
      <c r="P2" s="36">
        <v>99.903000000000006</v>
      </c>
      <c r="R2" s="36">
        <v>1.09E-2</v>
      </c>
      <c r="S2" s="36">
        <v>8.1692</v>
      </c>
      <c r="T2" s="36">
        <v>0.4471</v>
      </c>
      <c r="U2" s="36">
        <v>0</v>
      </c>
      <c r="V2" s="36">
        <v>0</v>
      </c>
      <c r="W2" s="36">
        <v>6.2819000000000003</v>
      </c>
      <c r="X2" s="36">
        <v>0.4279</v>
      </c>
      <c r="Y2" s="36">
        <v>2.5000000000000001E-3</v>
      </c>
      <c r="Z2" s="36">
        <v>2.0000000000000001E-4</v>
      </c>
      <c r="AA2" s="36">
        <v>1.29E-2</v>
      </c>
      <c r="AB2" s="36">
        <v>3.5000000000000001E-3</v>
      </c>
      <c r="AC2" s="36">
        <v>0.45400000000000001</v>
      </c>
      <c r="AD2" s="36">
        <v>0</v>
      </c>
      <c r="AE2" s="36">
        <v>0</v>
      </c>
      <c r="AF2" s="36">
        <v>15.8101</v>
      </c>
    </row>
    <row r="3" spans="1:32" s="36" customFormat="1" ht="15.75" x14ac:dyDescent="0.25">
      <c r="A3" s="36" t="s">
        <v>523</v>
      </c>
      <c r="B3" s="36">
        <v>5.6000000000000001E-2</v>
      </c>
      <c r="C3" s="36">
        <v>47.28</v>
      </c>
      <c r="D3" s="36">
        <v>3.1840000000000002</v>
      </c>
      <c r="E3" s="36">
        <v>0</v>
      </c>
      <c r="F3" s="36">
        <v>0</v>
      </c>
      <c r="G3" s="36">
        <v>46.292999999999999</v>
      </c>
      <c r="H3" s="36">
        <v>1.8680000000000001</v>
      </c>
      <c r="I3" s="36">
        <v>0</v>
      </c>
      <c r="J3" s="36">
        <v>4.8000000000000001E-2</v>
      </c>
      <c r="K3" s="36">
        <v>0.13700000000000001</v>
      </c>
      <c r="L3" s="36">
        <v>0</v>
      </c>
      <c r="M3" s="36">
        <v>1.2430000000000001</v>
      </c>
      <c r="N3" s="36">
        <v>1.4999999999999999E-2</v>
      </c>
      <c r="O3" s="36">
        <v>0</v>
      </c>
      <c r="P3" s="36">
        <v>100.124</v>
      </c>
      <c r="R3" s="36">
        <v>1.14E-2</v>
      </c>
      <c r="S3" s="36">
        <v>8.14</v>
      </c>
      <c r="T3" s="36">
        <v>0.4279</v>
      </c>
      <c r="U3" s="36">
        <v>0</v>
      </c>
      <c r="V3" s="36">
        <v>0</v>
      </c>
      <c r="W3" s="36">
        <v>6.298</v>
      </c>
      <c r="X3" s="36">
        <v>0.44750000000000001</v>
      </c>
      <c r="Y3" s="36">
        <v>0</v>
      </c>
      <c r="Z3" s="36">
        <v>5.7999999999999996E-3</v>
      </c>
      <c r="AA3" s="36">
        <v>1.8599999999999998E-2</v>
      </c>
      <c r="AB3" s="36">
        <v>0</v>
      </c>
      <c r="AC3" s="36">
        <v>0.38729999999999998</v>
      </c>
      <c r="AD3" s="36">
        <v>2.8E-3</v>
      </c>
      <c r="AE3" s="36">
        <v>0</v>
      </c>
      <c r="AF3" s="36">
        <v>15.7393</v>
      </c>
    </row>
    <row r="4" spans="1:32" s="36" customFormat="1" ht="15.75" x14ac:dyDescent="0.25">
      <c r="A4" s="36" t="s">
        <v>524</v>
      </c>
      <c r="B4" s="36">
        <v>0</v>
      </c>
      <c r="C4" s="36">
        <v>47.259</v>
      </c>
      <c r="D4" s="36">
        <v>3.62</v>
      </c>
      <c r="E4" s="36">
        <v>0</v>
      </c>
      <c r="F4" s="36">
        <v>0</v>
      </c>
      <c r="G4" s="36">
        <v>46.481000000000002</v>
      </c>
      <c r="H4" s="36">
        <v>1.861</v>
      </c>
      <c r="I4" s="36">
        <v>0</v>
      </c>
      <c r="J4" s="36">
        <v>0</v>
      </c>
      <c r="K4" s="36">
        <v>0.156</v>
      </c>
      <c r="L4" s="36">
        <v>0</v>
      </c>
      <c r="M4" s="36">
        <v>1.165</v>
      </c>
      <c r="N4" s="36">
        <v>3.1E-2</v>
      </c>
      <c r="O4" s="36">
        <v>0</v>
      </c>
      <c r="P4" s="36">
        <v>100.584</v>
      </c>
      <c r="R4" s="36">
        <v>2.3E-3</v>
      </c>
      <c r="S4" s="36">
        <v>8.1073000000000004</v>
      </c>
      <c r="T4" s="36">
        <v>0.48470000000000002</v>
      </c>
      <c r="U4" s="36">
        <v>0</v>
      </c>
      <c r="V4" s="36">
        <v>0</v>
      </c>
      <c r="W4" s="36">
        <v>6.3007999999999997</v>
      </c>
      <c r="X4" s="36">
        <v>0.44419999999999998</v>
      </c>
      <c r="Y4" s="36">
        <v>0</v>
      </c>
      <c r="Z4" s="36">
        <v>0</v>
      </c>
      <c r="AA4" s="36">
        <v>2.12E-2</v>
      </c>
      <c r="AB4" s="36">
        <v>0</v>
      </c>
      <c r="AC4" s="36">
        <v>0.36159999999999998</v>
      </c>
      <c r="AD4" s="36">
        <v>5.7999999999999996E-3</v>
      </c>
      <c r="AE4" s="36">
        <v>0</v>
      </c>
      <c r="AF4" s="36">
        <v>15.7279</v>
      </c>
    </row>
    <row r="5" spans="1:32" s="36" customFormat="1" ht="15.75" x14ac:dyDescent="0.25">
      <c r="A5" s="36" t="s">
        <v>525</v>
      </c>
      <c r="B5" s="36">
        <v>3.9E-2</v>
      </c>
      <c r="C5" s="36">
        <v>47.225000000000001</v>
      </c>
      <c r="D5" s="36">
        <v>3.34</v>
      </c>
      <c r="E5" s="36">
        <v>0</v>
      </c>
      <c r="F5" s="36">
        <v>0</v>
      </c>
      <c r="G5" s="36">
        <v>46.42</v>
      </c>
      <c r="H5" s="36">
        <v>1.966</v>
      </c>
      <c r="I5" s="36">
        <v>0</v>
      </c>
      <c r="J5" s="36">
        <v>3.6999999999999998E-2</v>
      </c>
      <c r="K5" s="36">
        <v>0.217</v>
      </c>
      <c r="L5" s="36">
        <v>3.5000000000000003E-2</v>
      </c>
      <c r="M5" s="36">
        <v>1.4390000000000001</v>
      </c>
      <c r="N5" s="36">
        <v>2.1000000000000001E-2</v>
      </c>
      <c r="O5" s="36">
        <v>0</v>
      </c>
      <c r="P5" s="36">
        <v>100.76</v>
      </c>
      <c r="R5" s="36">
        <v>7.9000000000000008E-3</v>
      </c>
      <c r="S5" s="36">
        <v>8.0899000000000001</v>
      </c>
      <c r="T5" s="36">
        <v>0.4466</v>
      </c>
      <c r="U5" s="36">
        <v>2E-3</v>
      </c>
      <c r="V5" s="36">
        <v>0</v>
      </c>
      <c r="W5" s="36">
        <v>6.2835000000000001</v>
      </c>
      <c r="X5" s="36">
        <v>0.46860000000000002</v>
      </c>
      <c r="Y5" s="36">
        <v>1.9E-3</v>
      </c>
      <c r="Z5" s="36">
        <v>4.4000000000000003E-3</v>
      </c>
      <c r="AA5" s="36">
        <v>2.93E-2</v>
      </c>
      <c r="AB5" s="36">
        <v>4.4000000000000003E-3</v>
      </c>
      <c r="AC5" s="36">
        <v>0.44600000000000001</v>
      </c>
      <c r="AD5" s="36">
        <v>4.0000000000000001E-3</v>
      </c>
      <c r="AE5" s="36">
        <v>0</v>
      </c>
      <c r="AF5" s="36">
        <v>15.788500000000001</v>
      </c>
    </row>
    <row r="6" spans="1:32" s="36" customFormat="1" ht="15.75" x14ac:dyDescent="0.25">
      <c r="A6" s="36" t="s">
        <v>526</v>
      </c>
      <c r="B6" s="36">
        <v>7.4999999999999997E-2</v>
      </c>
      <c r="C6" s="36">
        <v>47.43</v>
      </c>
      <c r="D6" s="36">
        <v>3.073</v>
      </c>
      <c r="E6" s="36">
        <v>0.13200000000000001</v>
      </c>
      <c r="F6" s="36">
        <v>0</v>
      </c>
      <c r="G6" s="36">
        <v>45.94</v>
      </c>
      <c r="H6" s="36">
        <v>2.09</v>
      </c>
      <c r="I6" s="36">
        <v>0</v>
      </c>
      <c r="J6" s="36">
        <v>1.2E-2</v>
      </c>
      <c r="K6" s="36">
        <v>0.19700000000000001</v>
      </c>
      <c r="L6" s="36">
        <v>3.2000000000000001E-2</v>
      </c>
      <c r="M6" s="36">
        <v>1.1679999999999999</v>
      </c>
      <c r="N6" s="36">
        <v>1.7000000000000001E-2</v>
      </c>
      <c r="O6" s="36">
        <v>0</v>
      </c>
      <c r="P6" s="36">
        <v>100.173</v>
      </c>
      <c r="R6" s="36">
        <v>1.54E-2</v>
      </c>
      <c r="S6" s="36">
        <v>8.1765000000000008</v>
      </c>
      <c r="T6" s="36">
        <v>0.41339999999999999</v>
      </c>
      <c r="U6" s="36">
        <v>1.6E-2</v>
      </c>
      <c r="V6" s="36">
        <v>0</v>
      </c>
      <c r="W6" s="36">
        <v>6.258</v>
      </c>
      <c r="X6" s="36">
        <v>0.50129999999999997</v>
      </c>
      <c r="Y6" s="36">
        <v>2.5000000000000001E-3</v>
      </c>
      <c r="Z6" s="36">
        <v>1.4E-3</v>
      </c>
      <c r="AA6" s="36">
        <v>2.6800000000000001E-2</v>
      </c>
      <c r="AB6" s="36">
        <v>4.1000000000000003E-3</v>
      </c>
      <c r="AC6" s="36">
        <v>0.36430000000000001</v>
      </c>
      <c r="AD6" s="36">
        <v>3.2000000000000002E-3</v>
      </c>
      <c r="AE6" s="36">
        <v>0</v>
      </c>
      <c r="AF6" s="36">
        <v>15.7829</v>
      </c>
    </row>
    <row r="7" spans="1:32" s="36" customFormat="1" ht="15.75" x14ac:dyDescent="0.25">
      <c r="A7" s="36" t="s">
        <v>527</v>
      </c>
      <c r="B7" s="36">
        <v>8.3000000000000004E-2</v>
      </c>
      <c r="C7" s="36">
        <v>47.625999999999998</v>
      </c>
      <c r="D7" s="36">
        <v>3.3719999999999999</v>
      </c>
      <c r="E7" s="36">
        <v>0</v>
      </c>
      <c r="F7" s="36">
        <v>0</v>
      </c>
      <c r="G7" s="36">
        <v>46.552999999999997</v>
      </c>
      <c r="H7" s="36">
        <v>1.7410000000000001</v>
      </c>
      <c r="I7" s="36">
        <v>0</v>
      </c>
      <c r="J7" s="36">
        <v>3.5999999999999997E-2</v>
      </c>
      <c r="K7" s="36">
        <v>0.16300000000000001</v>
      </c>
      <c r="L7" s="36">
        <v>0</v>
      </c>
      <c r="M7" s="36">
        <v>1.39</v>
      </c>
      <c r="N7" s="36">
        <v>0</v>
      </c>
      <c r="O7" s="36">
        <v>0</v>
      </c>
      <c r="P7" s="36">
        <v>101.02200000000001</v>
      </c>
      <c r="R7" s="36">
        <v>1.6899999999999998E-2</v>
      </c>
      <c r="S7" s="36">
        <v>8.1417000000000002</v>
      </c>
      <c r="T7" s="36">
        <v>0.44990000000000002</v>
      </c>
      <c r="U7" s="36">
        <v>5.8999999999999999E-3</v>
      </c>
      <c r="V7" s="36">
        <v>0</v>
      </c>
      <c r="W7" s="36">
        <v>6.2885</v>
      </c>
      <c r="X7" s="36">
        <v>0.41410000000000002</v>
      </c>
      <c r="Y7" s="36">
        <v>0</v>
      </c>
      <c r="Z7" s="36">
        <v>4.4000000000000003E-3</v>
      </c>
      <c r="AA7" s="36">
        <v>2.1999999999999999E-2</v>
      </c>
      <c r="AB7" s="36">
        <v>0</v>
      </c>
      <c r="AC7" s="36">
        <v>0.4299</v>
      </c>
      <c r="AD7" s="36">
        <v>1.8E-3</v>
      </c>
      <c r="AE7" s="36">
        <v>0</v>
      </c>
      <c r="AF7" s="36">
        <v>15.7751</v>
      </c>
    </row>
    <row r="8" spans="1:32" s="36" customFormat="1" ht="15.75" x14ac:dyDescent="0.25">
      <c r="A8" s="36" t="s">
        <v>528</v>
      </c>
      <c r="B8" s="36">
        <v>2.5000000000000001E-2</v>
      </c>
      <c r="C8" s="36">
        <v>47.429000000000002</v>
      </c>
      <c r="D8" s="36">
        <v>3.5569999999999999</v>
      </c>
      <c r="E8" s="36">
        <v>0</v>
      </c>
      <c r="F8" s="36">
        <v>0</v>
      </c>
      <c r="G8" s="36">
        <v>46.658999999999999</v>
      </c>
      <c r="H8" s="36">
        <v>1.7689999999999999</v>
      </c>
      <c r="I8" s="36">
        <v>0</v>
      </c>
      <c r="J8" s="36">
        <v>1.7999999999999999E-2</v>
      </c>
      <c r="K8" s="36">
        <v>0.128</v>
      </c>
      <c r="L8" s="36">
        <v>0</v>
      </c>
      <c r="M8" s="36">
        <v>1.466</v>
      </c>
      <c r="N8" s="36">
        <v>0</v>
      </c>
      <c r="O8" s="36">
        <v>0</v>
      </c>
      <c r="P8" s="36">
        <v>101.1</v>
      </c>
      <c r="R8" s="36">
        <v>5.1000000000000004E-3</v>
      </c>
      <c r="S8" s="36">
        <v>8.0997000000000003</v>
      </c>
      <c r="T8" s="36">
        <v>0.47410000000000002</v>
      </c>
      <c r="U8" s="36">
        <v>5.8999999999999999E-3</v>
      </c>
      <c r="V8" s="36">
        <v>0</v>
      </c>
      <c r="W8" s="36">
        <v>6.2964000000000002</v>
      </c>
      <c r="X8" s="36">
        <v>0.42020000000000002</v>
      </c>
      <c r="Y8" s="36">
        <v>0</v>
      </c>
      <c r="Z8" s="36">
        <v>2.2000000000000001E-3</v>
      </c>
      <c r="AA8" s="36">
        <v>1.7299999999999999E-2</v>
      </c>
      <c r="AB8" s="36">
        <v>0</v>
      </c>
      <c r="AC8" s="36">
        <v>0.45290000000000002</v>
      </c>
      <c r="AD8" s="36">
        <v>0</v>
      </c>
      <c r="AE8" s="36">
        <v>0</v>
      </c>
      <c r="AF8" s="36">
        <v>15.7738</v>
      </c>
    </row>
    <row r="9" spans="1:32" s="36" customFormat="1" ht="15.75" x14ac:dyDescent="0.25">
      <c r="A9" s="36" t="s">
        <v>529</v>
      </c>
      <c r="B9" s="36">
        <v>5.2999999999999999E-2</v>
      </c>
      <c r="C9" s="36">
        <v>47.497</v>
      </c>
      <c r="D9" s="36">
        <v>2.919</v>
      </c>
      <c r="E9" s="36">
        <v>0</v>
      </c>
      <c r="F9" s="36">
        <v>0</v>
      </c>
      <c r="G9" s="36">
        <v>46.488999999999997</v>
      </c>
      <c r="H9" s="36">
        <v>2.0819999999999999</v>
      </c>
      <c r="I9" s="36">
        <v>0</v>
      </c>
      <c r="J9" s="36">
        <v>0</v>
      </c>
      <c r="K9" s="36">
        <v>0.20499999999999999</v>
      </c>
      <c r="L9" s="36">
        <v>0</v>
      </c>
      <c r="M9" s="36">
        <v>1.3009999999999999</v>
      </c>
      <c r="N9" s="36">
        <v>0</v>
      </c>
      <c r="O9" s="36">
        <v>0</v>
      </c>
      <c r="P9" s="36">
        <v>100.55500000000001</v>
      </c>
      <c r="R9" s="36">
        <v>1.0800000000000001E-2</v>
      </c>
      <c r="S9" s="36">
        <v>8.1389999999999993</v>
      </c>
      <c r="T9" s="36">
        <v>0.39040000000000002</v>
      </c>
      <c r="U9" s="36">
        <v>0</v>
      </c>
      <c r="V9" s="36">
        <v>0</v>
      </c>
      <c r="W9" s="36">
        <v>6.2949000000000002</v>
      </c>
      <c r="X9" s="36">
        <v>0.49640000000000001</v>
      </c>
      <c r="Y9" s="36">
        <v>5.9999999999999995E-4</v>
      </c>
      <c r="Z9" s="36">
        <v>0</v>
      </c>
      <c r="AA9" s="36">
        <v>2.7799999999999998E-2</v>
      </c>
      <c r="AB9" s="36">
        <v>0</v>
      </c>
      <c r="AC9" s="36">
        <v>0.40339999999999998</v>
      </c>
      <c r="AD9" s="36">
        <v>1.4E-3</v>
      </c>
      <c r="AE9" s="36">
        <v>0</v>
      </c>
      <c r="AF9" s="36">
        <v>15.764699999999999</v>
      </c>
    </row>
    <row r="10" spans="1:32" s="36" customFormat="1" ht="15.75" x14ac:dyDescent="0.25">
      <c r="A10" s="36" t="s">
        <v>530</v>
      </c>
      <c r="B10" s="36">
        <v>7.8E-2</v>
      </c>
      <c r="C10" s="36">
        <v>47.26</v>
      </c>
      <c r="D10" s="36">
        <v>3.1429999999999998</v>
      </c>
      <c r="E10" s="36">
        <v>0</v>
      </c>
      <c r="F10" s="36">
        <v>0</v>
      </c>
      <c r="G10" s="36">
        <v>46.27</v>
      </c>
      <c r="H10" s="36">
        <v>1.887</v>
      </c>
      <c r="I10" s="36">
        <v>0</v>
      </c>
      <c r="J10" s="36">
        <v>0</v>
      </c>
      <c r="K10" s="36">
        <v>0.115</v>
      </c>
      <c r="L10" s="36">
        <v>0</v>
      </c>
      <c r="M10" s="36">
        <v>1.6579999999999999</v>
      </c>
      <c r="N10" s="36">
        <v>0</v>
      </c>
      <c r="O10" s="36">
        <v>0</v>
      </c>
      <c r="P10" s="36">
        <v>100.49299999999999</v>
      </c>
      <c r="R10" s="36">
        <v>1.5900000000000001E-2</v>
      </c>
      <c r="S10" s="36">
        <v>8.1211000000000002</v>
      </c>
      <c r="T10" s="36">
        <v>0.42149999999999999</v>
      </c>
      <c r="U10" s="36">
        <v>8.0000000000000002E-3</v>
      </c>
      <c r="V10" s="36">
        <v>0</v>
      </c>
      <c r="W10" s="36">
        <v>6.2827999999999999</v>
      </c>
      <c r="X10" s="36">
        <v>0.4511</v>
      </c>
      <c r="Y10" s="36">
        <v>3.0000000000000001E-3</v>
      </c>
      <c r="Z10" s="36">
        <v>0</v>
      </c>
      <c r="AA10" s="36">
        <v>1.5599999999999999E-2</v>
      </c>
      <c r="AB10" s="36">
        <v>0</v>
      </c>
      <c r="AC10" s="36">
        <v>0.51570000000000005</v>
      </c>
      <c r="AD10" s="36">
        <v>1.4E-3</v>
      </c>
      <c r="AE10" s="36">
        <v>0</v>
      </c>
      <c r="AF10" s="36">
        <v>15.8361</v>
      </c>
    </row>
    <row r="11" spans="1:32" s="36" customFormat="1" ht="15.75" x14ac:dyDescent="0.25">
      <c r="A11" s="36" t="s">
        <v>531</v>
      </c>
      <c r="B11" s="36">
        <v>5.2999999999999999E-2</v>
      </c>
      <c r="C11" s="36">
        <v>46.683999999999997</v>
      </c>
      <c r="D11" s="36">
        <v>3.3980000000000001</v>
      </c>
      <c r="E11" s="36">
        <v>0</v>
      </c>
      <c r="F11" s="36">
        <v>0</v>
      </c>
      <c r="G11" s="36">
        <v>46.588999999999999</v>
      </c>
      <c r="H11" s="36">
        <v>1.827</v>
      </c>
      <c r="I11" s="36">
        <v>0</v>
      </c>
      <c r="J11" s="36">
        <v>0.01</v>
      </c>
      <c r="K11" s="36">
        <v>0.127</v>
      </c>
      <c r="L11" s="36">
        <v>0</v>
      </c>
      <c r="M11" s="36">
        <v>1.2849999999999999</v>
      </c>
      <c r="N11" s="36">
        <v>1.4999999999999999E-2</v>
      </c>
      <c r="O11" s="36">
        <v>0</v>
      </c>
      <c r="P11" s="36">
        <v>100.03700000000001</v>
      </c>
      <c r="R11" s="36">
        <v>1.0800000000000001E-2</v>
      </c>
      <c r="S11" s="36">
        <v>8.0312000000000001</v>
      </c>
      <c r="T11" s="36">
        <v>0.45619999999999999</v>
      </c>
      <c r="U11" s="36">
        <v>6.0000000000000001E-3</v>
      </c>
      <c r="V11" s="36">
        <v>0</v>
      </c>
      <c r="W11" s="36">
        <v>6.3331999999999997</v>
      </c>
      <c r="X11" s="36">
        <v>0.43719999999999998</v>
      </c>
      <c r="Y11" s="36">
        <v>0</v>
      </c>
      <c r="Z11" s="36">
        <v>1.1999999999999999E-3</v>
      </c>
      <c r="AA11" s="36">
        <v>1.72E-2</v>
      </c>
      <c r="AB11" s="36">
        <v>0</v>
      </c>
      <c r="AC11" s="36">
        <v>0.4</v>
      </c>
      <c r="AD11" s="36">
        <v>2.8E-3</v>
      </c>
      <c r="AE11" s="36">
        <v>0</v>
      </c>
      <c r="AF11" s="36">
        <v>15.6958</v>
      </c>
    </row>
    <row r="12" spans="1:32" s="36" customFormat="1" ht="15.75" x14ac:dyDescent="0.25">
      <c r="A12" s="36" t="s">
        <v>532</v>
      </c>
      <c r="B12" s="36">
        <v>0.13900000000000001</v>
      </c>
      <c r="C12" s="36">
        <v>47.427999999999997</v>
      </c>
      <c r="D12" s="36">
        <v>3.2349999999999999</v>
      </c>
      <c r="E12" s="36">
        <v>0.14899999999999999</v>
      </c>
      <c r="F12" s="36">
        <v>0</v>
      </c>
      <c r="G12" s="36">
        <v>46.387</v>
      </c>
      <c r="H12" s="36">
        <v>2.0089999999999999</v>
      </c>
      <c r="I12" s="36">
        <v>0</v>
      </c>
      <c r="J12" s="36">
        <v>1.7999999999999999E-2</v>
      </c>
      <c r="K12" s="36">
        <v>0.13900000000000001</v>
      </c>
      <c r="L12" s="36">
        <v>0</v>
      </c>
      <c r="M12" s="36">
        <v>1.28</v>
      </c>
      <c r="N12" s="36">
        <v>0</v>
      </c>
      <c r="O12" s="36">
        <v>0</v>
      </c>
      <c r="P12" s="36">
        <v>100.794</v>
      </c>
      <c r="R12" s="36">
        <v>2.8299999999999999E-2</v>
      </c>
      <c r="S12" s="36">
        <v>8.1212999999999997</v>
      </c>
      <c r="T12" s="36">
        <v>0.43240000000000001</v>
      </c>
      <c r="U12" s="36">
        <v>1.7899999999999999E-2</v>
      </c>
      <c r="V12" s="36">
        <v>0</v>
      </c>
      <c r="W12" s="36">
        <v>6.2766000000000002</v>
      </c>
      <c r="X12" s="36">
        <v>0.47870000000000001</v>
      </c>
      <c r="Y12" s="36">
        <v>2.9999999999999997E-4</v>
      </c>
      <c r="Z12" s="36">
        <v>2.2000000000000001E-3</v>
      </c>
      <c r="AA12" s="36">
        <v>1.8800000000000001E-2</v>
      </c>
      <c r="AB12" s="36">
        <v>0</v>
      </c>
      <c r="AC12" s="36">
        <v>0.39660000000000001</v>
      </c>
      <c r="AD12" s="36">
        <v>1.8E-3</v>
      </c>
      <c r="AE12" s="36">
        <v>0</v>
      </c>
      <c r="AF12" s="36">
        <v>15.774900000000001</v>
      </c>
    </row>
    <row r="13" spans="1:32" s="36" customFormat="1" ht="15.75" x14ac:dyDescent="0.25">
      <c r="A13" s="36" t="s">
        <v>533</v>
      </c>
      <c r="B13" s="36">
        <v>0.05</v>
      </c>
      <c r="C13" s="36">
        <v>47.173999999999999</v>
      </c>
      <c r="D13" s="36">
        <v>3.262</v>
      </c>
      <c r="E13" s="36">
        <v>0</v>
      </c>
      <c r="F13" s="36">
        <v>0</v>
      </c>
      <c r="G13" s="36">
        <v>46.249000000000002</v>
      </c>
      <c r="H13" s="36">
        <v>1.917</v>
      </c>
      <c r="I13" s="36">
        <v>0</v>
      </c>
      <c r="J13" s="36">
        <v>3.0000000000000001E-3</v>
      </c>
      <c r="K13" s="36">
        <v>0.14899999999999999</v>
      </c>
      <c r="L13" s="36">
        <v>3.5000000000000003E-2</v>
      </c>
      <c r="M13" s="36">
        <v>1.2450000000000001</v>
      </c>
      <c r="N13" s="36">
        <v>0.02</v>
      </c>
      <c r="O13" s="36">
        <v>0</v>
      </c>
      <c r="P13" s="36">
        <v>100.137</v>
      </c>
      <c r="R13" s="36">
        <v>1.03E-2</v>
      </c>
      <c r="S13" s="36">
        <v>8.125</v>
      </c>
      <c r="T13" s="36">
        <v>0.43859999999999999</v>
      </c>
      <c r="U13" s="36">
        <v>4.0000000000000001E-3</v>
      </c>
      <c r="V13" s="36">
        <v>0</v>
      </c>
      <c r="W13" s="36">
        <v>6.2945000000000002</v>
      </c>
      <c r="X13" s="36">
        <v>0.45939999999999998</v>
      </c>
      <c r="Y13" s="36">
        <v>0</v>
      </c>
      <c r="Z13" s="36">
        <v>2.9999999999999997E-4</v>
      </c>
      <c r="AA13" s="36">
        <v>2.0299999999999999E-2</v>
      </c>
      <c r="AB13" s="36">
        <v>4.4000000000000003E-3</v>
      </c>
      <c r="AC13" s="36">
        <v>0.38819999999999999</v>
      </c>
      <c r="AD13" s="36">
        <v>3.8E-3</v>
      </c>
      <c r="AE13" s="36">
        <v>0</v>
      </c>
      <c r="AF13" s="36">
        <v>15.748799999999999</v>
      </c>
    </row>
    <row r="14" spans="1:32" s="36" customFormat="1" ht="15.75" x14ac:dyDescent="0.25">
      <c r="A14" s="36" t="s">
        <v>534</v>
      </c>
      <c r="B14" s="36">
        <v>6.0999999999999999E-2</v>
      </c>
      <c r="C14" s="36">
        <v>47.064999999999998</v>
      </c>
      <c r="D14" s="36">
        <v>3.5659999999999998</v>
      </c>
      <c r="E14" s="36">
        <v>0</v>
      </c>
      <c r="F14" s="36">
        <v>0</v>
      </c>
      <c r="G14" s="36">
        <v>46.287999999999997</v>
      </c>
      <c r="H14" s="36">
        <v>1.861</v>
      </c>
      <c r="I14" s="36">
        <v>0</v>
      </c>
      <c r="J14" s="36">
        <v>1.7000000000000001E-2</v>
      </c>
      <c r="K14" s="36">
        <v>0.19700000000000001</v>
      </c>
      <c r="L14" s="36">
        <v>0</v>
      </c>
      <c r="M14" s="36">
        <v>1.2410000000000001</v>
      </c>
      <c r="N14" s="36">
        <v>2.1999999999999999E-2</v>
      </c>
      <c r="O14" s="36">
        <v>0</v>
      </c>
      <c r="P14" s="36">
        <v>100.339</v>
      </c>
      <c r="R14" s="36">
        <v>1.2500000000000001E-2</v>
      </c>
      <c r="S14" s="36">
        <v>8.0990000000000002</v>
      </c>
      <c r="T14" s="36">
        <v>0.47889999999999999</v>
      </c>
      <c r="U14" s="36">
        <v>0</v>
      </c>
      <c r="V14" s="36">
        <v>0</v>
      </c>
      <c r="W14" s="36">
        <v>6.2941000000000003</v>
      </c>
      <c r="X14" s="36">
        <v>0.4456</v>
      </c>
      <c r="Y14" s="36">
        <v>3.3E-3</v>
      </c>
      <c r="Z14" s="36">
        <v>2.0999999999999999E-3</v>
      </c>
      <c r="AA14" s="36">
        <v>2.6800000000000001E-2</v>
      </c>
      <c r="AB14" s="36">
        <v>1.6000000000000001E-3</v>
      </c>
      <c r="AC14" s="36">
        <v>0.38650000000000001</v>
      </c>
      <c r="AD14" s="36">
        <v>4.1999999999999997E-3</v>
      </c>
      <c r="AE14" s="36">
        <v>0</v>
      </c>
      <c r="AF14" s="36">
        <v>15.7546</v>
      </c>
    </row>
    <row r="15" spans="1:32" s="36" customFormat="1" ht="15.75" x14ac:dyDescent="0.25">
      <c r="A15" s="36" t="s">
        <v>535</v>
      </c>
      <c r="B15" s="36">
        <v>3.3000000000000002E-2</v>
      </c>
      <c r="C15" s="36">
        <v>47.732999999999997</v>
      </c>
      <c r="D15" s="36">
        <v>3.1240000000000001</v>
      </c>
      <c r="E15" s="36">
        <v>0.16500000000000001</v>
      </c>
      <c r="F15" s="36">
        <v>0</v>
      </c>
      <c r="G15" s="36">
        <v>45.6</v>
      </c>
      <c r="H15" s="36">
        <v>1.9350000000000001</v>
      </c>
      <c r="I15" s="36">
        <v>0</v>
      </c>
      <c r="J15" s="36">
        <v>1.0999999999999999E-2</v>
      </c>
      <c r="K15" s="36">
        <v>8.7999999999999995E-2</v>
      </c>
      <c r="L15" s="36">
        <v>0</v>
      </c>
      <c r="M15" s="36">
        <v>1.2430000000000001</v>
      </c>
      <c r="N15" s="36">
        <v>2.3E-2</v>
      </c>
      <c r="O15" s="36">
        <v>0</v>
      </c>
      <c r="P15" s="36">
        <v>99.954999999999998</v>
      </c>
      <c r="R15" s="36">
        <v>6.7999999999999996E-3</v>
      </c>
      <c r="S15" s="36">
        <v>8.2611000000000008</v>
      </c>
      <c r="T15" s="36">
        <v>0.42199999999999999</v>
      </c>
      <c r="U15" s="36">
        <v>0.02</v>
      </c>
      <c r="V15" s="36">
        <v>0</v>
      </c>
      <c r="W15" s="36">
        <v>6.2361000000000004</v>
      </c>
      <c r="X15" s="36">
        <v>0.46579999999999999</v>
      </c>
      <c r="Y15" s="36">
        <v>0</v>
      </c>
      <c r="Z15" s="36">
        <v>1.2999999999999999E-3</v>
      </c>
      <c r="AA15" s="36">
        <v>1.21E-2</v>
      </c>
      <c r="AB15" s="36">
        <v>0</v>
      </c>
      <c r="AC15" s="36">
        <v>0.38929999999999998</v>
      </c>
      <c r="AD15" s="36">
        <v>4.4000000000000003E-3</v>
      </c>
      <c r="AE15" s="36">
        <v>0</v>
      </c>
      <c r="AF15" s="36">
        <v>15.818899999999999</v>
      </c>
    </row>
    <row r="16" spans="1:32" s="36" customFormat="1" ht="15.75" x14ac:dyDescent="0.25">
      <c r="A16" s="36" t="s">
        <v>536</v>
      </c>
      <c r="B16" s="36">
        <v>3.3000000000000002E-2</v>
      </c>
      <c r="C16" s="36">
        <v>47.167999999999999</v>
      </c>
      <c r="D16" s="36">
        <v>3.4820000000000002</v>
      </c>
      <c r="E16" s="36">
        <v>0</v>
      </c>
      <c r="F16" s="36">
        <v>0</v>
      </c>
      <c r="G16" s="36">
        <v>45.396000000000001</v>
      </c>
      <c r="H16" s="36">
        <v>1.869</v>
      </c>
      <c r="I16" s="36">
        <v>0</v>
      </c>
      <c r="J16" s="36">
        <v>6.4000000000000001E-2</v>
      </c>
      <c r="K16" s="36">
        <v>0.13400000000000001</v>
      </c>
      <c r="L16" s="36">
        <v>0</v>
      </c>
      <c r="M16" s="36">
        <v>1.4159999999999999</v>
      </c>
      <c r="N16" s="36">
        <v>2.3E-2</v>
      </c>
      <c r="O16" s="36">
        <v>0</v>
      </c>
      <c r="P16" s="36">
        <v>99.584999999999994</v>
      </c>
      <c r="R16" s="36">
        <v>6.8999999999999999E-3</v>
      </c>
      <c r="S16" s="36">
        <v>8.2034000000000002</v>
      </c>
      <c r="T16" s="36">
        <v>0.47270000000000001</v>
      </c>
      <c r="U16" s="36">
        <v>0</v>
      </c>
      <c r="V16" s="36">
        <v>0</v>
      </c>
      <c r="W16" s="36">
        <v>6.2388000000000003</v>
      </c>
      <c r="X16" s="36">
        <v>0.45219999999999999</v>
      </c>
      <c r="Y16" s="36">
        <v>0</v>
      </c>
      <c r="Z16" s="36">
        <v>7.7999999999999996E-3</v>
      </c>
      <c r="AA16" s="36">
        <v>1.8499999999999999E-2</v>
      </c>
      <c r="AB16" s="36">
        <v>0</v>
      </c>
      <c r="AC16" s="36">
        <v>0.44550000000000001</v>
      </c>
      <c r="AD16" s="36">
        <v>4.4000000000000003E-3</v>
      </c>
      <c r="AE16" s="36">
        <v>0</v>
      </c>
      <c r="AF16" s="36">
        <v>15.850199999999999</v>
      </c>
    </row>
    <row r="17" spans="1:45" s="36" customFormat="1" ht="15.75" x14ac:dyDescent="0.25">
      <c r="A17" s="36" t="s">
        <v>537</v>
      </c>
      <c r="B17" s="36">
        <v>3.5999999999999997E-2</v>
      </c>
      <c r="C17" s="36">
        <v>46.414999999999999</v>
      </c>
      <c r="D17" s="36">
        <v>3.5129999999999999</v>
      </c>
      <c r="E17" s="36">
        <v>0</v>
      </c>
      <c r="F17" s="36">
        <v>0</v>
      </c>
      <c r="G17" s="36">
        <v>46.042000000000002</v>
      </c>
      <c r="H17" s="36">
        <v>1.863</v>
      </c>
      <c r="I17" s="36">
        <v>0</v>
      </c>
      <c r="J17" s="36">
        <v>1.4999999999999999E-2</v>
      </c>
      <c r="K17" s="36">
        <v>0.14599999999999999</v>
      </c>
      <c r="L17" s="36">
        <v>0</v>
      </c>
      <c r="M17" s="36">
        <v>1.2589999999999999</v>
      </c>
      <c r="N17" s="36">
        <v>0</v>
      </c>
      <c r="O17" s="36">
        <v>0</v>
      </c>
      <c r="P17" s="36">
        <v>99.308000000000007</v>
      </c>
      <c r="R17" s="36">
        <v>7.4999999999999997E-3</v>
      </c>
      <c r="S17" s="36">
        <v>8.0564999999999998</v>
      </c>
      <c r="T17" s="36">
        <v>0.47599999999999998</v>
      </c>
      <c r="U17" s="36">
        <v>0</v>
      </c>
      <c r="V17" s="36">
        <v>0</v>
      </c>
      <c r="W17" s="36">
        <v>6.3150000000000004</v>
      </c>
      <c r="X17" s="36">
        <v>0.44979999999999998</v>
      </c>
      <c r="Y17" s="36">
        <v>5.9999999999999995E-4</v>
      </c>
      <c r="Z17" s="36">
        <v>1.8E-3</v>
      </c>
      <c r="AA17" s="36">
        <v>2.01E-2</v>
      </c>
      <c r="AB17" s="36">
        <v>2.2000000000000001E-3</v>
      </c>
      <c r="AC17" s="36">
        <v>0.39539999999999997</v>
      </c>
      <c r="AD17" s="36">
        <v>0</v>
      </c>
      <c r="AE17" s="36">
        <v>0</v>
      </c>
      <c r="AF17" s="36">
        <v>15.7249</v>
      </c>
    </row>
    <row r="18" spans="1:45" s="36" customFormat="1" ht="15.75" x14ac:dyDescent="0.25">
      <c r="A18" s="36" t="s">
        <v>538</v>
      </c>
      <c r="B18" s="36">
        <v>0</v>
      </c>
      <c r="C18" s="36">
        <v>47.22</v>
      </c>
      <c r="D18" s="36">
        <v>3.4449999999999998</v>
      </c>
      <c r="E18" s="36">
        <v>0</v>
      </c>
      <c r="F18" s="36">
        <v>0</v>
      </c>
      <c r="G18" s="36">
        <v>46.085999999999999</v>
      </c>
      <c r="H18" s="36">
        <v>1.8540000000000001</v>
      </c>
      <c r="I18" s="36">
        <v>0</v>
      </c>
      <c r="J18" s="36">
        <v>7.0000000000000001E-3</v>
      </c>
      <c r="K18" s="36">
        <v>0.16</v>
      </c>
      <c r="L18" s="36">
        <v>0</v>
      </c>
      <c r="M18" s="36">
        <v>1.169</v>
      </c>
      <c r="N18" s="36">
        <v>0</v>
      </c>
      <c r="O18" s="36">
        <v>0</v>
      </c>
      <c r="P18" s="36">
        <v>99.997</v>
      </c>
      <c r="R18" s="36">
        <v>2.8E-3</v>
      </c>
      <c r="S18" s="36">
        <v>8.1534999999999993</v>
      </c>
      <c r="T18" s="36">
        <v>0.46429999999999999</v>
      </c>
      <c r="U18" s="36">
        <v>4.0000000000000001E-3</v>
      </c>
      <c r="V18" s="36">
        <v>0</v>
      </c>
      <c r="W18" s="36">
        <v>6.2881999999999998</v>
      </c>
      <c r="X18" s="36">
        <v>0.44540000000000002</v>
      </c>
      <c r="Y18" s="36">
        <v>3.0999999999999999E-3</v>
      </c>
      <c r="Z18" s="36">
        <v>8.0000000000000004E-4</v>
      </c>
      <c r="AA18" s="36">
        <v>2.1899999999999999E-2</v>
      </c>
      <c r="AB18" s="36">
        <v>0</v>
      </c>
      <c r="AC18" s="36">
        <v>0.36520000000000002</v>
      </c>
      <c r="AD18" s="36">
        <v>0</v>
      </c>
      <c r="AE18" s="36">
        <v>0</v>
      </c>
      <c r="AF18" s="36">
        <v>15.7492</v>
      </c>
    </row>
    <row r="19" spans="1:45" s="36" customFormat="1" ht="15.75" x14ac:dyDescent="0.25">
      <c r="A19" s="36" t="s">
        <v>539</v>
      </c>
      <c r="B19" s="36">
        <v>8.8999999999999996E-2</v>
      </c>
      <c r="C19" s="36">
        <v>46.673000000000002</v>
      </c>
      <c r="D19" s="36">
        <v>3.5379999999999998</v>
      </c>
      <c r="E19" s="36">
        <v>0</v>
      </c>
      <c r="F19" s="36">
        <v>0</v>
      </c>
      <c r="G19" s="36">
        <v>45.956000000000003</v>
      </c>
      <c r="H19" s="36">
        <v>1.794</v>
      </c>
      <c r="I19" s="36">
        <v>0</v>
      </c>
      <c r="J19" s="36">
        <v>5.2999999999999999E-2</v>
      </c>
      <c r="K19" s="36">
        <v>0.16700000000000001</v>
      </c>
      <c r="L19" s="36">
        <v>0</v>
      </c>
      <c r="M19" s="36">
        <v>1.2210000000000001</v>
      </c>
      <c r="N19" s="36">
        <v>2.9000000000000001E-2</v>
      </c>
      <c r="O19" s="36">
        <v>0</v>
      </c>
      <c r="P19" s="36">
        <v>99.537000000000006</v>
      </c>
      <c r="R19" s="36">
        <v>1.83E-2</v>
      </c>
      <c r="S19" s="36">
        <v>8.0923999999999996</v>
      </c>
      <c r="T19" s="36">
        <v>0.47889999999999999</v>
      </c>
      <c r="U19" s="36">
        <v>2E-3</v>
      </c>
      <c r="V19" s="36">
        <v>0</v>
      </c>
      <c r="W19" s="36">
        <v>6.2962999999999996</v>
      </c>
      <c r="X19" s="36">
        <v>0.43269999999999997</v>
      </c>
      <c r="Y19" s="36">
        <v>2.9999999999999997E-4</v>
      </c>
      <c r="Z19" s="36">
        <v>6.4000000000000003E-3</v>
      </c>
      <c r="AA19" s="36">
        <v>2.2800000000000001E-2</v>
      </c>
      <c r="AB19" s="36">
        <v>0</v>
      </c>
      <c r="AC19" s="36">
        <v>0.3831</v>
      </c>
      <c r="AD19" s="36">
        <v>5.5999999999999999E-3</v>
      </c>
      <c r="AE19" s="36">
        <v>0</v>
      </c>
      <c r="AF19" s="36">
        <v>15.738799999999999</v>
      </c>
    </row>
    <row r="20" spans="1:45" s="36" customFormat="1" ht="15.75" x14ac:dyDescent="0.25">
      <c r="A20" s="36" t="s">
        <v>540</v>
      </c>
      <c r="B20" s="36">
        <v>5.2999999999999999E-2</v>
      </c>
      <c r="C20" s="36">
        <v>47.017000000000003</v>
      </c>
      <c r="D20" s="36">
        <v>3.867</v>
      </c>
      <c r="E20" s="36">
        <v>0</v>
      </c>
      <c r="F20" s="36">
        <v>0</v>
      </c>
      <c r="G20" s="36">
        <v>45.892000000000003</v>
      </c>
      <c r="H20" s="36">
        <v>1.9630000000000001</v>
      </c>
      <c r="I20" s="36">
        <v>0</v>
      </c>
      <c r="J20" s="36">
        <v>5.8000000000000003E-2</v>
      </c>
      <c r="K20" s="36">
        <v>0.122</v>
      </c>
      <c r="L20" s="36">
        <v>4.7E-2</v>
      </c>
      <c r="M20" s="36">
        <v>1.1519999999999999</v>
      </c>
      <c r="N20" s="36">
        <v>0.02</v>
      </c>
      <c r="O20" s="36">
        <v>8.1000000000000003E-2</v>
      </c>
      <c r="P20" s="36">
        <v>100.27200000000001</v>
      </c>
      <c r="R20" s="36">
        <v>1.0800000000000001E-2</v>
      </c>
      <c r="S20" s="36">
        <v>8.109</v>
      </c>
      <c r="T20" s="36">
        <v>0.52049999999999996</v>
      </c>
      <c r="U20" s="36">
        <v>0</v>
      </c>
      <c r="V20" s="36">
        <v>0</v>
      </c>
      <c r="W20" s="36">
        <v>6.2544000000000004</v>
      </c>
      <c r="X20" s="36">
        <v>0.47089999999999999</v>
      </c>
      <c r="Y20" s="36">
        <v>0</v>
      </c>
      <c r="Z20" s="36">
        <v>7.0000000000000001E-3</v>
      </c>
      <c r="AA20" s="36">
        <v>1.67E-2</v>
      </c>
      <c r="AB20" s="36">
        <v>6.0000000000000001E-3</v>
      </c>
      <c r="AC20" s="36">
        <v>0.35959999999999998</v>
      </c>
      <c r="AD20" s="36">
        <v>3.8E-3</v>
      </c>
      <c r="AE20" s="36">
        <v>1.2999999999999999E-2</v>
      </c>
      <c r="AF20" s="36">
        <v>15.771699999999999</v>
      </c>
    </row>
    <row r="21" spans="1:45" s="36" customFormat="1" ht="15.75" x14ac:dyDescent="0.25">
      <c r="A21" s="36" t="s">
        <v>541</v>
      </c>
      <c r="B21" s="36">
        <v>9.1999999999999998E-2</v>
      </c>
      <c r="C21" s="36">
        <v>46.859000000000002</v>
      </c>
      <c r="D21" s="36">
        <v>3.298</v>
      </c>
      <c r="E21" s="36">
        <v>9.9000000000000005E-2</v>
      </c>
      <c r="F21" s="36">
        <v>0</v>
      </c>
      <c r="G21" s="36">
        <v>45.984999999999999</v>
      </c>
      <c r="H21" s="36">
        <v>1.8620000000000001</v>
      </c>
      <c r="I21" s="36">
        <v>0</v>
      </c>
      <c r="J21" s="36">
        <v>0</v>
      </c>
      <c r="K21" s="36">
        <v>0.161</v>
      </c>
      <c r="L21" s="36">
        <v>0</v>
      </c>
      <c r="M21" s="36">
        <v>1.3340000000000001</v>
      </c>
      <c r="N21" s="36">
        <v>0</v>
      </c>
      <c r="O21" s="36">
        <v>0</v>
      </c>
      <c r="P21" s="36">
        <v>99.706999999999994</v>
      </c>
      <c r="R21" s="36">
        <v>1.89E-2</v>
      </c>
      <c r="S21" s="36">
        <v>8.1120999999999999</v>
      </c>
      <c r="T21" s="36">
        <v>0.44569999999999999</v>
      </c>
      <c r="U21" s="36">
        <v>1.2E-2</v>
      </c>
      <c r="V21" s="36">
        <v>0</v>
      </c>
      <c r="W21" s="36">
        <v>6.2906000000000004</v>
      </c>
      <c r="X21" s="36">
        <v>0.44850000000000001</v>
      </c>
      <c r="Y21" s="36">
        <v>5.9999999999999995E-4</v>
      </c>
      <c r="Z21" s="36">
        <v>0</v>
      </c>
      <c r="AA21" s="36">
        <v>2.1999999999999999E-2</v>
      </c>
      <c r="AB21" s="36">
        <v>1.9E-3</v>
      </c>
      <c r="AC21" s="36">
        <v>0.41789999999999999</v>
      </c>
      <c r="AD21" s="36">
        <v>0</v>
      </c>
      <c r="AE21" s="36">
        <v>0</v>
      </c>
      <c r="AF21" s="36">
        <v>15.770200000000001</v>
      </c>
    </row>
    <row r="24" spans="1:45" s="37" customFormat="1" ht="15.75" x14ac:dyDescent="0.25">
      <c r="B24" s="37" t="s">
        <v>8</v>
      </c>
      <c r="C24" s="37" t="s">
        <v>9</v>
      </c>
      <c r="D24" s="37" t="s">
        <v>3</v>
      </c>
      <c r="E24" s="37" t="s">
        <v>1</v>
      </c>
      <c r="F24" s="37" t="s">
        <v>518</v>
      </c>
      <c r="G24" s="37" t="s">
        <v>6</v>
      </c>
      <c r="H24" s="37" t="s">
        <v>12</v>
      </c>
      <c r="I24" s="37" t="s">
        <v>519</v>
      </c>
      <c r="J24" s="37" t="s">
        <v>520</v>
      </c>
      <c r="K24" s="37" t="s">
        <v>10</v>
      </c>
      <c r="L24" s="37" t="s">
        <v>4</v>
      </c>
      <c r="M24" s="37" t="s">
        <v>5</v>
      </c>
      <c r="N24" s="37" t="s">
        <v>7</v>
      </c>
      <c r="O24" s="37" t="s">
        <v>11</v>
      </c>
      <c r="P24" s="37" t="s">
        <v>14</v>
      </c>
      <c r="R24" s="37" t="s">
        <v>8</v>
      </c>
      <c r="S24" s="37" t="s">
        <v>9</v>
      </c>
      <c r="T24" s="37" t="s">
        <v>3</v>
      </c>
      <c r="U24" s="37" t="s">
        <v>1</v>
      </c>
      <c r="V24" s="37" t="s">
        <v>518</v>
      </c>
      <c r="W24" s="37" t="s">
        <v>6</v>
      </c>
      <c r="X24" s="37" t="s">
        <v>12</v>
      </c>
      <c r="Y24" s="37" t="s">
        <v>519</v>
      </c>
      <c r="Z24" s="37" t="s">
        <v>520</v>
      </c>
      <c r="AA24" s="37" t="s">
        <v>10</v>
      </c>
      <c r="AB24" s="37" t="s">
        <v>4</v>
      </c>
      <c r="AC24" s="37" t="s">
        <v>5</v>
      </c>
      <c r="AD24" s="37" t="s">
        <v>7</v>
      </c>
      <c r="AE24" s="37" t="s">
        <v>11</v>
      </c>
      <c r="AF24" s="37" t="s">
        <v>14</v>
      </c>
      <c r="AH24" s="37" t="s">
        <v>542</v>
      </c>
      <c r="AI24" s="37" t="s">
        <v>543</v>
      </c>
      <c r="AM24" s="37" t="s">
        <v>518</v>
      </c>
      <c r="AN24" s="37" t="s">
        <v>519</v>
      </c>
      <c r="AO24" s="37" t="s">
        <v>521</v>
      </c>
      <c r="AQ24" s="37" t="s">
        <v>518</v>
      </c>
      <c r="AR24" s="37" t="s">
        <v>519</v>
      </c>
      <c r="AS24" s="37" t="s">
        <v>521</v>
      </c>
    </row>
    <row r="25" spans="1:45" s="2" customFormat="1" ht="15.75" x14ac:dyDescent="0.25">
      <c r="A25" s="2" t="s">
        <v>544</v>
      </c>
      <c r="B25" s="2">
        <v>0</v>
      </c>
      <c r="C25" s="2">
        <v>54.585999999999999</v>
      </c>
      <c r="D25" s="2">
        <v>1.369</v>
      </c>
      <c r="E25" s="2">
        <v>0.11600000000000001</v>
      </c>
      <c r="F25" s="2">
        <v>1.3320000000000001</v>
      </c>
      <c r="G25" s="2">
        <v>41.820999999999998</v>
      </c>
      <c r="H25" s="2">
        <v>0</v>
      </c>
      <c r="I25" s="2">
        <v>1.839</v>
      </c>
      <c r="J25" s="2">
        <v>0.19500000000000001</v>
      </c>
      <c r="K25" s="2">
        <v>8.2000000000000003E-2</v>
      </c>
      <c r="L25" s="2">
        <v>0</v>
      </c>
      <c r="M25" s="2">
        <v>0</v>
      </c>
      <c r="N25" s="2">
        <v>3.2000000000000001E-2</v>
      </c>
      <c r="O25" s="2">
        <v>0.36699999999999999</v>
      </c>
      <c r="P25" s="2">
        <v>100.834</v>
      </c>
      <c r="R25" s="2">
        <v>0</v>
      </c>
      <c r="S25" s="2">
        <v>9.3748000000000005</v>
      </c>
      <c r="T25" s="2">
        <v>0.1835</v>
      </c>
      <c r="U25" s="2">
        <v>1.4E-2</v>
      </c>
      <c r="V25" s="2">
        <v>0.64349999999999996</v>
      </c>
      <c r="W25" s="2">
        <v>5.6755000000000004</v>
      </c>
      <c r="X25" s="2">
        <v>1.6899999999999998E-2</v>
      </c>
      <c r="Y25" s="2">
        <v>0.47639999999999999</v>
      </c>
      <c r="Z25" s="2">
        <v>2.3400000000000001E-2</v>
      </c>
      <c r="AA25" s="2">
        <v>1.12E-2</v>
      </c>
      <c r="AB25" s="2">
        <v>0</v>
      </c>
      <c r="AC25" s="2">
        <v>0</v>
      </c>
      <c r="AD25" s="2">
        <v>6.1000000000000004E-3</v>
      </c>
      <c r="AE25" s="2">
        <v>5.8799999999999998E-2</v>
      </c>
      <c r="AF25" s="2">
        <v>16.484100000000002</v>
      </c>
      <c r="AH25" s="2">
        <f>V25+Y25</f>
        <v>1.1198999999999999</v>
      </c>
      <c r="AI25" s="2">
        <f>(2/26*24)-AH25</f>
        <v>0.72625384615384636</v>
      </c>
      <c r="AM25" s="2">
        <v>0.64349999999999996</v>
      </c>
      <c r="AN25" s="2">
        <v>0.47639999999999999</v>
      </c>
      <c r="AO25" s="2">
        <v>0.72625384615384636</v>
      </c>
      <c r="AQ25" s="2">
        <f>AM25/(AM25+AN25+AO25)*100</f>
        <v>34.856249999999996</v>
      </c>
      <c r="AR25" s="2">
        <f>AN25/(AM25+AN25+AO25)*100</f>
        <v>25.805</v>
      </c>
      <c r="AS25" s="2">
        <f>AO25/(AO25+AN25+AM25)*100</f>
        <v>39.338750000000012</v>
      </c>
    </row>
    <row r="26" spans="1:45" s="2" customFormat="1" ht="15.75" x14ac:dyDescent="0.25">
      <c r="A26" s="2" t="s">
        <v>567</v>
      </c>
      <c r="B26" s="2">
        <v>2.5000000000000001E-2</v>
      </c>
      <c r="C26" s="2">
        <v>53.790999999999997</v>
      </c>
      <c r="D26" s="2">
        <v>1.4219999999999999</v>
      </c>
      <c r="E26" s="2">
        <v>0.23200000000000001</v>
      </c>
      <c r="F26" s="2">
        <v>1.7050000000000001</v>
      </c>
      <c r="G26" s="2">
        <v>40.773000000000003</v>
      </c>
      <c r="H26" s="2">
        <v>0.38900000000000001</v>
      </c>
      <c r="I26" s="2">
        <v>1.5089999999999999</v>
      </c>
      <c r="J26" s="2">
        <v>0.109</v>
      </c>
      <c r="K26" s="2">
        <v>0.14299999999999999</v>
      </c>
      <c r="L26" s="2">
        <v>0</v>
      </c>
      <c r="M26" s="2">
        <v>0</v>
      </c>
      <c r="N26" s="2">
        <v>0.11600000000000001</v>
      </c>
      <c r="O26" s="2">
        <v>1.1020000000000001</v>
      </c>
      <c r="P26" s="2">
        <v>100.25700000000001</v>
      </c>
      <c r="R26" s="2">
        <v>5.3E-3</v>
      </c>
      <c r="S26" s="2">
        <v>9.6801999999999992</v>
      </c>
      <c r="T26" s="2">
        <v>0.19969999999999999</v>
      </c>
      <c r="U26" s="2">
        <v>2.93E-2</v>
      </c>
      <c r="V26" s="2">
        <v>0.8599</v>
      </c>
      <c r="W26" s="2">
        <v>5.7980999999999998</v>
      </c>
      <c r="X26" s="2">
        <v>9.7500000000000003E-2</v>
      </c>
      <c r="Y26" s="2">
        <v>0.40789999999999998</v>
      </c>
      <c r="Z26" s="2">
        <v>1.37E-2</v>
      </c>
      <c r="AA26" s="2">
        <v>2.0299999999999999E-2</v>
      </c>
      <c r="AB26" s="2">
        <v>0</v>
      </c>
      <c r="AC26" s="2">
        <v>0</v>
      </c>
      <c r="AD26" s="2">
        <v>2.3E-2</v>
      </c>
      <c r="AE26" s="2">
        <v>0.18509999999999999</v>
      </c>
      <c r="AF26" s="2">
        <v>17.32</v>
      </c>
      <c r="AH26" s="2">
        <f t="shared" ref="AH26:AH48" si="0">V26+Y26</f>
        <v>1.2678</v>
      </c>
      <c r="AI26" s="2">
        <f t="shared" ref="AI26:AI48" si="1">(2/26*24)-AH26</f>
        <v>0.57835384615384622</v>
      </c>
      <c r="AM26" s="2">
        <v>0.8599</v>
      </c>
      <c r="AN26" s="2">
        <v>0.40789999999999998</v>
      </c>
      <c r="AO26" s="2">
        <v>0.57835384615384622</v>
      </c>
      <c r="AQ26" s="2">
        <f t="shared" ref="AQ26:AQ48" si="2">AM26/(AM26+AN26+AO26)*100</f>
        <v>46.577916666666667</v>
      </c>
      <c r="AR26" s="2">
        <f t="shared" ref="AR26:AR48" si="3">AN26/(AM26+AN26+AO26)*100</f>
        <v>22.094583333333333</v>
      </c>
      <c r="AS26" s="2">
        <f t="shared" ref="AS26:AS48" si="4">AO26/(AO26+AN26+AM26)*100</f>
        <v>31.327500000000004</v>
      </c>
    </row>
    <row r="27" spans="1:45" s="2" customFormat="1" ht="15.75" x14ac:dyDescent="0.25">
      <c r="A27" s="2" t="s">
        <v>545</v>
      </c>
      <c r="B27" s="2">
        <v>0</v>
      </c>
      <c r="C27" s="2">
        <v>53.914999999999999</v>
      </c>
      <c r="D27" s="2">
        <v>1.0029999999999999</v>
      </c>
      <c r="E27" s="2">
        <v>0</v>
      </c>
      <c r="F27" s="2">
        <v>0.64300000000000002</v>
      </c>
      <c r="G27" s="2">
        <v>41.67</v>
      </c>
      <c r="H27" s="2">
        <v>0</v>
      </c>
      <c r="I27" s="2">
        <v>2.665</v>
      </c>
      <c r="J27" s="2">
        <v>0.124</v>
      </c>
      <c r="K27" s="2">
        <v>9.0999999999999998E-2</v>
      </c>
      <c r="L27" s="2">
        <v>0</v>
      </c>
      <c r="M27" s="2">
        <v>0.09</v>
      </c>
      <c r="N27" s="2">
        <v>0</v>
      </c>
      <c r="O27" s="2">
        <v>0.29499999999999998</v>
      </c>
      <c r="P27" s="2">
        <v>99.644000000000005</v>
      </c>
      <c r="R27" s="2">
        <v>5.9999999999999995E-4</v>
      </c>
      <c r="S27" s="2">
        <v>9.7667000000000002</v>
      </c>
      <c r="T27" s="2">
        <v>0.1419</v>
      </c>
      <c r="U27" s="2">
        <v>0</v>
      </c>
      <c r="V27" s="2">
        <v>0.32919999999999999</v>
      </c>
      <c r="W27" s="2">
        <v>5.9649000000000001</v>
      </c>
      <c r="X27" s="2">
        <v>0</v>
      </c>
      <c r="Y27" s="2">
        <v>0.73140000000000005</v>
      </c>
      <c r="Z27" s="2">
        <v>1.5699999999999999E-2</v>
      </c>
      <c r="AA27" s="2">
        <v>1.2999999999999999E-2</v>
      </c>
      <c r="AB27" s="2">
        <v>1.2999999999999999E-3</v>
      </c>
      <c r="AC27" s="2">
        <v>2.9600000000000001E-2</v>
      </c>
      <c r="AD27" s="2">
        <v>1.4E-3</v>
      </c>
      <c r="AE27" s="2">
        <v>4.99E-2</v>
      </c>
      <c r="AF27" s="2">
        <v>17.0456</v>
      </c>
      <c r="AH27" s="2">
        <f t="shared" si="0"/>
        <v>1.0606</v>
      </c>
      <c r="AI27" s="2">
        <f t="shared" si="1"/>
        <v>0.78555384615384627</v>
      </c>
      <c r="AM27" s="2">
        <v>0.32919999999999999</v>
      </c>
      <c r="AN27" s="2">
        <v>0.73140000000000005</v>
      </c>
      <c r="AO27" s="2">
        <v>0.78555384615384627</v>
      </c>
      <c r="AQ27" s="2">
        <f t="shared" si="2"/>
        <v>17.831666666666663</v>
      </c>
      <c r="AR27" s="2">
        <f t="shared" si="3"/>
        <v>39.6175</v>
      </c>
      <c r="AS27" s="2">
        <f t="shared" si="4"/>
        <v>42.550833333333337</v>
      </c>
    </row>
    <row r="28" spans="1:45" s="2" customFormat="1" ht="15.75" x14ac:dyDescent="0.25">
      <c r="A28" s="2" t="s">
        <v>546</v>
      </c>
      <c r="B28" s="2">
        <v>0.03</v>
      </c>
      <c r="C28" s="2">
        <v>53.936</v>
      </c>
      <c r="D28" s="2">
        <v>1.0620000000000001</v>
      </c>
      <c r="E28" s="2">
        <v>0</v>
      </c>
      <c r="F28" s="2">
        <v>0.98299999999999998</v>
      </c>
      <c r="G28" s="2">
        <v>42.136000000000003</v>
      </c>
      <c r="H28" s="2">
        <v>2.4E-2</v>
      </c>
      <c r="I28" s="2">
        <v>2.532</v>
      </c>
      <c r="J28" s="2">
        <v>7.5999999999999998E-2</v>
      </c>
      <c r="K28" s="2">
        <v>0.13300000000000001</v>
      </c>
      <c r="L28" s="2">
        <v>0</v>
      </c>
      <c r="M28" s="2">
        <v>0</v>
      </c>
      <c r="N28" s="2">
        <v>3.2000000000000001E-2</v>
      </c>
      <c r="O28" s="2">
        <v>0.376</v>
      </c>
      <c r="P28" s="2">
        <v>100.395</v>
      </c>
      <c r="R28" s="2">
        <v>6.4999999999999997E-3</v>
      </c>
      <c r="S28" s="2">
        <v>9.6900999999999993</v>
      </c>
      <c r="T28" s="2">
        <v>0.1489</v>
      </c>
      <c r="U28" s="2">
        <v>6.3E-3</v>
      </c>
      <c r="V28" s="2">
        <v>0.49690000000000001</v>
      </c>
      <c r="W28" s="2">
        <v>5.9817999999999998</v>
      </c>
      <c r="X28" s="2">
        <v>6.0000000000000001E-3</v>
      </c>
      <c r="Y28" s="2">
        <v>0.68559999999999999</v>
      </c>
      <c r="Z28" s="2">
        <v>9.5999999999999992E-3</v>
      </c>
      <c r="AA28" s="2">
        <v>1.89E-2</v>
      </c>
      <c r="AB28" s="2">
        <v>0</v>
      </c>
      <c r="AC28" s="2">
        <v>3.3E-3</v>
      </c>
      <c r="AD28" s="2">
        <v>6.3E-3</v>
      </c>
      <c r="AE28" s="2">
        <v>6.3E-2</v>
      </c>
      <c r="AF28" s="2">
        <v>17.123200000000001</v>
      </c>
      <c r="AH28" s="2">
        <f t="shared" si="0"/>
        <v>1.1825000000000001</v>
      </c>
      <c r="AI28" s="2">
        <f t="shared" si="1"/>
        <v>0.66365384615384615</v>
      </c>
      <c r="AM28" s="2">
        <v>0.49690000000000001</v>
      </c>
      <c r="AN28" s="2">
        <v>0.68559999999999999</v>
      </c>
      <c r="AO28" s="2">
        <v>0.66365384615384615</v>
      </c>
      <c r="AQ28" s="2">
        <f t="shared" si="2"/>
        <v>26.915416666666665</v>
      </c>
      <c r="AR28" s="2">
        <f t="shared" si="3"/>
        <v>37.136666666666663</v>
      </c>
      <c r="AS28" s="2">
        <f t="shared" si="4"/>
        <v>35.947916666666664</v>
      </c>
    </row>
    <row r="29" spans="1:45" s="2" customFormat="1" ht="15.75" x14ac:dyDescent="0.25">
      <c r="A29" s="2" t="s">
        <v>547</v>
      </c>
      <c r="B29" s="2">
        <v>0</v>
      </c>
      <c r="C29" s="2">
        <v>54.015999999999998</v>
      </c>
      <c r="D29" s="2">
        <v>1.47</v>
      </c>
      <c r="E29" s="2">
        <v>0</v>
      </c>
      <c r="F29" s="2">
        <v>1.0169999999999999</v>
      </c>
      <c r="G29" s="2">
        <v>41.860999999999997</v>
      </c>
      <c r="H29" s="2">
        <v>2.4E-2</v>
      </c>
      <c r="I29" s="2">
        <v>2.3580000000000001</v>
      </c>
      <c r="J29" s="2">
        <v>6.9000000000000006E-2</v>
      </c>
      <c r="K29" s="2">
        <v>0.151</v>
      </c>
      <c r="L29" s="2">
        <v>3.5000000000000003E-2</v>
      </c>
      <c r="M29" s="2">
        <v>8.5999999999999993E-2</v>
      </c>
      <c r="N29" s="2">
        <v>0</v>
      </c>
      <c r="O29" s="2">
        <v>0.13600000000000001</v>
      </c>
      <c r="P29" s="2">
        <v>100.26300000000001</v>
      </c>
      <c r="R29" s="2">
        <v>0</v>
      </c>
      <c r="S29" s="2">
        <v>9.7484000000000002</v>
      </c>
      <c r="T29" s="2">
        <v>0.20699999999999999</v>
      </c>
      <c r="U29" s="2">
        <v>0</v>
      </c>
      <c r="V29" s="2">
        <v>0.51670000000000005</v>
      </c>
      <c r="W29" s="2">
        <v>5.9696999999999996</v>
      </c>
      <c r="X29" s="2">
        <v>6.1000000000000004E-3</v>
      </c>
      <c r="Y29" s="2">
        <v>0.6421</v>
      </c>
      <c r="Z29" s="2">
        <v>8.6999999999999994E-3</v>
      </c>
      <c r="AA29" s="2">
        <v>2.1499999999999998E-2</v>
      </c>
      <c r="AB29" s="2">
        <v>4.5999999999999999E-3</v>
      </c>
      <c r="AC29" s="2">
        <v>2.8000000000000001E-2</v>
      </c>
      <c r="AD29" s="2">
        <v>0</v>
      </c>
      <c r="AE29" s="2">
        <v>2.2800000000000001E-2</v>
      </c>
      <c r="AF29" s="2">
        <v>17.175599999999999</v>
      </c>
      <c r="AH29" s="2">
        <f t="shared" si="0"/>
        <v>1.1588000000000001</v>
      </c>
      <c r="AI29" s="2">
        <f t="shared" si="1"/>
        <v>0.6873538461538462</v>
      </c>
      <c r="AM29" s="2">
        <v>0.51670000000000005</v>
      </c>
      <c r="AN29" s="2">
        <v>0.6421</v>
      </c>
      <c r="AO29" s="2">
        <v>0.6873538461538462</v>
      </c>
      <c r="AQ29" s="2">
        <f t="shared" si="2"/>
        <v>27.987916666666667</v>
      </c>
      <c r="AR29" s="2">
        <f t="shared" si="3"/>
        <v>34.78041666666666</v>
      </c>
      <c r="AS29" s="2">
        <f t="shared" si="4"/>
        <v>37.231666666666669</v>
      </c>
    </row>
    <row r="30" spans="1:45" s="2" customFormat="1" ht="15.75" x14ac:dyDescent="0.25">
      <c r="A30" s="2" t="s">
        <v>548</v>
      </c>
      <c r="B30" s="2">
        <v>2.1999999999999999E-2</v>
      </c>
      <c r="C30" s="2">
        <v>55.042000000000002</v>
      </c>
      <c r="D30" s="2">
        <v>0.82299999999999995</v>
      </c>
      <c r="E30" s="2">
        <v>0</v>
      </c>
      <c r="F30" s="2">
        <v>1.1890000000000001</v>
      </c>
      <c r="G30" s="2">
        <v>42.372999999999998</v>
      </c>
      <c r="H30" s="2">
        <v>0</v>
      </c>
      <c r="I30" s="2">
        <v>1.7490000000000001</v>
      </c>
      <c r="J30" s="2">
        <v>7.6999999999999999E-2</v>
      </c>
      <c r="K30" s="2">
        <v>9.9000000000000005E-2</v>
      </c>
      <c r="L30" s="2">
        <v>0</v>
      </c>
      <c r="M30" s="2">
        <v>0</v>
      </c>
      <c r="N30" s="2">
        <v>1.7000000000000001E-2</v>
      </c>
      <c r="O30" s="2">
        <v>0</v>
      </c>
      <c r="P30" s="2">
        <v>100.504</v>
      </c>
      <c r="R30" s="2">
        <v>4.7000000000000002E-3</v>
      </c>
      <c r="S30" s="2">
        <v>9.8512000000000004</v>
      </c>
      <c r="T30" s="2">
        <v>0.115</v>
      </c>
      <c r="U30" s="2">
        <v>0</v>
      </c>
      <c r="V30" s="2">
        <v>0.60099999999999998</v>
      </c>
      <c r="W30" s="2">
        <v>5.9926000000000004</v>
      </c>
      <c r="X30" s="2">
        <v>2.2000000000000001E-3</v>
      </c>
      <c r="Y30" s="2">
        <v>0.47399999999999998</v>
      </c>
      <c r="Z30" s="2">
        <v>9.5999999999999992E-3</v>
      </c>
      <c r="AA30" s="2">
        <v>1.3899999999999999E-2</v>
      </c>
      <c r="AB30" s="2">
        <v>0</v>
      </c>
      <c r="AC30" s="2">
        <v>0</v>
      </c>
      <c r="AD30" s="2">
        <v>3.3E-3</v>
      </c>
      <c r="AE30" s="2">
        <v>0</v>
      </c>
      <c r="AF30" s="2">
        <v>17.067499999999999</v>
      </c>
      <c r="AH30" s="2">
        <f t="shared" si="0"/>
        <v>1.075</v>
      </c>
      <c r="AI30" s="2">
        <f t="shared" si="1"/>
        <v>0.7711538461538463</v>
      </c>
      <c r="AM30" s="2">
        <v>0.60099999999999998</v>
      </c>
      <c r="AN30" s="2">
        <v>0.47399999999999998</v>
      </c>
      <c r="AO30" s="2">
        <v>0.7711538461538463</v>
      </c>
      <c r="AQ30" s="2">
        <f t="shared" si="2"/>
        <v>32.55416666666666</v>
      </c>
      <c r="AR30" s="2">
        <f t="shared" si="3"/>
        <v>25.674999999999997</v>
      </c>
      <c r="AS30" s="2">
        <f t="shared" si="4"/>
        <v>41.770833333333343</v>
      </c>
    </row>
    <row r="31" spans="1:45" s="2" customFormat="1" ht="15.75" x14ac:dyDescent="0.25">
      <c r="A31" s="2" t="s">
        <v>549</v>
      </c>
      <c r="B31" s="2">
        <v>5.8000000000000003E-2</v>
      </c>
      <c r="C31" s="2">
        <v>52.405000000000001</v>
      </c>
      <c r="D31" s="2">
        <v>2.8969999999999998</v>
      </c>
      <c r="E31" s="2">
        <v>0</v>
      </c>
      <c r="F31" s="2">
        <v>0.88500000000000001</v>
      </c>
      <c r="G31" s="2">
        <v>40.706000000000003</v>
      </c>
      <c r="H31" s="2">
        <v>0.13</v>
      </c>
      <c r="I31" s="2">
        <v>2.758</v>
      </c>
      <c r="J31" s="2">
        <v>0.156</v>
      </c>
      <c r="K31" s="2">
        <v>0.21099999999999999</v>
      </c>
      <c r="L31" s="2">
        <v>3.2000000000000001E-2</v>
      </c>
      <c r="M31" s="2">
        <v>0.13200000000000001</v>
      </c>
      <c r="N31" s="2">
        <v>0.16700000000000001</v>
      </c>
      <c r="O31" s="2">
        <v>0.32500000000000001</v>
      </c>
      <c r="P31" s="2">
        <v>99.867000000000004</v>
      </c>
      <c r="R31" s="2">
        <v>1.26E-2</v>
      </c>
      <c r="S31" s="2">
        <v>9.5749999999999993</v>
      </c>
      <c r="T31" s="2">
        <v>0.41320000000000001</v>
      </c>
      <c r="U31" s="2">
        <v>0</v>
      </c>
      <c r="V31" s="2">
        <v>0.45419999999999999</v>
      </c>
      <c r="W31" s="2">
        <v>5.8769999999999998</v>
      </c>
      <c r="X31" s="2">
        <v>3.3099999999999997E-2</v>
      </c>
      <c r="Y31" s="2">
        <v>0.75860000000000005</v>
      </c>
      <c r="Z31" s="2">
        <v>0.02</v>
      </c>
      <c r="AA31" s="2">
        <v>3.04E-2</v>
      </c>
      <c r="AB31" s="2">
        <v>4.4000000000000003E-3</v>
      </c>
      <c r="AC31" s="2">
        <v>4.36E-2</v>
      </c>
      <c r="AD31" s="2">
        <v>3.3599999999999998E-2</v>
      </c>
      <c r="AE31" s="2">
        <v>5.5500000000000001E-2</v>
      </c>
      <c r="AF31" s="2">
        <v>17.311199999999999</v>
      </c>
      <c r="AH31" s="2">
        <f t="shared" si="0"/>
        <v>1.2128000000000001</v>
      </c>
      <c r="AI31" s="2">
        <f t="shared" si="1"/>
        <v>0.63335384615384616</v>
      </c>
      <c r="AM31" s="2">
        <v>0.45419999999999999</v>
      </c>
      <c r="AN31" s="2">
        <v>0.75860000000000005</v>
      </c>
      <c r="AO31" s="2">
        <v>0.63335384615384616</v>
      </c>
      <c r="AQ31" s="2">
        <f t="shared" si="2"/>
        <v>24.602499999999999</v>
      </c>
      <c r="AR31" s="2">
        <f t="shared" si="3"/>
        <v>41.090833333333329</v>
      </c>
      <c r="AS31" s="2">
        <f t="shared" si="4"/>
        <v>34.306666666666672</v>
      </c>
    </row>
    <row r="32" spans="1:45" s="2" customFormat="1" ht="15.75" x14ac:dyDescent="0.25">
      <c r="A32" s="2" t="s">
        <v>550</v>
      </c>
      <c r="B32" s="2">
        <v>0</v>
      </c>
      <c r="C32" s="2">
        <v>53.939</v>
      </c>
      <c r="D32" s="2">
        <v>0.94</v>
      </c>
      <c r="E32" s="2">
        <v>0</v>
      </c>
      <c r="F32" s="2">
        <v>0.65200000000000002</v>
      </c>
      <c r="G32" s="2">
        <v>41.96</v>
      </c>
      <c r="H32" s="2">
        <v>0</v>
      </c>
      <c r="I32" s="2">
        <v>2.6309999999999998</v>
      </c>
      <c r="J32" s="2">
        <v>7.3999999999999996E-2</v>
      </c>
      <c r="K32" s="2">
        <v>0.10299999999999999</v>
      </c>
      <c r="L32" s="2">
        <v>0</v>
      </c>
      <c r="M32" s="2">
        <v>8.5000000000000006E-2</v>
      </c>
      <c r="N32" s="2">
        <v>0</v>
      </c>
      <c r="O32" s="2">
        <v>9.8000000000000004E-2</v>
      </c>
      <c r="P32" s="2">
        <v>99.671999999999997</v>
      </c>
      <c r="R32" s="2">
        <v>5.9999999999999995E-4</v>
      </c>
      <c r="S32" s="2">
        <v>9.7614000000000001</v>
      </c>
      <c r="T32" s="2">
        <v>0.13270000000000001</v>
      </c>
      <c r="U32" s="2">
        <v>6.3E-3</v>
      </c>
      <c r="V32" s="2">
        <v>0.33339999999999997</v>
      </c>
      <c r="W32" s="2">
        <v>6.0004999999999997</v>
      </c>
      <c r="X32" s="2">
        <v>0</v>
      </c>
      <c r="Y32" s="2">
        <v>0.72140000000000004</v>
      </c>
      <c r="Z32" s="2">
        <v>9.4000000000000004E-3</v>
      </c>
      <c r="AA32" s="2">
        <v>1.47E-2</v>
      </c>
      <c r="AB32" s="2">
        <v>0</v>
      </c>
      <c r="AC32" s="2">
        <v>2.7900000000000001E-2</v>
      </c>
      <c r="AD32" s="2">
        <v>1.1999999999999999E-3</v>
      </c>
      <c r="AE32" s="2">
        <v>1.6500000000000001E-2</v>
      </c>
      <c r="AF32" s="2">
        <v>17.026</v>
      </c>
      <c r="AH32" s="2">
        <f t="shared" si="0"/>
        <v>1.0548</v>
      </c>
      <c r="AI32" s="2">
        <f t="shared" si="1"/>
        <v>0.7913538461538463</v>
      </c>
      <c r="AM32" s="2">
        <v>0.33339999999999997</v>
      </c>
      <c r="AN32" s="2">
        <v>0.72140000000000004</v>
      </c>
      <c r="AO32" s="2">
        <v>0.7913538461538463</v>
      </c>
      <c r="AQ32" s="2">
        <f t="shared" si="2"/>
        <v>18.059166666666666</v>
      </c>
      <c r="AR32" s="2">
        <f t="shared" si="3"/>
        <v>39.075833333333335</v>
      </c>
      <c r="AS32" s="2">
        <f t="shared" si="4"/>
        <v>42.865000000000002</v>
      </c>
    </row>
    <row r="33" spans="1:45" s="2" customFormat="1" ht="15.75" x14ac:dyDescent="0.25">
      <c r="A33" s="2" t="s">
        <v>551</v>
      </c>
      <c r="B33" s="2">
        <v>0</v>
      </c>
      <c r="C33" s="2">
        <v>52.997999999999998</v>
      </c>
      <c r="D33" s="2">
        <v>1.0449999999999999</v>
      </c>
      <c r="E33" s="2">
        <v>0</v>
      </c>
      <c r="F33" s="2">
        <v>0.81799999999999995</v>
      </c>
      <c r="G33" s="2">
        <v>41.756999999999998</v>
      </c>
      <c r="H33" s="2">
        <v>0</v>
      </c>
      <c r="I33" s="2">
        <v>3.117</v>
      </c>
      <c r="J33" s="2">
        <v>0.13200000000000001</v>
      </c>
      <c r="K33" s="2">
        <v>0.13300000000000001</v>
      </c>
      <c r="L33" s="2">
        <v>0</v>
      </c>
      <c r="M33" s="2">
        <v>7.0000000000000007E-2</v>
      </c>
      <c r="N33" s="2">
        <v>0</v>
      </c>
      <c r="O33" s="2">
        <v>0.13900000000000001</v>
      </c>
      <c r="P33" s="2">
        <v>99.177000000000007</v>
      </c>
      <c r="R33" s="2">
        <v>0</v>
      </c>
      <c r="S33" s="2">
        <v>9.6690000000000005</v>
      </c>
      <c r="T33" s="2">
        <v>0.14879999999999999</v>
      </c>
      <c r="U33" s="2">
        <v>0</v>
      </c>
      <c r="V33" s="2">
        <v>0.41799999999999998</v>
      </c>
      <c r="W33" s="2">
        <v>6.0198999999999998</v>
      </c>
      <c r="X33" s="2">
        <v>3.8E-3</v>
      </c>
      <c r="Y33" s="2">
        <v>0.85389999999999999</v>
      </c>
      <c r="Z33" s="2">
        <v>1.6899999999999998E-2</v>
      </c>
      <c r="AA33" s="2">
        <v>1.9099999999999999E-2</v>
      </c>
      <c r="AB33" s="2">
        <v>0</v>
      </c>
      <c r="AC33" s="2">
        <v>2.3099999999999999E-2</v>
      </c>
      <c r="AD33" s="2">
        <v>0</v>
      </c>
      <c r="AE33" s="2">
        <v>2.3599999999999999E-2</v>
      </c>
      <c r="AF33" s="2">
        <v>17.196100000000001</v>
      </c>
      <c r="AH33" s="2">
        <f t="shared" si="0"/>
        <v>1.2719</v>
      </c>
      <c r="AI33" s="2">
        <f t="shared" si="1"/>
        <v>0.57425384615384623</v>
      </c>
      <c r="AM33" s="2">
        <v>0.41799999999999998</v>
      </c>
      <c r="AN33" s="2">
        <v>0.85389999999999999</v>
      </c>
      <c r="AO33" s="2">
        <v>0.57425384615384623</v>
      </c>
      <c r="AQ33" s="2">
        <f t="shared" si="2"/>
        <v>22.641666666666666</v>
      </c>
      <c r="AR33" s="2">
        <f t="shared" si="3"/>
        <v>46.252916666666664</v>
      </c>
      <c r="AS33" s="2">
        <f t="shared" si="4"/>
        <v>31.105416666666674</v>
      </c>
    </row>
    <row r="34" spans="1:45" s="2" customFormat="1" ht="15.75" x14ac:dyDescent="0.25">
      <c r="A34" s="2" t="s">
        <v>552</v>
      </c>
      <c r="B34" s="2">
        <v>4.3999999999999997E-2</v>
      </c>
      <c r="C34" s="2">
        <v>53.874000000000002</v>
      </c>
      <c r="D34" s="2">
        <v>1.1619999999999999</v>
      </c>
      <c r="E34" s="2">
        <v>0</v>
      </c>
      <c r="F34" s="2">
        <v>0.64200000000000002</v>
      </c>
      <c r="G34" s="2">
        <v>42.103000000000002</v>
      </c>
      <c r="H34" s="2">
        <v>0</v>
      </c>
      <c r="I34" s="2">
        <v>2.7309999999999999</v>
      </c>
      <c r="J34" s="2">
        <v>0.157</v>
      </c>
      <c r="K34" s="2">
        <v>0.121</v>
      </c>
      <c r="L34" s="2">
        <v>0</v>
      </c>
      <c r="M34" s="2">
        <v>0.05</v>
      </c>
      <c r="N34" s="2">
        <v>0</v>
      </c>
      <c r="O34" s="2">
        <v>0</v>
      </c>
      <c r="P34" s="2">
        <v>100.035</v>
      </c>
      <c r="R34" s="2">
        <v>9.4999999999999998E-3</v>
      </c>
      <c r="S34" s="2">
        <v>9.7232000000000003</v>
      </c>
      <c r="T34" s="2">
        <v>0.16370000000000001</v>
      </c>
      <c r="U34" s="2">
        <v>0</v>
      </c>
      <c r="V34" s="2">
        <v>0.32729999999999998</v>
      </c>
      <c r="W34" s="2">
        <v>6.0044000000000004</v>
      </c>
      <c r="X34" s="2">
        <v>0</v>
      </c>
      <c r="Y34" s="2">
        <v>0.74639999999999995</v>
      </c>
      <c r="Z34" s="2">
        <v>1.9800000000000002E-2</v>
      </c>
      <c r="AA34" s="2">
        <v>1.72E-2</v>
      </c>
      <c r="AB34" s="2">
        <v>0</v>
      </c>
      <c r="AC34" s="2">
        <v>1.6400000000000001E-2</v>
      </c>
      <c r="AD34" s="2">
        <v>0</v>
      </c>
      <c r="AE34" s="2">
        <v>6.3E-3</v>
      </c>
      <c r="AF34" s="2">
        <v>17.034199999999998</v>
      </c>
      <c r="AH34" s="2">
        <f t="shared" si="0"/>
        <v>1.0736999999999999</v>
      </c>
      <c r="AI34" s="2">
        <f t="shared" si="1"/>
        <v>0.77245384615384638</v>
      </c>
      <c r="AM34" s="2">
        <v>0.32729999999999998</v>
      </c>
      <c r="AN34" s="2">
        <v>0.74639999999999995</v>
      </c>
      <c r="AO34" s="2">
        <v>0.77245384615384638</v>
      </c>
      <c r="AQ34" s="2">
        <f t="shared" si="2"/>
        <v>17.728749999999998</v>
      </c>
      <c r="AR34" s="2">
        <f t="shared" si="3"/>
        <v>40.429999999999993</v>
      </c>
      <c r="AS34" s="2">
        <f t="shared" si="4"/>
        <v>41.841250000000009</v>
      </c>
    </row>
    <row r="35" spans="1:45" s="2" customFormat="1" ht="15.75" x14ac:dyDescent="0.25">
      <c r="A35" s="2" t="s">
        <v>553</v>
      </c>
      <c r="B35" s="2">
        <v>0</v>
      </c>
      <c r="C35" s="2">
        <v>53.683</v>
      </c>
      <c r="D35" s="2">
        <v>0.96</v>
      </c>
      <c r="E35" s="2">
        <v>0</v>
      </c>
      <c r="F35" s="2">
        <v>0.63500000000000001</v>
      </c>
      <c r="G35" s="2">
        <v>41.784999999999997</v>
      </c>
      <c r="H35" s="2">
        <v>2.5000000000000001E-2</v>
      </c>
      <c r="I35" s="2">
        <v>2.8559999999999999</v>
      </c>
      <c r="J35" s="2">
        <v>0.111</v>
      </c>
      <c r="K35" s="2">
        <v>0.20699999999999999</v>
      </c>
      <c r="L35" s="2">
        <v>0</v>
      </c>
      <c r="M35" s="2">
        <v>0.05</v>
      </c>
      <c r="N35" s="2">
        <v>0</v>
      </c>
      <c r="O35" s="2">
        <v>0</v>
      </c>
      <c r="P35" s="2">
        <v>99.450999999999993</v>
      </c>
      <c r="R35" s="2">
        <v>0</v>
      </c>
      <c r="S35" s="2">
        <v>9.7574000000000005</v>
      </c>
      <c r="T35" s="2">
        <v>0.13619999999999999</v>
      </c>
      <c r="U35" s="2">
        <v>0</v>
      </c>
      <c r="V35" s="2">
        <v>0.32540000000000002</v>
      </c>
      <c r="W35" s="2">
        <v>6.0014000000000003</v>
      </c>
      <c r="X35" s="2">
        <v>6.4000000000000003E-3</v>
      </c>
      <c r="Y35" s="2">
        <v>0.78469999999999995</v>
      </c>
      <c r="Z35" s="2">
        <v>1.41E-2</v>
      </c>
      <c r="AA35" s="2">
        <v>2.9700000000000001E-2</v>
      </c>
      <c r="AB35" s="2">
        <v>6.9999999999999999E-4</v>
      </c>
      <c r="AC35" s="2">
        <v>1.6500000000000001E-2</v>
      </c>
      <c r="AD35" s="2">
        <v>2.5000000000000001E-3</v>
      </c>
      <c r="AE35" s="2">
        <v>5.7000000000000002E-3</v>
      </c>
      <c r="AF35" s="2">
        <v>17.0807</v>
      </c>
      <c r="AH35" s="2">
        <f t="shared" si="0"/>
        <v>1.1101000000000001</v>
      </c>
      <c r="AI35" s="2">
        <f t="shared" si="1"/>
        <v>0.73605384615384617</v>
      </c>
      <c r="AM35" s="2">
        <v>0.32540000000000002</v>
      </c>
      <c r="AN35" s="2">
        <v>0.78469999999999995</v>
      </c>
      <c r="AO35" s="2">
        <v>0.73605384615384617</v>
      </c>
      <c r="AQ35" s="2">
        <f t="shared" si="2"/>
        <v>17.625833333333333</v>
      </c>
      <c r="AR35" s="2">
        <f t="shared" si="3"/>
        <v>42.504583333333329</v>
      </c>
      <c r="AS35" s="2">
        <f t="shared" si="4"/>
        <v>39.869583333333331</v>
      </c>
    </row>
    <row r="36" spans="1:45" s="2" customFormat="1" ht="15.75" x14ac:dyDescent="0.25">
      <c r="A36" s="2" t="s">
        <v>554</v>
      </c>
      <c r="B36" s="2">
        <v>0</v>
      </c>
      <c r="C36" s="2">
        <v>54.055</v>
      </c>
      <c r="D36" s="2">
        <v>1.077</v>
      </c>
      <c r="E36" s="2">
        <v>0.11600000000000001</v>
      </c>
      <c r="F36" s="2">
        <v>0.70399999999999996</v>
      </c>
      <c r="G36" s="2">
        <v>41.353999999999999</v>
      </c>
      <c r="H36" s="2">
        <v>0</v>
      </c>
      <c r="I36" s="2">
        <v>3.387</v>
      </c>
      <c r="J36" s="2">
        <v>7.1999999999999995E-2</v>
      </c>
      <c r="K36" s="2">
        <v>6.4000000000000001E-2</v>
      </c>
      <c r="L36" s="2">
        <v>0</v>
      </c>
      <c r="M36" s="2">
        <v>0.12</v>
      </c>
      <c r="N36" s="2">
        <v>2.5999999999999999E-2</v>
      </c>
      <c r="O36" s="2">
        <v>7.0999999999999994E-2</v>
      </c>
      <c r="P36" s="2">
        <v>99.986000000000004</v>
      </c>
      <c r="R36" s="2">
        <v>0</v>
      </c>
      <c r="S36" s="2">
        <v>9.8468999999999998</v>
      </c>
      <c r="T36" s="2">
        <v>0.15310000000000001</v>
      </c>
      <c r="U36" s="2">
        <v>1.49E-2</v>
      </c>
      <c r="V36" s="2">
        <v>0.3589</v>
      </c>
      <c r="W36" s="2">
        <v>5.9527000000000001</v>
      </c>
      <c r="X36" s="2">
        <v>0</v>
      </c>
      <c r="Y36" s="2">
        <v>0.92589999999999995</v>
      </c>
      <c r="Z36" s="2">
        <v>9.1000000000000004E-3</v>
      </c>
      <c r="AA36" s="2">
        <v>9.2999999999999992E-3</v>
      </c>
      <c r="AB36" s="2">
        <v>0</v>
      </c>
      <c r="AC36" s="2">
        <v>3.9600000000000003E-2</v>
      </c>
      <c r="AD36" s="2">
        <v>5.1999999999999998E-3</v>
      </c>
      <c r="AE36" s="2">
        <v>1.21E-2</v>
      </c>
      <c r="AF36" s="2">
        <v>17.3277</v>
      </c>
      <c r="AH36" s="2">
        <f t="shared" si="0"/>
        <v>1.2847999999999999</v>
      </c>
      <c r="AI36" s="2">
        <f t="shared" si="1"/>
        <v>0.56135384615384631</v>
      </c>
      <c r="AM36" s="2">
        <v>0.3589</v>
      </c>
      <c r="AN36" s="2">
        <v>0.92589999999999995</v>
      </c>
      <c r="AO36" s="2">
        <v>0.56135384615384631</v>
      </c>
      <c r="AQ36" s="2">
        <f t="shared" si="2"/>
        <v>19.440416666666664</v>
      </c>
      <c r="AR36" s="2">
        <f t="shared" si="3"/>
        <v>50.152916666666655</v>
      </c>
      <c r="AS36" s="2">
        <f t="shared" si="4"/>
        <v>30.406666666666677</v>
      </c>
    </row>
    <row r="37" spans="1:45" s="2" customFormat="1" ht="15.75" x14ac:dyDescent="0.25">
      <c r="A37" s="2" t="s">
        <v>555</v>
      </c>
      <c r="B37" s="2">
        <v>0</v>
      </c>
      <c r="C37" s="2">
        <v>53.484000000000002</v>
      </c>
      <c r="D37" s="2">
        <v>1.008</v>
      </c>
      <c r="E37" s="2">
        <v>0</v>
      </c>
      <c r="F37" s="2">
        <v>0.48399999999999999</v>
      </c>
      <c r="G37" s="2">
        <v>41.713999999999999</v>
      </c>
      <c r="H37" s="2">
        <v>0</v>
      </c>
      <c r="I37" s="2">
        <v>2.5529999999999999</v>
      </c>
      <c r="J37" s="2">
        <v>0.111</v>
      </c>
      <c r="K37" s="2">
        <v>0.17499999999999999</v>
      </c>
      <c r="L37" s="2">
        <v>0</v>
      </c>
      <c r="M37" s="2">
        <v>0.09</v>
      </c>
      <c r="N37" s="2">
        <v>0</v>
      </c>
      <c r="O37" s="2">
        <v>0.09</v>
      </c>
      <c r="P37" s="2">
        <v>98.945999999999998</v>
      </c>
      <c r="R37" s="2">
        <v>0</v>
      </c>
      <c r="S37" s="2">
        <v>9.7370000000000001</v>
      </c>
      <c r="T37" s="2">
        <v>0.14319999999999999</v>
      </c>
      <c r="U37" s="2">
        <v>2.0999999999999999E-3</v>
      </c>
      <c r="V37" s="2">
        <v>0.25009999999999999</v>
      </c>
      <c r="W37" s="2">
        <v>6.0008999999999997</v>
      </c>
      <c r="X37" s="2">
        <v>0</v>
      </c>
      <c r="Y37" s="2">
        <v>0.70709999999999995</v>
      </c>
      <c r="Z37" s="2">
        <v>1.4200000000000001E-2</v>
      </c>
      <c r="AA37" s="2">
        <v>2.52E-2</v>
      </c>
      <c r="AB37" s="2">
        <v>0</v>
      </c>
      <c r="AC37" s="2">
        <v>2.9700000000000001E-2</v>
      </c>
      <c r="AD37" s="2">
        <v>0</v>
      </c>
      <c r="AE37" s="2">
        <v>1.54E-2</v>
      </c>
      <c r="AF37" s="2">
        <v>16.924900000000001</v>
      </c>
      <c r="AH37" s="2">
        <f t="shared" si="0"/>
        <v>0.95719999999999994</v>
      </c>
      <c r="AI37" s="2">
        <f t="shared" si="1"/>
        <v>0.88895384615384632</v>
      </c>
      <c r="AM37" s="2">
        <v>0.25009999999999999</v>
      </c>
      <c r="AN37" s="2">
        <v>0.70709999999999995</v>
      </c>
      <c r="AO37" s="2">
        <v>0.88895384615384632</v>
      </c>
      <c r="AQ37" s="2">
        <f t="shared" si="2"/>
        <v>13.547083333333331</v>
      </c>
      <c r="AR37" s="2">
        <f t="shared" si="3"/>
        <v>38.301249999999996</v>
      </c>
      <c r="AS37" s="2">
        <f t="shared" si="4"/>
        <v>48.151666666666671</v>
      </c>
    </row>
    <row r="38" spans="1:45" s="2" customFormat="1" ht="15.75" x14ac:dyDescent="0.25">
      <c r="A38" s="2" t="s">
        <v>556</v>
      </c>
      <c r="B38" s="2">
        <v>4.2000000000000003E-2</v>
      </c>
      <c r="C38" s="2">
        <v>53.576999999999998</v>
      </c>
      <c r="D38" s="2">
        <v>0.82199999999999995</v>
      </c>
      <c r="E38" s="2">
        <v>0</v>
      </c>
      <c r="F38" s="2">
        <v>0.11899999999999999</v>
      </c>
      <c r="G38" s="2">
        <v>41.481000000000002</v>
      </c>
      <c r="H38" s="2">
        <v>0.125</v>
      </c>
      <c r="I38" s="2">
        <v>5.173</v>
      </c>
      <c r="J38" s="2">
        <v>7.6999999999999999E-2</v>
      </c>
      <c r="K38" s="2">
        <v>0.183</v>
      </c>
      <c r="L38" s="2">
        <v>3.2000000000000001E-2</v>
      </c>
      <c r="M38" s="2">
        <v>0.29299999999999998</v>
      </c>
      <c r="N38" s="2">
        <v>0.121</v>
      </c>
      <c r="O38" s="2">
        <v>0.111</v>
      </c>
      <c r="P38" s="2">
        <v>100.93899999999999</v>
      </c>
      <c r="R38" s="2">
        <v>8.9999999999999993E-3</v>
      </c>
      <c r="S38" s="2">
        <v>9.7499000000000002</v>
      </c>
      <c r="T38" s="2">
        <v>0.1168</v>
      </c>
      <c r="U38" s="2">
        <v>0</v>
      </c>
      <c r="V38" s="2">
        <v>6.0100000000000001E-2</v>
      </c>
      <c r="W38" s="2">
        <v>5.9649999999999999</v>
      </c>
      <c r="X38" s="2">
        <v>3.1699999999999999E-2</v>
      </c>
      <c r="Y38" s="2">
        <v>1.4020999999999999</v>
      </c>
      <c r="Z38" s="2">
        <v>9.7999999999999997E-3</v>
      </c>
      <c r="AA38" s="2">
        <v>2.63E-2</v>
      </c>
      <c r="AB38" s="2">
        <v>4.4000000000000003E-3</v>
      </c>
      <c r="AC38" s="2">
        <v>9.64E-2</v>
      </c>
      <c r="AD38" s="2">
        <v>2.4199999999999999E-2</v>
      </c>
      <c r="AE38" s="2">
        <v>1.89E-2</v>
      </c>
      <c r="AF38" s="2">
        <v>17.514600000000002</v>
      </c>
      <c r="AH38" s="2">
        <f t="shared" si="0"/>
        <v>1.4621999999999999</v>
      </c>
      <c r="AI38" s="2">
        <f t="shared" si="1"/>
        <v>0.38395384615384631</v>
      </c>
      <c r="AM38" s="2">
        <v>6.0100000000000001E-2</v>
      </c>
      <c r="AN38" s="2">
        <v>1.4020999999999999</v>
      </c>
      <c r="AO38" s="2">
        <v>0.38395384615384631</v>
      </c>
      <c r="AQ38" s="2">
        <f t="shared" si="2"/>
        <v>3.2554166666666662</v>
      </c>
      <c r="AR38" s="2">
        <f t="shared" si="3"/>
        <v>75.947083333333325</v>
      </c>
      <c r="AS38" s="2">
        <f t="shared" si="4"/>
        <v>20.797500000000007</v>
      </c>
    </row>
    <row r="39" spans="1:45" s="2" customFormat="1" ht="15.75" x14ac:dyDescent="0.25">
      <c r="A39" s="2" t="s">
        <v>557</v>
      </c>
      <c r="B39" s="2">
        <v>5.5E-2</v>
      </c>
      <c r="C39" s="2">
        <v>53.411000000000001</v>
      </c>
      <c r="D39" s="2">
        <v>0.97199999999999998</v>
      </c>
      <c r="E39" s="2">
        <v>0</v>
      </c>
      <c r="F39" s="2">
        <v>0.29599999999999999</v>
      </c>
      <c r="G39" s="2">
        <v>41.942</v>
      </c>
      <c r="H39" s="2">
        <v>0</v>
      </c>
      <c r="I39" s="2">
        <v>2.9870000000000001</v>
      </c>
      <c r="J39" s="2">
        <v>0.129</v>
      </c>
      <c r="K39" s="2">
        <v>0.23100000000000001</v>
      </c>
      <c r="L39" s="2">
        <v>0</v>
      </c>
      <c r="M39" s="2">
        <v>6.5000000000000002E-2</v>
      </c>
      <c r="N39" s="2">
        <v>0</v>
      </c>
      <c r="O39" s="2">
        <v>0</v>
      </c>
      <c r="P39" s="2">
        <v>99.3</v>
      </c>
      <c r="R39" s="2">
        <v>1.1900000000000001E-2</v>
      </c>
      <c r="S39" s="2">
        <v>9.7047000000000008</v>
      </c>
      <c r="T39" s="2">
        <v>0.13780000000000001</v>
      </c>
      <c r="U39" s="2">
        <v>0</v>
      </c>
      <c r="V39" s="2">
        <v>0.15279999999999999</v>
      </c>
      <c r="W39" s="2">
        <v>6.0220000000000002</v>
      </c>
      <c r="X39" s="2">
        <v>1.9E-3</v>
      </c>
      <c r="Y39" s="2">
        <v>0.82489999999999997</v>
      </c>
      <c r="Z39" s="2">
        <v>1.6500000000000001E-2</v>
      </c>
      <c r="AA39" s="2">
        <v>3.32E-2</v>
      </c>
      <c r="AB39" s="2">
        <v>0</v>
      </c>
      <c r="AC39" s="2">
        <v>2.1399999999999999E-2</v>
      </c>
      <c r="AD39" s="2">
        <v>8.0000000000000004E-4</v>
      </c>
      <c r="AE39" s="2">
        <v>0</v>
      </c>
      <c r="AF39" s="2">
        <v>16.927900000000001</v>
      </c>
      <c r="AH39" s="2">
        <f t="shared" si="0"/>
        <v>0.97770000000000001</v>
      </c>
      <c r="AI39" s="2">
        <f t="shared" si="1"/>
        <v>0.86845384615384624</v>
      </c>
      <c r="AM39" s="2">
        <v>0.15279999999999999</v>
      </c>
      <c r="AN39" s="2">
        <v>0.82489999999999997</v>
      </c>
      <c r="AO39" s="2">
        <v>0.86845384615384624</v>
      </c>
      <c r="AQ39" s="2">
        <f t="shared" si="2"/>
        <v>8.2766666666666655</v>
      </c>
      <c r="AR39" s="2">
        <f t="shared" si="3"/>
        <v>44.682083333333331</v>
      </c>
      <c r="AS39" s="2">
        <f t="shared" si="4"/>
        <v>47.041249999999998</v>
      </c>
    </row>
    <row r="40" spans="1:45" s="2" customFormat="1" ht="15.75" x14ac:dyDescent="0.25">
      <c r="A40" s="2" t="s">
        <v>558</v>
      </c>
      <c r="B40" s="2">
        <v>6.3E-2</v>
      </c>
      <c r="C40" s="2">
        <v>54.204000000000001</v>
      </c>
      <c r="D40" s="2">
        <v>0.97799999999999998</v>
      </c>
      <c r="E40" s="2">
        <v>0</v>
      </c>
      <c r="F40" s="2">
        <v>0.628</v>
      </c>
      <c r="G40" s="2">
        <v>41.892000000000003</v>
      </c>
      <c r="H40" s="2">
        <v>0</v>
      </c>
      <c r="I40" s="2">
        <v>2.6619999999999999</v>
      </c>
      <c r="J40" s="2">
        <v>8.4000000000000005E-2</v>
      </c>
      <c r="K40" s="2">
        <v>0.159</v>
      </c>
      <c r="L40" s="2">
        <v>0</v>
      </c>
      <c r="M40" s="2">
        <v>0.1</v>
      </c>
      <c r="N40" s="2">
        <v>0</v>
      </c>
      <c r="O40" s="2">
        <v>0</v>
      </c>
      <c r="P40" s="2">
        <v>99.918999999999997</v>
      </c>
      <c r="R40" s="2">
        <v>1.37E-2</v>
      </c>
      <c r="S40" s="2">
        <v>9.8071999999999999</v>
      </c>
      <c r="T40" s="2">
        <v>0.1381</v>
      </c>
      <c r="U40" s="2">
        <v>0</v>
      </c>
      <c r="V40" s="2">
        <v>0.32150000000000001</v>
      </c>
      <c r="W40" s="2">
        <v>5.9893000000000001</v>
      </c>
      <c r="X40" s="2">
        <v>2.3E-3</v>
      </c>
      <c r="Y40" s="2">
        <v>0.7298</v>
      </c>
      <c r="Z40" s="2">
        <v>1.0699999999999999E-2</v>
      </c>
      <c r="AA40" s="2">
        <v>2.2800000000000001E-2</v>
      </c>
      <c r="AB40" s="2">
        <v>6.9999999999999999E-4</v>
      </c>
      <c r="AC40" s="2">
        <v>3.2899999999999999E-2</v>
      </c>
      <c r="AD40" s="2">
        <v>0</v>
      </c>
      <c r="AE40" s="2">
        <v>0</v>
      </c>
      <c r="AF40" s="2">
        <v>17.068999999999999</v>
      </c>
      <c r="AH40" s="2">
        <f t="shared" si="0"/>
        <v>1.0512999999999999</v>
      </c>
      <c r="AI40" s="2">
        <f t="shared" si="1"/>
        <v>0.79485384615384636</v>
      </c>
      <c r="AM40" s="2">
        <v>0.32150000000000001</v>
      </c>
      <c r="AN40" s="2">
        <v>0.7298</v>
      </c>
      <c r="AO40" s="2">
        <v>0.79485384615384636</v>
      </c>
      <c r="AQ40" s="2">
        <f t="shared" si="2"/>
        <v>17.414583333333333</v>
      </c>
      <c r="AR40" s="2">
        <f t="shared" si="3"/>
        <v>39.530833333333334</v>
      </c>
      <c r="AS40" s="2">
        <f t="shared" si="4"/>
        <v>43.054583333333341</v>
      </c>
    </row>
    <row r="41" spans="1:45" s="2" customFormat="1" ht="15.75" x14ac:dyDescent="0.25">
      <c r="A41" s="2" t="s">
        <v>559</v>
      </c>
      <c r="B41" s="2">
        <v>6.9000000000000006E-2</v>
      </c>
      <c r="C41" s="2">
        <v>53.701000000000001</v>
      </c>
      <c r="D41" s="2">
        <v>0.94</v>
      </c>
      <c r="E41" s="2">
        <v>0</v>
      </c>
      <c r="F41" s="2">
        <v>0.38900000000000001</v>
      </c>
      <c r="G41" s="2">
        <v>41.868000000000002</v>
      </c>
      <c r="H41" s="2">
        <v>0</v>
      </c>
      <c r="I41" s="2">
        <v>2.6760000000000002</v>
      </c>
      <c r="J41" s="2">
        <v>0.08</v>
      </c>
      <c r="K41" s="2">
        <v>0.111</v>
      </c>
      <c r="L41" s="2">
        <v>3.2000000000000001E-2</v>
      </c>
      <c r="M41" s="2">
        <v>0.06</v>
      </c>
      <c r="N41" s="2">
        <v>3.5999999999999997E-2</v>
      </c>
      <c r="O41" s="2">
        <v>0</v>
      </c>
      <c r="P41" s="2">
        <v>99.225999999999999</v>
      </c>
      <c r="R41" s="2">
        <v>1.49E-2</v>
      </c>
      <c r="S41" s="2">
        <v>9.7530999999999999</v>
      </c>
      <c r="T41" s="2">
        <v>0.1333</v>
      </c>
      <c r="U41" s="2">
        <v>0</v>
      </c>
      <c r="V41" s="2">
        <v>0.20069999999999999</v>
      </c>
      <c r="W41" s="2">
        <v>6.0086000000000004</v>
      </c>
      <c r="X41" s="2">
        <v>0</v>
      </c>
      <c r="Y41" s="2">
        <v>0.73980000000000001</v>
      </c>
      <c r="Z41" s="2">
        <v>1.0200000000000001E-2</v>
      </c>
      <c r="AA41" s="2">
        <v>1.5900000000000001E-2</v>
      </c>
      <c r="AB41" s="2">
        <v>4.4000000000000003E-3</v>
      </c>
      <c r="AC41" s="2">
        <v>1.9800000000000002E-2</v>
      </c>
      <c r="AD41" s="2">
        <v>7.1999999999999998E-3</v>
      </c>
      <c r="AE41" s="2">
        <v>5.4000000000000003E-3</v>
      </c>
      <c r="AF41" s="2">
        <v>16.9133</v>
      </c>
      <c r="AH41" s="2">
        <f t="shared" si="0"/>
        <v>0.9405</v>
      </c>
      <c r="AI41" s="2">
        <f t="shared" si="1"/>
        <v>0.90565384615384625</v>
      </c>
      <c r="AM41" s="2">
        <v>0.20069999999999999</v>
      </c>
      <c r="AN41" s="2">
        <v>0.73980000000000001</v>
      </c>
      <c r="AO41" s="2">
        <v>0.90565384615384625</v>
      </c>
      <c r="AQ41" s="2">
        <f t="shared" si="2"/>
        <v>10.87125</v>
      </c>
      <c r="AR41" s="2">
        <f t="shared" si="3"/>
        <v>40.072499999999998</v>
      </c>
      <c r="AS41" s="2">
        <f t="shared" si="4"/>
        <v>49.056249999999999</v>
      </c>
    </row>
    <row r="42" spans="1:45" s="2" customFormat="1" ht="15.75" x14ac:dyDescent="0.25">
      <c r="A42" s="2" t="s">
        <v>560</v>
      </c>
      <c r="B42" s="2">
        <v>0</v>
      </c>
      <c r="C42" s="2">
        <v>53.750999999999998</v>
      </c>
      <c r="D42" s="2">
        <v>1.3009999999999999</v>
      </c>
      <c r="E42" s="2">
        <v>0</v>
      </c>
      <c r="F42" s="2">
        <v>0.32400000000000001</v>
      </c>
      <c r="G42" s="2">
        <v>41.52</v>
      </c>
      <c r="H42" s="2">
        <v>0</v>
      </c>
      <c r="I42" s="2">
        <v>2.891</v>
      </c>
      <c r="J42" s="2">
        <v>7.8E-2</v>
      </c>
      <c r="K42" s="2">
        <v>0.17699999999999999</v>
      </c>
      <c r="L42" s="2">
        <v>0</v>
      </c>
      <c r="M42" s="2">
        <v>0.09</v>
      </c>
      <c r="N42" s="2">
        <v>0</v>
      </c>
      <c r="O42" s="2">
        <v>0</v>
      </c>
      <c r="P42" s="2">
        <v>99.363</v>
      </c>
      <c r="R42" s="2">
        <v>4.1999999999999997E-3</v>
      </c>
      <c r="S42" s="2">
        <v>9.7952999999999992</v>
      </c>
      <c r="T42" s="2">
        <v>0.185</v>
      </c>
      <c r="U42" s="2">
        <v>0</v>
      </c>
      <c r="V42" s="2">
        <v>0.16750000000000001</v>
      </c>
      <c r="W42" s="2">
        <v>5.9789000000000003</v>
      </c>
      <c r="X42" s="2">
        <v>0</v>
      </c>
      <c r="Y42" s="2">
        <v>0.80100000000000005</v>
      </c>
      <c r="Z42" s="2">
        <v>0.01</v>
      </c>
      <c r="AA42" s="2">
        <v>2.5499999999999998E-2</v>
      </c>
      <c r="AB42" s="2">
        <v>0</v>
      </c>
      <c r="AC42" s="2">
        <v>2.98E-2</v>
      </c>
      <c r="AD42" s="2">
        <v>0</v>
      </c>
      <c r="AE42" s="2">
        <v>0</v>
      </c>
      <c r="AF42" s="2">
        <v>16.997199999999999</v>
      </c>
      <c r="AH42" s="2">
        <f t="shared" si="0"/>
        <v>0.96850000000000003</v>
      </c>
      <c r="AI42" s="2">
        <f t="shared" si="1"/>
        <v>0.87765384615384623</v>
      </c>
      <c r="AM42" s="2">
        <v>0.16750000000000001</v>
      </c>
      <c r="AN42" s="2">
        <v>0.80100000000000005</v>
      </c>
      <c r="AO42" s="2">
        <v>0.87765384615384623</v>
      </c>
      <c r="AQ42" s="2">
        <f t="shared" si="2"/>
        <v>9.0729166666666661</v>
      </c>
      <c r="AR42" s="2">
        <f t="shared" si="3"/>
        <v>43.387500000000003</v>
      </c>
      <c r="AS42" s="2">
        <f t="shared" si="4"/>
        <v>47.539583333333333</v>
      </c>
    </row>
    <row r="43" spans="1:45" s="2" customFormat="1" ht="15.75" x14ac:dyDescent="0.25">
      <c r="A43" s="2" t="s">
        <v>561</v>
      </c>
      <c r="B43" s="2">
        <v>0</v>
      </c>
      <c r="C43" s="2">
        <v>54.316000000000003</v>
      </c>
      <c r="D43" s="2">
        <v>0.68</v>
      </c>
      <c r="E43" s="2">
        <v>0</v>
      </c>
      <c r="F43" s="2">
        <v>1.1830000000000001</v>
      </c>
      <c r="G43" s="2">
        <v>41.728000000000002</v>
      </c>
      <c r="H43" s="2">
        <v>4.7E-2</v>
      </c>
      <c r="I43" s="2">
        <v>1.6559999999999999</v>
      </c>
      <c r="J43" s="2">
        <v>0.113</v>
      </c>
      <c r="K43" s="2">
        <v>0.107</v>
      </c>
      <c r="L43" s="2">
        <v>4.2999999999999997E-2</v>
      </c>
      <c r="M43" s="2">
        <v>0.04</v>
      </c>
      <c r="N43" s="2">
        <v>1.4E-2</v>
      </c>
      <c r="O43" s="2">
        <v>0.16800000000000001</v>
      </c>
      <c r="P43" s="2">
        <v>99.305999999999997</v>
      </c>
      <c r="R43" s="2">
        <v>3.5000000000000001E-3</v>
      </c>
      <c r="S43" s="2">
        <v>9.8263999999999996</v>
      </c>
      <c r="T43" s="2">
        <v>9.6100000000000005E-2</v>
      </c>
      <c r="U43" s="2">
        <v>8.5000000000000006E-3</v>
      </c>
      <c r="V43" s="2">
        <v>0.60509999999999997</v>
      </c>
      <c r="W43" s="2">
        <v>5.9652000000000003</v>
      </c>
      <c r="X43" s="2">
        <v>1.17E-2</v>
      </c>
      <c r="Y43" s="2">
        <v>0.45400000000000001</v>
      </c>
      <c r="Z43" s="2">
        <v>1.43E-2</v>
      </c>
      <c r="AA43" s="2">
        <v>1.5299999999999999E-2</v>
      </c>
      <c r="AB43" s="2">
        <v>5.7000000000000002E-3</v>
      </c>
      <c r="AC43" s="2">
        <v>1.32E-2</v>
      </c>
      <c r="AD43" s="2">
        <v>2.8999999999999998E-3</v>
      </c>
      <c r="AE43" s="2">
        <v>2.8299999999999999E-2</v>
      </c>
      <c r="AF43" s="2">
        <v>17.0502</v>
      </c>
      <c r="AH43" s="2">
        <f t="shared" si="0"/>
        <v>1.0590999999999999</v>
      </c>
      <c r="AI43" s="2">
        <f t="shared" si="1"/>
        <v>0.78705384615384633</v>
      </c>
      <c r="AM43" s="2">
        <v>0.60509999999999997</v>
      </c>
      <c r="AN43" s="2">
        <v>0.45400000000000001</v>
      </c>
      <c r="AO43" s="2">
        <v>0.78705384615384633</v>
      </c>
      <c r="AQ43" s="2">
        <f t="shared" si="2"/>
        <v>32.776249999999997</v>
      </c>
      <c r="AR43" s="2">
        <f t="shared" si="3"/>
        <v>24.591666666666669</v>
      </c>
      <c r="AS43" s="2">
        <f t="shared" si="4"/>
        <v>42.632083333333341</v>
      </c>
    </row>
    <row r="44" spans="1:45" s="2" customFormat="1" ht="15.75" x14ac:dyDescent="0.25">
      <c r="A44" s="2" t="s">
        <v>562</v>
      </c>
      <c r="B44" s="2">
        <v>4.1000000000000002E-2</v>
      </c>
      <c r="C44" s="2">
        <v>54.462000000000003</v>
      </c>
      <c r="D44" s="2">
        <v>0.78700000000000003</v>
      </c>
      <c r="E44" s="2">
        <v>0.15</v>
      </c>
      <c r="F44" s="2">
        <v>1.238</v>
      </c>
      <c r="G44" s="2">
        <v>41.664000000000001</v>
      </c>
      <c r="H44" s="2">
        <v>7.4999999999999997E-2</v>
      </c>
      <c r="I44" s="2">
        <v>1.704</v>
      </c>
      <c r="J44" s="2">
        <v>0.129</v>
      </c>
      <c r="K44" s="2">
        <v>0.14699999999999999</v>
      </c>
      <c r="L44" s="2">
        <v>0</v>
      </c>
      <c r="M44" s="2">
        <v>0</v>
      </c>
      <c r="N44" s="2">
        <v>4.2000000000000003E-2</v>
      </c>
      <c r="O44" s="2">
        <v>0.11</v>
      </c>
      <c r="P44" s="2">
        <v>99.674999999999997</v>
      </c>
      <c r="R44" s="2">
        <v>8.8999999999999999E-3</v>
      </c>
      <c r="S44" s="2">
        <v>9.8366000000000007</v>
      </c>
      <c r="T44" s="2">
        <v>0.1109</v>
      </c>
      <c r="U44" s="2">
        <v>1.9E-2</v>
      </c>
      <c r="V44" s="2">
        <v>0.63100000000000001</v>
      </c>
      <c r="W44" s="2">
        <v>5.9462999999999999</v>
      </c>
      <c r="X44" s="2">
        <v>1.89E-2</v>
      </c>
      <c r="Y44" s="2">
        <v>0.46550000000000002</v>
      </c>
      <c r="Z44" s="2">
        <v>1.6299999999999999E-2</v>
      </c>
      <c r="AA44" s="2">
        <v>2.1000000000000001E-2</v>
      </c>
      <c r="AB44" s="2">
        <v>1.6999999999999999E-3</v>
      </c>
      <c r="AC44" s="2">
        <v>6.6E-3</v>
      </c>
      <c r="AD44" s="2">
        <v>8.3999999999999995E-3</v>
      </c>
      <c r="AE44" s="2">
        <v>1.8499999999999999E-2</v>
      </c>
      <c r="AF44" s="2">
        <v>17.1096</v>
      </c>
      <c r="AH44" s="2">
        <f t="shared" si="0"/>
        <v>1.0965</v>
      </c>
      <c r="AI44" s="2">
        <f t="shared" si="1"/>
        <v>0.74965384615384623</v>
      </c>
      <c r="AM44" s="2">
        <v>0.63100000000000001</v>
      </c>
      <c r="AN44" s="2">
        <v>0.46550000000000002</v>
      </c>
      <c r="AO44" s="2">
        <v>0.74965384615384623</v>
      </c>
      <c r="AQ44" s="2">
        <f t="shared" si="2"/>
        <v>34.179166666666667</v>
      </c>
      <c r="AR44" s="2">
        <f t="shared" si="3"/>
        <v>25.214583333333334</v>
      </c>
      <c r="AS44" s="2">
        <f t="shared" si="4"/>
        <v>40.606250000000003</v>
      </c>
    </row>
    <row r="45" spans="1:45" s="2" customFormat="1" ht="15.75" x14ac:dyDescent="0.25">
      <c r="A45" s="2" t="s">
        <v>563</v>
      </c>
      <c r="B45" s="2">
        <v>0</v>
      </c>
      <c r="C45" s="2">
        <v>54.292000000000002</v>
      </c>
      <c r="D45" s="2">
        <v>0.58899999999999997</v>
      </c>
      <c r="E45" s="2">
        <v>0</v>
      </c>
      <c r="F45" s="2">
        <v>7.5999999999999998E-2</v>
      </c>
      <c r="G45" s="2">
        <v>42.136000000000003</v>
      </c>
      <c r="H45" s="2">
        <v>0</v>
      </c>
      <c r="I45" s="2">
        <v>5.0060000000000002</v>
      </c>
      <c r="J45" s="2">
        <v>6.2E-2</v>
      </c>
      <c r="K45" s="2">
        <v>0.123</v>
      </c>
      <c r="L45" s="2">
        <v>3.2000000000000001E-2</v>
      </c>
      <c r="M45" s="2">
        <v>0.33700000000000002</v>
      </c>
      <c r="N45" s="2">
        <v>0</v>
      </c>
      <c r="O45" s="2">
        <v>0</v>
      </c>
      <c r="P45" s="2">
        <v>101.508</v>
      </c>
      <c r="R45" s="2">
        <v>3.5999999999999999E-3</v>
      </c>
      <c r="S45" s="2">
        <v>9.7951999999999995</v>
      </c>
      <c r="T45" s="2">
        <v>8.3000000000000004E-2</v>
      </c>
      <c r="U45" s="2">
        <v>0</v>
      </c>
      <c r="V45" s="2">
        <v>3.7999999999999999E-2</v>
      </c>
      <c r="W45" s="2">
        <v>6.0071000000000003</v>
      </c>
      <c r="X45" s="2">
        <v>0</v>
      </c>
      <c r="Y45" s="2">
        <v>1.3493999999999999</v>
      </c>
      <c r="Z45" s="2">
        <v>7.7999999999999996E-3</v>
      </c>
      <c r="AA45" s="2">
        <v>1.7500000000000002E-2</v>
      </c>
      <c r="AB45" s="2">
        <v>4.3E-3</v>
      </c>
      <c r="AC45" s="2">
        <v>0.1101</v>
      </c>
      <c r="AD45" s="2">
        <v>0</v>
      </c>
      <c r="AE45" s="2">
        <v>0</v>
      </c>
      <c r="AF45" s="2">
        <v>17.416</v>
      </c>
      <c r="AH45" s="2">
        <f t="shared" si="0"/>
        <v>1.3874</v>
      </c>
      <c r="AI45" s="2">
        <f t="shared" si="1"/>
        <v>0.45875384615384629</v>
      </c>
      <c r="AM45" s="2">
        <v>3.7999999999999999E-2</v>
      </c>
      <c r="AN45" s="2">
        <v>1.3493999999999999</v>
      </c>
      <c r="AO45" s="2">
        <v>0.45875384615384629</v>
      </c>
      <c r="AQ45" s="2">
        <f t="shared" si="2"/>
        <v>2.0583333333333331</v>
      </c>
      <c r="AR45" s="2">
        <f t="shared" si="3"/>
        <v>73.092499999999987</v>
      </c>
      <c r="AS45" s="2">
        <f t="shared" si="4"/>
        <v>24.849166666666672</v>
      </c>
    </row>
    <row r="46" spans="1:45" s="2" customFormat="1" ht="15.75" x14ac:dyDescent="0.25">
      <c r="A46" s="2" t="s">
        <v>564</v>
      </c>
      <c r="B46" s="2">
        <v>0</v>
      </c>
      <c r="C46" s="2">
        <v>54.082999999999998</v>
      </c>
      <c r="D46" s="2">
        <v>0.67500000000000004</v>
      </c>
      <c r="E46" s="2">
        <v>0</v>
      </c>
      <c r="F46" s="2">
        <v>0.81100000000000005</v>
      </c>
      <c r="G46" s="2">
        <v>42.642000000000003</v>
      </c>
      <c r="H46" s="2">
        <v>5.7000000000000002E-2</v>
      </c>
      <c r="I46" s="2">
        <v>1.825</v>
      </c>
      <c r="J46" s="2">
        <v>5.7000000000000002E-2</v>
      </c>
      <c r="K46" s="2">
        <v>8.8999999999999996E-2</v>
      </c>
      <c r="L46" s="2">
        <v>0</v>
      </c>
      <c r="M46" s="2">
        <v>0.11600000000000001</v>
      </c>
      <c r="N46" s="2">
        <v>0</v>
      </c>
      <c r="O46" s="2">
        <v>0</v>
      </c>
      <c r="P46" s="2">
        <v>99.64</v>
      </c>
      <c r="R46" s="2">
        <v>0</v>
      </c>
      <c r="S46" s="2">
        <v>9.7077000000000009</v>
      </c>
      <c r="T46" s="2">
        <v>9.4500000000000001E-2</v>
      </c>
      <c r="U46" s="2">
        <v>4.1999999999999997E-3</v>
      </c>
      <c r="V46" s="2">
        <v>0.4138</v>
      </c>
      <c r="W46" s="2">
        <v>6.0483000000000002</v>
      </c>
      <c r="X46" s="2">
        <v>1.43E-2</v>
      </c>
      <c r="Y46" s="2">
        <v>0.49940000000000001</v>
      </c>
      <c r="Z46" s="2">
        <v>7.1999999999999998E-3</v>
      </c>
      <c r="AA46" s="2">
        <v>1.26E-2</v>
      </c>
      <c r="AB46" s="2">
        <v>0</v>
      </c>
      <c r="AC46" s="2">
        <v>3.7499999999999999E-2</v>
      </c>
      <c r="AD46" s="2">
        <v>1E-3</v>
      </c>
      <c r="AE46" s="2">
        <v>0</v>
      </c>
      <c r="AF46" s="2">
        <v>16.840499999999999</v>
      </c>
      <c r="AH46" s="2">
        <f t="shared" si="0"/>
        <v>0.91320000000000001</v>
      </c>
      <c r="AI46" s="2">
        <f t="shared" si="1"/>
        <v>0.93295384615384624</v>
      </c>
      <c r="AM46" s="2">
        <v>0.4138</v>
      </c>
      <c r="AN46" s="2">
        <v>0.49940000000000001</v>
      </c>
      <c r="AO46" s="2">
        <v>0.93295384615384624</v>
      </c>
      <c r="AQ46" s="2">
        <f t="shared" si="2"/>
        <v>22.414166666666667</v>
      </c>
      <c r="AR46" s="2">
        <f t="shared" si="3"/>
        <v>27.050833333333337</v>
      </c>
      <c r="AS46" s="2">
        <f t="shared" si="4"/>
        <v>50.534999999999997</v>
      </c>
    </row>
    <row r="47" spans="1:45" s="2" customFormat="1" ht="15.75" x14ac:dyDescent="0.25">
      <c r="A47" s="2" t="s">
        <v>565</v>
      </c>
      <c r="B47" s="2">
        <v>0</v>
      </c>
      <c r="C47" s="2">
        <v>53.287999999999997</v>
      </c>
      <c r="D47" s="2">
        <v>0.88200000000000001</v>
      </c>
      <c r="E47" s="2">
        <v>0.15</v>
      </c>
      <c r="F47" s="2">
        <v>1.115</v>
      </c>
      <c r="G47" s="2">
        <v>41.816000000000003</v>
      </c>
      <c r="H47" s="2">
        <v>0.09</v>
      </c>
      <c r="I47" s="2">
        <v>2.46</v>
      </c>
      <c r="J47" s="2">
        <v>0.122</v>
      </c>
      <c r="K47" s="2">
        <v>7.9000000000000001E-2</v>
      </c>
      <c r="L47" s="2">
        <v>3.6999999999999998E-2</v>
      </c>
      <c r="M47" s="2">
        <v>6.5000000000000002E-2</v>
      </c>
      <c r="N47" s="2">
        <v>7.0999999999999994E-2</v>
      </c>
      <c r="O47" s="2">
        <v>0.29699999999999999</v>
      </c>
      <c r="P47" s="2">
        <v>99.47</v>
      </c>
      <c r="R47" s="2">
        <v>4.7999999999999996E-3</v>
      </c>
      <c r="S47" s="2">
        <v>9.6521000000000008</v>
      </c>
      <c r="T47" s="2">
        <v>0.12470000000000001</v>
      </c>
      <c r="U47" s="2">
        <v>1.9E-2</v>
      </c>
      <c r="V47" s="2">
        <v>0.56659999999999999</v>
      </c>
      <c r="W47" s="2">
        <v>5.9850000000000003</v>
      </c>
      <c r="X47" s="2">
        <v>2.2700000000000001E-2</v>
      </c>
      <c r="Y47" s="2">
        <v>0.67010000000000003</v>
      </c>
      <c r="Z47" s="2">
        <v>1.55E-2</v>
      </c>
      <c r="AA47" s="2">
        <v>1.12E-2</v>
      </c>
      <c r="AB47" s="2">
        <v>5.0000000000000001E-3</v>
      </c>
      <c r="AC47" s="2">
        <v>2.1399999999999999E-2</v>
      </c>
      <c r="AD47" s="2">
        <v>1.4200000000000001E-2</v>
      </c>
      <c r="AE47" s="2">
        <v>5.0099999999999999E-2</v>
      </c>
      <c r="AF47" s="2">
        <v>17.162400000000002</v>
      </c>
      <c r="AH47" s="2">
        <f t="shared" si="0"/>
        <v>1.2366999999999999</v>
      </c>
      <c r="AI47" s="2">
        <f t="shared" si="1"/>
        <v>0.60945384615384635</v>
      </c>
      <c r="AM47" s="2">
        <v>0.56659999999999999</v>
      </c>
      <c r="AN47" s="2">
        <v>0.67010000000000003</v>
      </c>
      <c r="AO47" s="2">
        <v>0.60945384615384635</v>
      </c>
      <c r="AQ47" s="2">
        <f t="shared" si="2"/>
        <v>30.690833333333334</v>
      </c>
      <c r="AR47" s="2">
        <f t="shared" si="3"/>
        <v>36.297083333333333</v>
      </c>
      <c r="AS47" s="2">
        <f t="shared" si="4"/>
        <v>33.012083333333337</v>
      </c>
    </row>
    <row r="48" spans="1:45" s="2" customFormat="1" ht="15.75" x14ac:dyDescent="0.25">
      <c r="A48" s="2" t="s">
        <v>566</v>
      </c>
      <c r="B48" s="2">
        <v>0</v>
      </c>
      <c r="C48" s="2">
        <v>54.23</v>
      </c>
      <c r="D48" s="2">
        <v>0.76</v>
      </c>
      <c r="E48" s="2">
        <v>0</v>
      </c>
      <c r="F48" s="2">
        <v>0.86199999999999999</v>
      </c>
      <c r="G48" s="2">
        <v>42.052999999999997</v>
      </c>
      <c r="H48" s="2">
        <v>0.104</v>
      </c>
      <c r="I48" s="2">
        <v>2.1920000000000002</v>
      </c>
      <c r="J48" s="2">
        <v>7.0000000000000007E-2</v>
      </c>
      <c r="K48" s="2">
        <v>0.224</v>
      </c>
      <c r="L48" s="2">
        <v>0</v>
      </c>
      <c r="M48" s="2">
        <v>0.111</v>
      </c>
      <c r="N48" s="2">
        <v>0</v>
      </c>
      <c r="O48" s="2">
        <v>0</v>
      </c>
      <c r="P48" s="2">
        <v>99.786000000000001</v>
      </c>
      <c r="R48" s="2">
        <v>0</v>
      </c>
      <c r="S48" s="2">
        <v>9.7872000000000003</v>
      </c>
      <c r="T48" s="2">
        <v>0.1071</v>
      </c>
      <c r="U48" s="2">
        <v>4.1999999999999997E-3</v>
      </c>
      <c r="V48" s="2">
        <v>0.44019999999999998</v>
      </c>
      <c r="W48" s="2">
        <v>5.9973000000000001</v>
      </c>
      <c r="X48" s="2">
        <v>2.6100000000000002E-2</v>
      </c>
      <c r="Y48" s="2">
        <v>0.59989999999999999</v>
      </c>
      <c r="Z48" s="2">
        <v>8.8000000000000005E-3</v>
      </c>
      <c r="AA48" s="2">
        <v>3.1899999999999998E-2</v>
      </c>
      <c r="AB48" s="2">
        <v>0</v>
      </c>
      <c r="AC48" s="2">
        <v>3.61E-2</v>
      </c>
      <c r="AD48" s="2">
        <v>1E-3</v>
      </c>
      <c r="AE48" s="2">
        <v>0</v>
      </c>
      <c r="AF48" s="2">
        <v>17.0398</v>
      </c>
      <c r="AH48" s="2">
        <f t="shared" si="0"/>
        <v>1.0401</v>
      </c>
      <c r="AI48" s="2">
        <f t="shared" si="1"/>
        <v>0.80605384615384623</v>
      </c>
      <c r="AM48" s="2">
        <v>0.44019999999999998</v>
      </c>
      <c r="AN48" s="2">
        <v>0.59989999999999999</v>
      </c>
      <c r="AO48" s="2">
        <v>0.80605384615384623</v>
      </c>
      <c r="AQ48" s="2">
        <f t="shared" si="2"/>
        <v>23.844166666666663</v>
      </c>
      <c r="AR48" s="2">
        <f t="shared" si="3"/>
        <v>32.494583333333331</v>
      </c>
      <c r="AS48" s="2">
        <f t="shared" si="4"/>
        <v>43.661250000000003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DF985-A33D-4E72-8DEE-A99A41056876}">
  <dimension ref="A1:J76"/>
  <sheetViews>
    <sheetView topLeftCell="A55" workbookViewId="0">
      <selection activeCell="K67" sqref="K67"/>
    </sheetView>
  </sheetViews>
  <sheetFormatPr defaultRowHeight="14.25" x14ac:dyDescent="0.2"/>
  <cols>
    <col min="1" max="1" width="14.125" style="95" customWidth="1"/>
    <col min="2" max="8" width="9" style="95"/>
  </cols>
  <sheetData>
    <row r="1" spans="1:9" ht="15.75" x14ac:dyDescent="0.2">
      <c r="A1" s="83" t="s">
        <v>590</v>
      </c>
      <c r="B1" s="84" t="s">
        <v>220</v>
      </c>
      <c r="C1" s="84" t="s">
        <v>211</v>
      </c>
      <c r="D1" s="84" t="s">
        <v>236</v>
      </c>
      <c r="E1" s="84" t="s">
        <v>472</v>
      </c>
      <c r="F1" s="84" t="s">
        <v>258</v>
      </c>
      <c r="G1" s="84" t="s">
        <v>221</v>
      </c>
      <c r="H1" s="85" t="s">
        <v>263</v>
      </c>
      <c r="I1" s="6"/>
    </row>
    <row r="2" spans="1:9" ht="15.75" x14ac:dyDescent="0.2">
      <c r="A2" s="86" t="s">
        <v>591</v>
      </c>
      <c r="B2" s="87" t="s">
        <v>592</v>
      </c>
      <c r="C2" s="87" t="s">
        <v>592</v>
      </c>
      <c r="D2" s="87" t="s">
        <v>592</v>
      </c>
      <c r="E2" s="87" t="s">
        <v>592</v>
      </c>
      <c r="F2" s="87" t="s">
        <v>592</v>
      </c>
      <c r="G2" s="87" t="s">
        <v>592</v>
      </c>
      <c r="H2" s="88" t="s">
        <v>592</v>
      </c>
      <c r="I2" s="6"/>
    </row>
    <row r="3" spans="1:9" ht="15.75" x14ac:dyDescent="0.2">
      <c r="A3" s="86" t="s">
        <v>1</v>
      </c>
      <c r="B3" s="87">
        <v>23.475999999999999</v>
      </c>
      <c r="C3" s="87">
        <v>23.475999999999999</v>
      </c>
      <c r="D3" s="87">
        <v>23.423999999999999</v>
      </c>
      <c r="E3" s="87">
        <v>23.689</v>
      </c>
      <c r="F3" s="87">
        <v>23.888999999999999</v>
      </c>
      <c r="G3" s="87">
        <v>23.759</v>
      </c>
      <c r="H3" s="88">
        <v>24.218</v>
      </c>
      <c r="I3" s="6"/>
    </row>
    <row r="4" spans="1:9" ht="15.75" x14ac:dyDescent="0.2">
      <c r="A4" s="86" t="s">
        <v>7</v>
      </c>
      <c r="B4" s="87">
        <v>1.8160000000000001</v>
      </c>
      <c r="C4" s="87">
        <v>1.681</v>
      </c>
      <c r="D4" s="87">
        <v>2.1070000000000002</v>
      </c>
      <c r="E4" s="87">
        <v>1.7749999999999999</v>
      </c>
      <c r="F4" s="87">
        <v>1.585</v>
      </c>
      <c r="G4" s="87">
        <v>1.6080000000000001</v>
      </c>
      <c r="H4" s="88">
        <v>1.522</v>
      </c>
      <c r="I4" s="6"/>
    </row>
    <row r="5" spans="1:9" ht="15.75" x14ac:dyDescent="0.2">
      <c r="A5" s="86" t="s">
        <v>4</v>
      </c>
      <c r="B5" s="87">
        <v>0.56799999999999995</v>
      </c>
      <c r="C5" s="87">
        <v>0.90100000000000002</v>
      </c>
      <c r="D5" s="87">
        <v>1.341</v>
      </c>
      <c r="E5" s="87">
        <v>1.5389999999999999</v>
      </c>
      <c r="F5" s="87">
        <v>1.4039999999999999</v>
      </c>
      <c r="G5" s="87">
        <v>0.61099999999999999</v>
      </c>
      <c r="H5" s="88">
        <v>0.51400000000000001</v>
      </c>
      <c r="I5" s="6"/>
    </row>
    <row r="6" spans="1:9" ht="15.75" x14ac:dyDescent="0.2">
      <c r="A6" s="86" t="s">
        <v>593</v>
      </c>
      <c r="B6" s="87">
        <v>0.32666177841993382</v>
      </c>
      <c r="C6" s="87">
        <v>0.45266177841993382</v>
      </c>
      <c r="D6" s="87">
        <v>0.72402579220090857</v>
      </c>
      <c r="E6" s="87">
        <v>0.72517072197094112</v>
      </c>
      <c r="F6" s="87">
        <v>0.45777066896719198</v>
      </c>
      <c r="G6" s="87">
        <v>0.3866807034196289</v>
      </c>
      <c r="H6" s="88">
        <v>0.34146758177602476</v>
      </c>
      <c r="I6" s="6"/>
    </row>
    <row r="7" spans="1:9" ht="15.75" x14ac:dyDescent="0.2">
      <c r="A7" s="86" t="s">
        <v>3</v>
      </c>
      <c r="B7" s="87">
        <v>70.432000000000002</v>
      </c>
      <c r="C7" s="87">
        <v>69.625</v>
      </c>
      <c r="D7" s="87">
        <v>68.501999999999995</v>
      </c>
      <c r="E7" s="87">
        <v>68.06</v>
      </c>
      <c r="F7" s="87">
        <v>68.751000000000005</v>
      </c>
      <c r="G7" s="87">
        <v>69.474999999999994</v>
      </c>
      <c r="H7" s="88">
        <v>70.102000000000004</v>
      </c>
      <c r="I7" s="6"/>
    </row>
    <row r="8" spans="1:9" ht="15.75" x14ac:dyDescent="0.2">
      <c r="A8" s="86" t="s">
        <v>10</v>
      </c>
      <c r="B8" s="87">
        <v>0.56699999999999995</v>
      </c>
      <c r="C8" s="87">
        <v>0.58599999999999997</v>
      </c>
      <c r="D8" s="87">
        <v>0.54500000000000004</v>
      </c>
      <c r="E8" s="87">
        <v>0.54200000000000004</v>
      </c>
      <c r="F8" s="87">
        <v>0.56299999999999994</v>
      </c>
      <c r="G8" s="87">
        <v>0.53</v>
      </c>
      <c r="H8" s="88">
        <v>0.58699999999999997</v>
      </c>
      <c r="I8" s="6"/>
    </row>
    <row r="9" spans="1:9" ht="15.75" x14ac:dyDescent="0.2">
      <c r="A9" s="86" t="s">
        <v>12</v>
      </c>
      <c r="B9" s="87">
        <v>0.22800000000000001</v>
      </c>
      <c r="C9" s="87">
        <v>0.30399999999999999</v>
      </c>
      <c r="D9" s="87">
        <v>0.39</v>
      </c>
      <c r="E9" s="87">
        <v>0.46400000000000002</v>
      </c>
      <c r="F9" s="87">
        <v>0.44600000000000001</v>
      </c>
      <c r="G9" s="87">
        <v>0.308</v>
      </c>
      <c r="H9" s="88">
        <v>0.39400000000000002</v>
      </c>
      <c r="I9" s="6"/>
    </row>
    <row r="10" spans="1:9" ht="15.75" x14ac:dyDescent="0.2">
      <c r="A10" s="86" t="s">
        <v>2</v>
      </c>
      <c r="B10" s="87">
        <v>0</v>
      </c>
      <c r="C10" s="87">
        <v>0</v>
      </c>
      <c r="D10" s="87">
        <v>0</v>
      </c>
      <c r="E10" s="87">
        <v>0</v>
      </c>
      <c r="F10" s="87">
        <v>0</v>
      </c>
      <c r="G10" s="87">
        <v>0</v>
      </c>
      <c r="H10" s="88">
        <v>0</v>
      </c>
      <c r="I10" s="6"/>
    </row>
    <row r="11" spans="1:9" ht="15.75" x14ac:dyDescent="0.2">
      <c r="A11" s="86" t="s">
        <v>594</v>
      </c>
      <c r="B11" s="87">
        <v>0</v>
      </c>
      <c r="C11" s="87">
        <v>0</v>
      </c>
      <c r="D11" s="87">
        <v>0</v>
      </c>
      <c r="E11" s="87">
        <v>0</v>
      </c>
      <c r="F11" s="87">
        <v>0</v>
      </c>
      <c r="G11" s="87">
        <v>0</v>
      </c>
      <c r="H11" s="88">
        <v>0</v>
      </c>
      <c r="I11" s="6"/>
    </row>
    <row r="12" spans="1:9" ht="15.75" x14ac:dyDescent="0.2">
      <c r="A12" s="86" t="s">
        <v>14</v>
      </c>
      <c r="B12" s="87">
        <v>97.413661778419922</v>
      </c>
      <c r="C12" s="87">
        <v>97.025661778419931</v>
      </c>
      <c r="D12" s="87">
        <v>97.033025792200903</v>
      </c>
      <c r="E12" s="87">
        <v>96.794170721970943</v>
      </c>
      <c r="F12" s="87">
        <v>97.095770668967205</v>
      </c>
      <c r="G12" s="87">
        <v>96.677680703419625</v>
      </c>
      <c r="H12" s="88">
        <v>97.678467581776033</v>
      </c>
      <c r="I12" s="6"/>
    </row>
    <row r="13" spans="1:9" ht="15.75" x14ac:dyDescent="0.2">
      <c r="A13" s="86"/>
      <c r="B13" s="87"/>
      <c r="C13" s="87"/>
      <c r="D13" s="87"/>
      <c r="E13" s="87"/>
      <c r="F13" s="87"/>
      <c r="G13" s="87"/>
      <c r="H13" s="88"/>
      <c r="I13" s="6"/>
    </row>
    <row r="14" spans="1:9" ht="15.75" x14ac:dyDescent="0.2">
      <c r="A14" s="86"/>
      <c r="B14" s="87" t="s">
        <v>595</v>
      </c>
      <c r="C14" s="87" t="s">
        <v>595</v>
      </c>
      <c r="D14" s="87" t="s">
        <v>595</v>
      </c>
      <c r="E14" s="87" t="s">
        <v>595</v>
      </c>
      <c r="F14" s="87" t="s">
        <v>595</v>
      </c>
      <c r="G14" s="87" t="s">
        <v>595</v>
      </c>
      <c r="H14" s="88" t="s">
        <v>595</v>
      </c>
      <c r="I14" s="6"/>
    </row>
    <row r="15" spans="1:9" ht="15.75" x14ac:dyDescent="0.2">
      <c r="A15" s="86" t="s">
        <v>596</v>
      </c>
      <c r="B15" s="87">
        <v>0.66028387600640204</v>
      </c>
      <c r="C15" s="87">
        <v>0.66309637692545065</v>
      </c>
      <c r="D15" s="87">
        <v>0.66011775342044676</v>
      </c>
      <c r="E15" s="87">
        <v>0.67006571418109495</v>
      </c>
      <c r="F15" s="87">
        <v>0.67425050643144557</v>
      </c>
      <c r="G15" s="87">
        <v>0.67380789699418209</v>
      </c>
      <c r="H15" s="88">
        <v>0.67971953901981685</v>
      </c>
      <c r="I15" s="6"/>
    </row>
    <row r="16" spans="1:9" ht="15.75" x14ac:dyDescent="0.2">
      <c r="A16" s="86" t="s">
        <v>573</v>
      </c>
      <c r="B16" s="87">
        <v>8.002923843028599E-2</v>
      </c>
      <c r="C16" s="87">
        <v>7.4395474199431308E-2</v>
      </c>
      <c r="D16" s="87">
        <v>9.3036023118272249E-2</v>
      </c>
      <c r="E16" s="87">
        <v>7.8667486592026034E-2</v>
      </c>
      <c r="F16" s="87">
        <v>7.009367429019403E-2</v>
      </c>
      <c r="G16" s="87">
        <v>7.1452961263275563E-2</v>
      </c>
      <c r="H16" s="88">
        <v>6.6931780867564947E-2</v>
      </c>
      <c r="I16" s="6"/>
    </row>
    <row r="17" spans="1:9" ht="15.75" x14ac:dyDescent="0.2">
      <c r="A17" s="86" t="s">
        <v>576</v>
      </c>
      <c r="B17" s="87">
        <v>1.6791939777457871E-2</v>
      </c>
      <c r="C17" s="87">
        <v>2.6749969196910625E-2</v>
      </c>
      <c r="D17" s="87">
        <v>3.9722362699319454E-2</v>
      </c>
      <c r="E17" s="87">
        <v>4.5756756290583088E-2</v>
      </c>
      <c r="F17" s="87">
        <v>4.1652047962007728E-2</v>
      </c>
      <c r="G17" s="87">
        <v>1.8213570470580618E-2</v>
      </c>
      <c r="H17" s="88">
        <v>1.5163537843784098E-2</v>
      </c>
      <c r="I17" s="6"/>
    </row>
    <row r="18" spans="1:9" ht="15.75" x14ac:dyDescent="0.2">
      <c r="A18" s="86" t="s">
        <v>597</v>
      </c>
      <c r="B18" s="87">
        <v>9.7930141449165276E-3</v>
      </c>
      <c r="C18" s="87">
        <v>1.3628179589438152E-2</v>
      </c>
      <c r="D18" s="87">
        <v>2.1748327264345082E-2</v>
      </c>
      <c r="E18" s="87">
        <v>2.1863636522922822E-2</v>
      </c>
      <c r="F18" s="87">
        <v>1.3771547416637192E-2</v>
      </c>
      <c r="G18" s="87">
        <v>1.1688853283750944E-2</v>
      </c>
      <c r="H18" s="88">
        <v>1.0215330610919077E-2</v>
      </c>
      <c r="I18" s="6"/>
    </row>
    <row r="19" spans="1:9" ht="15.75" x14ac:dyDescent="0.2">
      <c r="A19" s="86" t="s">
        <v>598</v>
      </c>
      <c r="B19" s="87">
        <v>0.5728180556345368</v>
      </c>
      <c r="C19" s="87">
        <v>0.55903362316331862</v>
      </c>
      <c r="D19" s="87">
        <v>0.52525778007716895</v>
      </c>
      <c r="E19" s="87">
        <v>0.51358069223227787</v>
      </c>
      <c r="F19" s="87">
        <v>0.52598171746826949</v>
      </c>
      <c r="G19" s="87">
        <v>0.55102882099402883</v>
      </c>
      <c r="H19" s="88">
        <v>0.54825027263809911</v>
      </c>
      <c r="I19" s="6"/>
    </row>
    <row r="20" spans="1:9" ht="15.75" x14ac:dyDescent="0.2">
      <c r="A20" s="86" t="s">
        <v>599</v>
      </c>
      <c r="B20" s="87">
        <v>1.6296171071593433</v>
      </c>
      <c r="C20" s="87">
        <v>1.6274402007187763</v>
      </c>
      <c r="D20" s="87">
        <v>1.6210407350078522</v>
      </c>
      <c r="E20" s="87">
        <v>1.6267906795048677</v>
      </c>
      <c r="F20" s="87">
        <v>1.631409221792127</v>
      </c>
      <c r="G20" s="87">
        <v>1.6395708321852394</v>
      </c>
      <c r="H20" s="88">
        <v>1.6392514713027952</v>
      </c>
      <c r="I20" s="6"/>
    </row>
    <row r="21" spans="1:9" ht="15.75" x14ac:dyDescent="0.2">
      <c r="A21" s="86" t="s">
        <v>571</v>
      </c>
      <c r="B21" s="87">
        <v>1.7957501664826594E-2</v>
      </c>
      <c r="C21" s="87">
        <v>1.8638305907439853E-2</v>
      </c>
      <c r="D21" s="87">
        <v>1.7294703511085769E-2</v>
      </c>
      <c r="E21" s="87">
        <v>1.7263395510351186E-2</v>
      </c>
      <c r="F21" s="87">
        <v>1.7893198136462892E-2</v>
      </c>
      <c r="G21" s="87">
        <v>1.6925444145026645E-2</v>
      </c>
      <c r="H21" s="88">
        <v>1.8551791123332519E-2</v>
      </c>
      <c r="I21" s="6"/>
    </row>
    <row r="22" spans="1:9" ht="15.75" x14ac:dyDescent="0.2">
      <c r="A22" s="86" t="s">
        <v>578</v>
      </c>
      <c r="B22" s="87">
        <v>1.2709267182230493E-2</v>
      </c>
      <c r="C22" s="87">
        <v>1.7017870299234465E-2</v>
      </c>
      <c r="D22" s="87">
        <v>2.1782314901509843E-2</v>
      </c>
      <c r="E22" s="87">
        <v>2.6011639165876531E-2</v>
      </c>
      <c r="F22" s="87">
        <v>2.494808650285639E-2</v>
      </c>
      <c r="G22" s="87">
        <v>1.731162066391605E-2</v>
      </c>
      <c r="H22" s="88">
        <v>2.1916276593687691E-2</v>
      </c>
      <c r="I22" s="6"/>
    </row>
    <row r="23" spans="1:9" ht="15.75" x14ac:dyDescent="0.2">
      <c r="A23" s="86" t="s">
        <v>569</v>
      </c>
      <c r="B23" s="87">
        <v>0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8">
        <v>0</v>
      </c>
      <c r="I23" s="6"/>
    </row>
    <row r="24" spans="1:9" ht="15.75" x14ac:dyDescent="0.2">
      <c r="A24" s="86" t="s">
        <v>600</v>
      </c>
      <c r="B24" s="87">
        <v>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8">
        <v>0</v>
      </c>
      <c r="I24" s="6"/>
    </row>
    <row r="25" spans="1:9" ht="15.75" x14ac:dyDescent="0.2">
      <c r="A25" s="86" t="s">
        <v>601</v>
      </c>
      <c r="B25" s="87">
        <v>2.9999999999999996</v>
      </c>
      <c r="C25" s="87">
        <v>3</v>
      </c>
      <c r="D25" s="87">
        <v>3.0000000000000004</v>
      </c>
      <c r="E25" s="87">
        <v>3.0000000000000004</v>
      </c>
      <c r="F25" s="87">
        <v>3</v>
      </c>
      <c r="G25" s="87">
        <v>3</v>
      </c>
      <c r="H25" s="88">
        <v>2.9999999999999996</v>
      </c>
      <c r="I25" s="6"/>
    </row>
    <row r="26" spans="1:9" ht="15.75" x14ac:dyDescent="0.2">
      <c r="A26" s="86" t="s">
        <v>572</v>
      </c>
      <c r="B26" s="87">
        <v>4</v>
      </c>
      <c r="C26" s="87">
        <v>4</v>
      </c>
      <c r="D26" s="87">
        <v>4</v>
      </c>
      <c r="E26" s="87">
        <v>4</v>
      </c>
      <c r="F26" s="87">
        <v>3.9999999999999996</v>
      </c>
      <c r="G26" s="87">
        <v>4</v>
      </c>
      <c r="H26" s="88">
        <v>4</v>
      </c>
      <c r="I26" s="6"/>
    </row>
    <row r="27" spans="1:9" ht="15.75" x14ac:dyDescent="0.2">
      <c r="A27" s="86" t="s">
        <v>602</v>
      </c>
      <c r="B27" s="87">
        <f>B19/(B19+B20)</f>
        <v>0.26008395857060934</v>
      </c>
      <c r="C27" s="87">
        <f t="shared" ref="C27:H27" si="0">C19/(C19+C20)</f>
        <v>0.25567816868292148</v>
      </c>
      <c r="D27" s="87">
        <f t="shared" si="0"/>
        <v>0.24472727180560061</v>
      </c>
      <c r="E27" s="87">
        <f t="shared" si="0"/>
        <v>0.23994933730376469</v>
      </c>
      <c r="F27" s="87">
        <f t="shared" si="0"/>
        <v>0.24380454552598993</v>
      </c>
      <c r="G27" s="87">
        <f t="shared" si="0"/>
        <v>0.25154245788102264</v>
      </c>
      <c r="H27" s="87">
        <f t="shared" si="0"/>
        <v>0.25062849625454409</v>
      </c>
      <c r="I27" s="6"/>
    </row>
    <row r="28" spans="1:9" ht="15.75" x14ac:dyDescent="0.2">
      <c r="A28" s="86" t="s">
        <v>603</v>
      </c>
      <c r="B28" s="87">
        <f>B20/(B19+B20)</f>
        <v>0.7399160414293906</v>
      </c>
      <c r="C28" s="87">
        <f t="shared" ref="C28:H28" si="1">C20/(C19+C20)</f>
        <v>0.74432183131707852</v>
      </c>
      <c r="D28" s="87">
        <f t="shared" si="1"/>
        <v>0.75527272819439939</v>
      </c>
      <c r="E28" s="87">
        <f t="shared" si="1"/>
        <v>0.76005066269623534</v>
      </c>
      <c r="F28" s="87">
        <f t="shared" si="1"/>
        <v>0.75619545447401004</v>
      </c>
      <c r="G28" s="87">
        <f t="shared" si="1"/>
        <v>0.74845754211897741</v>
      </c>
      <c r="H28" s="87">
        <f t="shared" si="1"/>
        <v>0.74937150374545591</v>
      </c>
      <c r="I28" s="6"/>
    </row>
    <row r="29" spans="1:9" ht="15.75" x14ac:dyDescent="0.2">
      <c r="A29" s="86"/>
      <c r="B29" s="87">
        <f>B7/(56+16)</f>
        <v>0.97822222222222222</v>
      </c>
      <c r="C29" s="87">
        <f t="shared" ref="C29:H29" si="2">C7/(56+16)</f>
        <v>0.96701388888888884</v>
      </c>
      <c r="D29" s="87">
        <f t="shared" si="2"/>
        <v>0.95141666666666658</v>
      </c>
      <c r="E29" s="87">
        <f t="shared" si="2"/>
        <v>0.94527777777777777</v>
      </c>
      <c r="F29" s="87">
        <f t="shared" si="2"/>
        <v>0.95487500000000003</v>
      </c>
      <c r="G29" s="87">
        <f t="shared" si="2"/>
        <v>0.96493055555555551</v>
      </c>
      <c r="H29" s="87">
        <f t="shared" si="2"/>
        <v>0.97363888888888894</v>
      </c>
      <c r="I29" s="6"/>
    </row>
    <row r="30" spans="1:9" ht="15.75" x14ac:dyDescent="0.2">
      <c r="A30" s="86" t="s">
        <v>604</v>
      </c>
      <c r="B30" s="87">
        <f>B29*B27*(56*2+16*3)/2</f>
        <v>20.353592633383506</v>
      </c>
      <c r="C30" s="87">
        <f t="shared" ref="C30:H30" si="3">C29*C27*(56*2+16*3)/2</f>
        <v>19.779547216164897</v>
      </c>
      <c r="D30" s="87">
        <f t="shared" si="3"/>
        <v>18.627008414696945</v>
      </c>
      <c r="E30" s="87">
        <f t="shared" si="3"/>
        <v>18.145502107660249</v>
      </c>
      <c r="F30" s="87">
        <f t="shared" si="3"/>
        <v>18.624229232730372</v>
      </c>
      <c r="G30" s="87">
        <f t="shared" si="3"/>
        <v>19.417680290315609</v>
      </c>
      <c r="H30" s="87">
        <f t="shared" si="3"/>
        <v>19.521732049373391</v>
      </c>
      <c r="I30" s="6"/>
    </row>
    <row r="31" spans="1:9" ht="15.75" x14ac:dyDescent="0.2">
      <c r="A31" s="86" t="s">
        <v>605</v>
      </c>
      <c r="B31" s="87">
        <f>B29*B28*(56+16)</f>
        <v>52.113766629954839</v>
      </c>
      <c r="C31" s="87">
        <f t="shared" ref="C31:H31" si="4">C29*C28*(56+16)</f>
        <v>51.823407505451591</v>
      </c>
      <c r="D31" s="87">
        <f t="shared" si="4"/>
        <v>51.737692426772746</v>
      </c>
      <c r="E31" s="87">
        <f t="shared" si="4"/>
        <v>51.729048103105775</v>
      </c>
      <c r="F31" s="87">
        <f t="shared" si="4"/>
        <v>51.98919369054267</v>
      </c>
      <c r="G31" s="87">
        <f t="shared" si="4"/>
        <v>51.999087738715957</v>
      </c>
      <c r="H31" s="87">
        <f t="shared" si="4"/>
        <v>52.532441155563951</v>
      </c>
      <c r="I31" s="6"/>
    </row>
    <row r="32" spans="1:9" ht="15.75" x14ac:dyDescent="0.2">
      <c r="A32" s="86"/>
      <c r="B32" s="87">
        <f>SUM(B3:B6,B8:B9,B30:B31)</f>
        <v>99.449021041758272</v>
      </c>
      <c r="C32" s="87">
        <f t="shared" ref="C32:H32" si="5">SUM(C3:C6,C8:C9,C30:C31)</f>
        <v>99.003616500036429</v>
      </c>
      <c r="D32" s="87">
        <f t="shared" si="5"/>
        <v>98.895726633670591</v>
      </c>
      <c r="E32" s="87">
        <f t="shared" si="5"/>
        <v>98.608720932736958</v>
      </c>
      <c r="F32" s="87">
        <f t="shared" si="5"/>
        <v>98.958193592240235</v>
      </c>
      <c r="G32" s="87">
        <f t="shared" si="5"/>
        <v>98.61944873245119</v>
      </c>
      <c r="H32" s="87">
        <f t="shared" si="5"/>
        <v>99.630640786713371</v>
      </c>
      <c r="I32" s="6"/>
    </row>
    <row r="33" spans="1:9" ht="15.75" x14ac:dyDescent="0.2">
      <c r="A33" s="86"/>
      <c r="B33" s="87"/>
      <c r="C33" s="87"/>
      <c r="D33" s="87"/>
      <c r="E33" s="87"/>
      <c r="F33" s="87"/>
      <c r="G33" s="87"/>
      <c r="H33" s="88"/>
      <c r="I33" s="6"/>
    </row>
    <row r="34" spans="1:9" ht="15.75" x14ac:dyDescent="0.2">
      <c r="A34" s="86" t="s">
        <v>606</v>
      </c>
      <c r="B34" s="87" t="s">
        <v>592</v>
      </c>
      <c r="C34" s="87" t="s">
        <v>592</v>
      </c>
      <c r="D34" s="87" t="s">
        <v>592</v>
      </c>
      <c r="E34" s="87" t="s">
        <v>592</v>
      </c>
      <c r="F34" s="87" t="s">
        <v>592</v>
      </c>
      <c r="G34" s="87" t="s">
        <v>592</v>
      </c>
      <c r="H34" s="88" t="s">
        <v>592</v>
      </c>
      <c r="I34" s="6"/>
    </row>
    <row r="35" spans="1:9" ht="15.75" x14ac:dyDescent="0.2">
      <c r="A35" s="86" t="s">
        <v>1</v>
      </c>
      <c r="B35" s="87">
        <v>51.811999999999998</v>
      </c>
      <c r="C35" s="87">
        <v>51.338000000000001</v>
      </c>
      <c r="D35" s="87">
        <v>51.792999999999999</v>
      </c>
      <c r="E35" s="87">
        <v>51.661000000000001</v>
      </c>
      <c r="F35" s="87">
        <v>50.914000000000001</v>
      </c>
      <c r="G35" s="87">
        <v>51.445999999999998</v>
      </c>
      <c r="H35" s="88">
        <v>51.725999999999999</v>
      </c>
      <c r="I35" s="6"/>
    </row>
    <row r="36" spans="1:9" ht="15.75" x14ac:dyDescent="0.2">
      <c r="A36" s="86" t="s">
        <v>7</v>
      </c>
      <c r="B36" s="87">
        <v>4.2999999999999997E-2</v>
      </c>
      <c r="C36" s="87">
        <v>3.1E-2</v>
      </c>
      <c r="D36" s="87">
        <v>4.2000000000000003E-2</v>
      </c>
      <c r="E36" s="87">
        <v>0.03</v>
      </c>
      <c r="F36" s="87">
        <v>2.5999999999999999E-2</v>
      </c>
      <c r="G36" s="87">
        <v>0.04</v>
      </c>
      <c r="H36" s="88">
        <v>1.4999999999999999E-2</v>
      </c>
      <c r="I36" s="6"/>
    </row>
    <row r="37" spans="1:9" ht="15.75" x14ac:dyDescent="0.2">
      <c r="A37" s="86" t="s">
        <v>4</v>
      </c>
      <c r="B37" s="87">
        <v>3.5000000000000003E-2</v>
      </c>
      <c r="C37" s="87">
        <v>7.5999999999999998E-2</v>
      </c>
      <c r="D37" s="87">
        <v>7.0999999999999994E-2</v>
      </c>
      <c r="E37" s="87">
        <v>0.13700000000000001</v>
      </c>
      <c r="F37" s="87">
        <v>0.11</v>
      </c>
      <c r="G37" s="87">
        <v>2.8000000000000001E-2</v>
      </c>
      <c r="H37" s="88">
        <v>9.2999999999999999E-2</v>
      </c>
      <c r="I37" s="6"/>
    </row>
    <row r="38" spans="1:9" ht="15.75" x14ac:dyDescent="0.2">
      <c r="A38" s="86" t="s">
        <v>593</v>
      </c>
      <c r="B38" s="87">
        <v>5.3302268848765211E-2</v>
      </c>
      <c r="C38" s="87">
        <v>6.7620394467650502E-2</v>
      </c>
      <c r="D38" s="87">
        <v>0.10443527388412138</v>
      </c>
      <c r="E38" s="87">
        <v>6.8359308866595747E-2</v>
      </c>
      <c r="F38" s="87">
        <v>9.5588506835598552E-2</v>
      </c>
      <c r="G38" s="87">
        <v>6.9864365845625997E-2</v>
      </c>
      <c r="H38" s="88">
        <v>3.8904291640377342E-2</v>
      </c>
      <c r="I38" s="6"/>
    </row>
    <row r="39" spans="1:9" ht="15.75" x14ac:dyDescent="0.2">
      <c r="A39" s="86" t="s">
        <v>3</v>
      </c>
      <c r="B39" s="87">
        <v>46.648000000000003</v>
      </c>
      <c r="C39" s="87">
        <v>46.883000000000003</v>
      </c>
      <c r="D39" s="87">
        <v>46.405999999999999</v>
      </c>
      <c r="E39" s="87">
        <v>45.716999999999999</v>
      </c>
      <c r="F39" s="87">
        <v>45.960999999999999</v>
      </c>
      <c r="G39" s="87">
        <v>46.747999999999998</v>
      </c>
      <c r="H39" s="88">
        <v>45.975000000000001</v>
      </c>
      <c r="I39" s="6"/>
    </row>
    <row r="40" spans="1:9" ht="15.75" x14ac:dyDescent="0.2">
      <c r="A40" s="86" t="s">
        <v>10</v>
      </c>
      <c r="B40" s="87">
        <v>0.64700000000000002</v>
      </c>
      <c r="C40" s="87">
        <v>0.64</v>
      </c>
      <c r="D40" s="87">
        <v>0.59199999999999997</v>
      </c>
      <c r="E40" s="87">
        <v>0.64700000000000002</v>
      </c>
      <c r="F40" s="87">
        <v>0.61699999999999999</v>
      </c>
      <c r="G40" s="87">
        <v>0.63100000000000001</v>
      </c>
      <c r="H40" s="88">
        <v>0.70499999999999996</v>
      </c>
      <c r="I40" s="6"/>
    </row>
    <row r="41" spans="1:9" ht="15.75" x14ac:dyDescent="0.2">
      <c r="A41" s="86" t="s">
        <v>12</v>
      </c>
      <c r="B41" s="87">
        <v>0.38500000000000001</v>
      </c>
      <c r="C41" s="87">
        <v>0.505</v>
      </c>
      <c r="D41" s="87">
        <v>0.627</v>
      </c>
      <c r="E41" s="87">
        <v>0.72499999999999998</v>
      </c>
      <c r="F41" s="87">
        <v>0.746</v>
      </c>
      <c r="G41" s="87">
        <v>0.53800000000000003</v>
      </c>
      <c r="H41" s="88">
        <v>0.70899999999999996</v>
      </c>
      <c r="I41" s="6"/>
    </row>
    <row r="42" spans="1:9" ht="15.75" x14ac:dyDescent="0.2">
      <c r="A42" s="86" t="s">
        <v>2</v>
      </c>
      <c r="B42" s="87">
        <v>0</v>
      </c>
      <c r="C42" s="87">
        <v>0</v>
      </c>
      <c r="D42" s="87">
        <v>0</v>
      </c>
      <c r="E42" s="87">
        <v>0</v>
      </c>
      <c r="F42" s="87">
        <v>0</v>
      </c>
      <c r="G42" s="87">
        <v>0</v>
      </c>
      <c r="H42" s="88">
        <v>0</v>
      </c>
      <c r="I42" s="6"/>
    </row>
    <row r="43" spans="1:9" ht="15.75" x14ac:dyDescent="0.2">
      <c r="A43" s="86" t="s">
        <v>594</v>
      </c>
      <c r="B43" s="87">
        <v>0</v>
      </c>
      <c r="C43" s="87">
        <v>0</v>
      </c>
      <c r="D43" s="87">
        <v>0</v>
      </c>
      <c r="E43" s="87">
        <v>0</v>
      </c>
      <c r="F43" s="87">
        <v>0</v>
      </c>
      <c r="G43" s="87">
        <v>0</v>
      </c>
      <c r="H43" s="88">
        <v>0</v>
      </c>
      <c r="I43" s="6"/>
    </row>
    <row r="44" spans="1:9" ht="15.75" x14ac:dyDescent="0.2">
      <c r="A44" s="86" t="s">
        <v>14</v>
      </c>
      <c r="B44" s="87">
        <v>99.623302268848775</v>
      </c>
      <c r="C44" s="87">
        <v>99.540620394467652</v>
      </c>
      <c r="D44" s="87">
        <v>99.635435273884113</v>
      </c>
      <c r="E44" s="87">
        <v>98.985359308866592</v>
      </c>
      <c r="F44" s="87">
        <v>98.469588506835606</v>
      </c>
      <c r="G44" s="87">
        <v>99.500864365845615</v>
      </c>
      <c r="H44" s="88">
        <v>99.261904291640391</v>
      </c>
      <c r="I44" s="6"/>
    </row>
    <row r="45" spans="1:9" ht="15.75" x14ac:dyDescent="0.2">
      <c r="A45" s="86"/>
      <c r="B45" s="87"/>
      <c r="C45" s="87"/>
      <c r="D45" s="87"/>
      <c r="E45" s="87"/>
      <c r="F45" s="87"/>
      <c r="G45" s="87"/>
      <c r="H45" s="88"/>
      <c r="I45" s="6"/>
    </row>
    <row r="46" spans="1:9" ht="15.75" x14ac:dyDescent="0.2">
      <c r="A46" s="86"/>
      <c r="B46" s="87" t="s">
        <v>595</v>
      </c>
      <c r="C46" s="87" t="s">
        <v>595</v>
      </c>
      <c r="D46" s="87" t="s">
        <v>595</v>
      </c>
      <c r="E46" s="87" t="s">
        <v>595</v>
      </c>
      <c r="F46" s="87" t="s">
        <v>595</v>
      </c>
      <c r="G46" s="87" t="s">
        <v>595</v>
      </c>
      <c r="H46" s="88" t="s">
        <v>595</v>
      </c>
      <c r="I46" s="6"/>
    </row>
    <row r="47" spans="1:9" ht="15.75" x14ac:dyDescent="0.2">
      <c r="A47" s="86" t="s">
        <v>596</v>
      </c>
      <c r="B47" s="87">
        <v>0.9838239776508666</v>
      </c>
      <c r="C47" s="87">
        <v>0.9742983557479532</v>
      </c>
      <c r="D47" s="87">
        <v>0.98140954959866089</v>
      </c>
      <c r="E47" s="87">
        <v>0.98478404843209388</v>
      </c>
      <c r="F47" s="87">
        <v>0.97494442958267302</v>
      </c>
      <c r="G47" s="87">
        <v>0.97654059186991948</v>
      </c>
      <c r="H47" s="88">
        <v>0.98335849712217605</v>
      </c>
      <c r="I47" s="6"/>
    </row>
    <row r="48" spans="1:9" ht="15.75" x14ac:dyDescent="0.2">
      <c r="A48" s="86" t="s">
        <v>573</v>
      </c>
      <c r="B48" s="87">
        <v>1.2793275440617657E-3</v>
      </c>
      <c r="C48" s="87">
        <v>9.2180904787022536E-4</v>
      </c>
      <c r="D48" s="87">
        <v>1.246966399900185E-3</v>
      </c>
      <c r="E48" s="87">
        <v>8.9603649833972464E-4</v>
      </c>
      <c r="F48" s="87">
        <v>7.8008556339759217E-4</v>
      </c>
      <c r="G48" s="87">
        <v>1.1896656634153373E-3</v>
      </c>
      <c r="H48" s="88">
        <v>4.4680753363537327E-4</v>
      </c>
      <c r="I48" s="6"/>
    </row>
    <row r="49" spans="1:9" ht="15.75" x14ac:dyDescent="0.2">
      <c r="A49" s="86" t="s">
        <v>576</v>
      </c>
      <c r="B49" s="87">
        <v>6.9855568527823857E-4</v>
      </c>
      <c r="C49" s="87">
        <v>1.5160466231181537E-3</v>
      </c>
      <c r="D49" s="87">
        <v>1.4141110049964755E-3</v>
      </c>
      <c r="E49" s="87">
        <v>2.7450148927910616E-3</v>
      </c>
      <c r="F49" s="87">
        <v>2.2140186267296182E-3</v>
      </c>
      <c r="G49" s="87">
        <v>5.5865367418237398E-4</v>
      </c>
      <c r="H49" s="88">
        <v>1.8583686439471454E-3</v>
      </c>
      <c r="I49" s="6"/>
    </row>
    <row r="50" spans="1:9" ht="15.75" x14ac:dyDescent="0.2">
      <c r="A50" s="86" t="s">
        <v>597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8">
        <v>0</v>
      </c>
      <c r="I50" s="6"/>
    </row>
    <row r="51" spans="1:9" ht="15.75" x14ac:dyDescent="0.2">
      <c r="A51" s="86" t="s">
        <v>598</v>
      </c>
      <c r="B51" s="87">
        <v>3.2531777725715472E-2</v>
      </c>
      <c r="C51" s="87">
        <v>5.170115625119287E-2</v>
      </c>
      <c r="D51" s="87">
        <v>3.8738418910853945E-2</v>
      </c>
      <c r="E51" s="87">
        <v>2.9568756326526113E-2</v>
      </c>
      <c r="F51" s="87">
        <v>5.101905929287831E-2</v>
      </c>
      <c r="G51" s="87">
        <v>4.7997562433540253E-2</v>
      </c>
      <c r="H51" s="88">
        <v>3.2554503758570164E-2</v>
      </c>
      <c r="I51" s="6"/>
    </row>
    <row r="52" spans="1:9" ht="15.75" x14ac:dyDescent="0.2">
      <c r="A52" s="86" t="s">
        <v>599</v>
      </c>
      <c r="B52" s="87">
        <v>0.95226494481245771</v>
      </c>
      <c r="C52" s="87">
        <v>0.93752351259232236</v>
      </c>
      <c r="D52" s="87">
        <v>0.93890361978282144</v>
      </c>
      <c r="E52" s="87">
        <v>0.9393390179145148</v>
      </c>
      <c r="F52" s="87">
        <v>0.92747599165642125</v>
      </c>
      <c r="G52" s="87">
        <v>0.93857320366105867</v>
      </c>
      <c r="H52" s="88">
        <v>0.93918808565522793</v>
      </c>
      <c r="I52" s="6"/>
    </row>
    <row r="53" spans="1:9" ht="15.75" x14ac:dyDescent="0.2">
      <c r="A53" s="86" t="s">
        <v>571</v>
      </c>
      <c r="B53" s="87">
        <v>1.3833994288490381E-2</v>
      </c>
      <c r="C53" s="87">
        <v>1.3676950126793951E-2</v>
      </c>
      <c r="D53" s="87">
        <v>1.2631565669584045E-2</v>
      </c>
      <c r="E53" s="87">
        <v>1.3887969136271614E-2</v>
      </c>
      <c r="F53" s="87">
        <v>1.3304056278312873E-2</v>
      </c>
      <c r="G53" s="87">
        <v>1.3487278067802803E-2</v>
      </c>
      <c r="H53" s="88">
        <v>1.5092054388982175E-2</v>
      </c>
      <c r="I53" s="6"/>
    </row>
    <row r="54" spans="1:9" ht="15.75" x14ac:dyDescent="0.2">
      <c r="A54" s="86" t="s">
        <v>578</v>
      </c>
      <c r="B54" s="87">
        <v>1.4488614164735635E-2</v>
      </c>
      <c r="C54" s="87">
        <v>1.8994307901705469E-2</v>
      </c>
      <c r="D54" s="87">
        <v>2.3546470876646821E-2</v>
      </c>
      <c r="E54" s="87">
        <v>2.7390204508540527E-2</v>
      </c>
      <c r="F54" s="87">
        <v>2.831134767541155E-2</v>
      </c>
      <c r="G54" s="87">
        <v>2.0239511874592418E-2</v>
      </c>
      <c r="H54" s="88">
        <v>2.6713345807208765E-2</v>
      </c>
      <c r="I54" s="6"/>
    </row>
    <row r="55" spans="1:9" ht="15.75" x14ac:dyDescent="0.2">
      <c r="A55" s="86" t="s">
        <v>569</v>
      </c>
      <c r="B55" s="87">
        <v>0</v>
      </c>
      <c r="C55" s="87">
        <v>0</v>
      </c>
      <c r="D55" s="87">
        <v>0</v>
      </c>
      <c r="E55" s="87">
        <v>0</v>
      </c>
      <c r="F55" s="87">
        <v>0</v>
      </c>
      <c r="G55" s="87">
        <v>0</v>
      </c>
      <c r="H55" s="88">
        <v>0</v>
      </c>
      <c r="I55" s="6"/>
    </row>
    <row r="56" spans="1:9" ht="15.75" x14ac:dyDescent="0.2">
      <c r="A56" s="86" t="s">
        <v>600</v>
      </c>
      <c r="B56" s="87">
        <v>0</v>
      </c>
      <c r="C56" s="87">
        <v>0</v>
      </c>
      <c r="D56" s="87">
        <v>0</v>
      </c>
      <c r="E56" s="87">
        <v>0</v>
      </c>
      <c r="F56" s="87">
        <v>0</v>
      </c>
      <c r="G56" s="87">
        <v>0</v>
      </c>
      <c r="H56" s="88">
        <v>0</v>
      </c>
      <c r="I56" s="6"/>
    </row>
    <row r="57" spans="1:9" ht="15.75" x14ac:dyDescent="0.2">
      <c r="A57" s="86" t="s">
        <v>607</v>
      </c>
      <c r="B57" s="87">
        <v>1.9989211918716057</v>
      </c>
      <c r="C57" s="87">
        <v>1.998632138290956</v>
      </c>
      <c r="D57" s="87">
        <v>1.9978907022434638</v>
      </c>
      <c r="E57" s="87">
        <v>1.9986110477090777</v>
      </c>
      <c r="F57" s="87">
        <v>1.9980489886758241</v>
      </c>
      <c r="G57" s="87">
        <v>1.9985864672445115</v>
      </c>
      <c r="H57" s="88">
        <v>1.9992116629097476</v>
      </c>
      <c r="I57" s="6"/>
    </row>
    <row r="58" spans="1:9" ht="15.75" x14ac:dyDescent="0.2">
      <c r="A58" s="86" t="s">
        <v>608</v>
      </c>
      <c r="B58" s="87">
        <v>3</v>
      </c>
      <c r="C58" s="87">
        <v>3.0000000000000004</v>
      </c>
      <c r="D58" s="87">
        <v>2.9999999999999996</v>
      </c>
      <c r="E58" s="87">
        <v>3</v>
      </c>
      <c r="F58" s="87">
        <v>3</v>
      </c>
      <c r="G58" s="87">
        <v>2.9999999999999996</v>
      </c>
      <c r="H58" s="88">
        <v>3</v>
      </c>
      <c r="I58" s="6"/>
    </row>
    <row r="59" spans="1:9" ht="15.75" x14ac:dyDescent="0.2">
      <c r="A59" s="86"/>
      <c r="B59" s="87"/>
      <c r="C59" s="87"/>
      <c r="D59" s="87"/>
      <c r="E59" s="87"/>
      <c r="F59" s="87"/>
      <c r="G59" s="87"/>
      <c r="H59" s="88"/>
      <c r="I59" s="6"/>
    </row>
    <row r="60" spans="1:9" ht="15.75" x14ac:dyDescent="0.2">
      <c r="A60" s="86" t="s">
        <v>609</v>
      </c>
      <c r="B60" s="87">
        <v>9.9999999999999995E-7</v>
      </c>
      <c r="C60" s="87">
        <v>9.9999999999999995E-7</v>
      </c>
      <c r="D60" s="87">
        <v>9.9999999999999995E-7</v>
      </c>
      <c r="E60" s="87">
        <v>9.9999999999999995E-7</v>
      </c>
      <c r="F60" s="87">
        <v>9.9999999999999995E-7</v>
      </c>
      <c r="G60" s="87">
        <v>9.9999999999999995E-7</v>
      </c>
      <c r="H60" s="88">
        <v>9.9999999999999995E-7</v>
      </c>
      <c r="I60" s="6"/>
    </row>
    <row r="61" spans="1:9" ht="15.75" x14ac:dyDescent="0.2">
      <c r="A61" s="86" t="s">
        <v>610</v>
      </c>
      <c r="B61" s="87">
        <v>1000</v>
      </c>
      <c r="C61" s="87">
        <v>1000</v>
      </c>
      <c r="D61" s="87">
        <v>1000</v>
      </c>
      <c r="E61" s="87">
        <v>1000</v>
      </c>
      <c r="F61" s="87">
        <v>1000</v>
      </c>
      <c r="G61" s="87">
        <v>1000</v>
      </c>
      <c r="H61" s="88">
        <v>1000</v>
      </c>
      <c r="I61" s="6"/>
    </row>
    <row r="62" spans="1:9" ht="15.75" x14ac:dyDescent="0.2">
      <c r="A62" s="86"/>
      <c r="B62" s="87"/>
      <c r="C62" s="87"/>
      <c r="D62" s="87"/>
      <c r="E62" s="87"/>
      <c r="F62" s="87"/>
      <c r="G62" s="87"/>
      <c r="H62" s="88"/>
      <c r="I62" s="6"/>
    </row>
    <row r="63" spans="1:9" ht="15.75" x14ac:dyDescent="0.2">
      <c r="A63" s="86" t="s">
        <v>611</v>
      </c>
      <c r="B63" s="87"/>
      <c r="C63" s="87"/>
      <c r="D63" s="87"/>
      <c r="E63" s="87"/>
      <c r="F63" s="87"/>
      <c r="G63" s="87"/>
      <c r="H63" s="88"/>
      <c r="I63" s="6"/>
    </row>
    <row r="64" spans="1:9" ht="15.75" x14ac:dyDescent="0.2">
      <c r="A64" s="86" t="s">
        <v>612</v>
      </c>
      <c r="B64" s="89">
        <v>0.69746363719378368</v>
      </c>
      <c r="C64" s="89">
        <v>0.70346605056062084</v>
      </c>
      <c r="D64" s="89">
        <v>0.71538353252189868</v>
      </c>
      <c r="E64" s="89">
        <v>0.72294474070354708</v>
      </c>
      <c r="F64" s="89">
        <v>0.71939900594584538</v>
      </c>
      <c r="G64" s="89">
        <v>0.70977779799031071</v>
      </c>
      <c r="H64" s="90">
        <v>0.71261029871382064</v>
      </c>
      <c r="I64" s="6"/>
    </row>
    <row r="65" spans="1:10" ht="15.75" x14ac:dyDescent="0.2">
      <c r="A65" s="86" t="s">
        <v>613</v>
      </c>
      <c r="B65" s="89">
        <v>0.98320560554470626</v>
      </c>
      <c r="C65" s="89">
        <v>0.9731666251203287</v>
      </c>
      <c r="D65" s="89">
        <v>0.9797873748848499</v>
      </c>
      <c r="E65" s="89">
        <v>0.98450475250471914</v>
      </c>
      <c r="F65" s="89">
        <v>0.97323198613598649</v>
      </c>
      <c r="G65" s="89">
        <v>0.97506806597969287</v>
      </c>
      <c r="H65" s="90">
        <v>0.98296405820300403</v>
      </c>
      <c r="I65" s="6"/>
    </row>
    <row r="66" spans="1:10" ht="15.75" x14ac:dyDescent="0.2">
      <c r="A66" s="86"/>
      <c r="B66" s="87"/>
      <c r="C66" s="87"/>
      <c r="D66" s="87"/>
      <c r="E66" s="87"/>
      <c r="F66" s="87"/>
      <c r="G66" s="87"/>
      <c r="H66" s="88"/>
      <c r="I66" s="6"/>
    </row>
    <row r="67" spans="1:10" ht="15.75" x14ac:dyDescent="0.2">
      <c r="A67" s="86" t="s">
        <v>614</v>
      </c>
      <c r="B67" s="87"/>
      <c r="C67" s="87"/>
      <c r="D67" s="87"/>
      <c r="E67" s="87"/>
      <c r="F67" s="87"/>
      <c r="G67" s="87"/>
      <c r="H67" s="88"/>
      <c r="I67" s="6"/>
    </row>
    <row r="68" spans="1:10" ht="15.75" x14ac:dyDescent="0.2">
      <c r="A68" s="86" t="s">
        <v>615</v>
      </c>
      <c r="B68" s="91">
        <v>821.7071533203125</v>
      </c>
      <c r="C68" s="91">
        <v>883.24966430664063</v>
      </c>
      <c r="D68" s="91">
        <v>857.52182006835938</v>
      </c>
      <c r="E68" s="91">
        <v>832.14111328125</v>
      </c>
      <c r="F68" s="91">
        <v>896.71859741210938</v>
      </c>
      <c r="G68" s="91">
        <v>879.10385131835938</v>
      </c>
      <c r="H68" s="92">
        <v>834.9578857421875</v>
      </c>
      <c r="I68" s="6"/>
    </row>
    <row r="69" spans="1:10" ht="15.75" x14ac:dyDescent="0.2">
      <c r="A69" s="86" t="s">
        <v>616</v>
      </c>
      <c r="B69" s="93">
        <v>-3.0701651233565332</v>
      </c>
      <c r="C69" s="93">
        <v>-2.1988583896478966</v>
      </c>
      <c r="D69" s="93">
        <v>-2.7108690364499832</v>
      </c>
      <c r="E69" s="93">
        <v>-3.2324430113103668</v>
      </c>
      <c r="F69" s="93">
        <v>-2.2066553659912218</v>
      </c>
      <c r="G69" s="93">
        <v>-2.3279110434466057</v>
      </c>
      <c r="H69" s="94">
        <v>-3.0427785726105512</v>
      </c>
      <c r="I69" s="6"/>
    </row>
    <row r="70" spans="1:10" ht="15.75" x14ac:dyDescent="0.2">
      <c r="A70" s="86" t="s">
        <v>617</v>
      </c>
      <c r="B70" s="93">
        <v>-16.47947712550301</v>
      </c>
      <c r="C70" s="93">
        <v>-14.422263544313289</v>
      </c>
      <c r="D70" s="93">
        <v>-15.414153782114699</v>
      </c>
      <c r="E70" s="93">
        <v>-16.431288233457398</v>
      </c>
      <c r="F70" s="93">
        <v>-14.187353522057947</v>
      </c>
      <c r="G70" s="93">
        <v>-14.627178810235421</v>
      </c>
      <c r="H70" s="94">
        <v>-16.185493010339854</v>
      </c>
      <c r="I70" s="6"/>
    </row>
    <row r="71" spans="1:10" ht="15.75" x14ac:dyDescent="0.2">
      <c r="A71" s="86" t="s">
        <v>620</v>
      </c>
      <c r="B71" s="93">
        <v>-2.3515040873179007</v>
      </c>
      <c r="C71" s="93">
        <v>-1.4864766290482976</v>
      </c>
      <c r="D71" s="93">
        <v>-1.9944644673417944</v>
      </c>
      <c r="E71" s="93">
        <v>-2.5123838498077316</v>
      </c>
      <c r="F71" s="93">
        <v>-1.4974981835278012</v>
      </c>
      <c r="G71" s="93">
        <v>-1.6161616402690413</v>
      </c>
      <c r="H71" s="94">
        <v>-2.32262622388666</v>
      </c>
      <c r="I71" s="6"/>
    </row>
    <row r="72" spans="1:10" ht="15.75" x14ac:dyDescent="0.2">
      <c r="A72" s="86"/>
      <c r="B72" s="87" t="s">
        <v>220</v>
      </c>
      <c r="C72" s="87" t="s">
        <v>211</v>
      </c>
      <c r="D72" s="87" t="s">
        <v>236</v>
      </c>
      <c r="E72" s="87" t="s">
        <v>472</v>
      </c>
      <c r="F72" s="87" t="s">
        <v>258</v>
      </c>
      <c r="G72" s="87" t="s">
        <v>221</v>
      </c>
      <c r="H72" s="88" t="s">
        <v>263</v>
      </c>
      <c r="I72" s="6"/>
    </row>
    <row r="73" spans="1:10" ht="15.75" x14ac:dyDescent="0.2">
      <c r="A73" s="86"/>
      <c r="B73" s="87"/>
      <c r="C73" s="87"/>
      <c r="D73" s="87"/>
      <c r="E73" s="87"/>
      <c r="F73" s="87"/>
      <c r="G73" s="87"/>
      <c r="H73" s="87"/>
      <c r="I73" s="79"/>
      <c r="J73" s="79"/>
    </row>
    <row r="74" spans="1:10" ht="15.75" x14ac:dyDescent="0.2">
      <c r="A74" s="86" t="s">
        <v>615</v>
      </c>
      <c r="B74" s="91">
        <v>821.7071533203125</v>
      </c>
      <c r="C74" s="91">
        <v>883.24966430664063</v>
      </c>
      <c r="D74" s="91">
        <v>857.52182006835938</v>
      </c>
      <c r="E74" s="91">
        <v>832.14111328125</v>
      </c>
      <c r="F74" s="91">
        <v>896.71859741210938</v>
      </c>
      <c r="G74" s="91">
        <v>879.10385131835938</v>
      </c>
      <c r="H74" s="91">
        <v>834.9578857421875</v>
      </c>
      <c r="I74" s="80">
        <f>AVERAGE(B74:H74)</f>
        <v>857.91429792131692</v>
      </c>
      <c r="J74" s="80">
        <f>STDEV(B74:H74)</f>
        <v>29.151949299226366</v>
      </c>
    </row>
    <row r="75" spans="1:10" ht="15.75" x14ac:dyDescent="0.2">
      <c r="A75" s="86" t="s">
        <v>618</v>
      </c>
      <c r="B75" s="91">
        <v>-2.3515040873179007</v>
      </c>
      <c r="C75" s="91">
        <v>-1.4864766290482976</v>
      </c>
      <c r="D75" s="91">
        <v>-1.9944644673417944</v>
      </c>
      <c r="E75" s="91">
        <v>-2.5123838498077316</v>
      </c>
      <c r="F75" s="91">
        <v>-1.4974981835278012</v>
      </c>
      <c r="G75" s="91">
        <v>-1.6161616402690413</v>
      </c>
      <c r="H75" s="91">
        <v>-2.32262622388666</v>
      </c>
      <c r="I75" s="80">
        <f>AVERAGE(B75:H75)</f>
        <v>-1.9687307258856037</v>
      </c>
      <c r="J75" s="80">
        <f>STDEV(B75:H75)</f>
        <v>0.43720942681074443</v>
      </c>
    </row>
    <row r="76" spans="1:10" ht="15.75" x14ac:dyDescent="0.2">
      <c r="A76" s="86"/>
      <c r="B76" s="87"/>
      <c r="C76" s="87"/>
      <c r="D76" s="87"/>
      <c r="E76" s="87"/>
      <c r="F76" s="87"/>
      <c r="G76" s="87"/>
      <c r="H76" s="87"/>
      <c r="I76" s="81" t="s">
        <v>108</v>
      </c>
      <c r="J76" s="81" t="s">
        <v>619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58F80-E74A-43BA-84D3-3193F92B8E30}">
  <dimension ref="A1:AC12"/>
  <sheetViews>
    <sheetView tabSelected="1" workbookViewId="0">
      <selection activeCell="I22" sqref="I22"/>
    </sheetView>
  </sheetViews>
  <sheetFormatPr defaultRowHeight="15" x14ac:dyDescent="0.2"/>
  <cols>
    <col min="1" max="16384" width="9" style="35"/>
  </cols>
  <sheetData>
    <row r="1" spans="1:29" s="74" customFormat="1" x14ac:dyDescent="0.2">
      <c r="B1" s="74" t="s">
        <v>568</v>
      </c>
      <c r="C1" s="74" t="s">
        <v>569</v>
      </c>
      <c r="D1" s="74" t="s">
        <v>570</v>
      </c>
      <c r="E1" s="74" t="s">
        <v>571</v>
      </c>
      <c r="F1" s="74" t="s">
        <v>572</v>
      </c>
      <c r="G1" s="74" t="s">
        <v>573</v>
      </c>
      <c r="H1" s="74" t="s">
        <v>574</v>
      </c>
      <c r="I1" s="74" t="s">
        <v>575</v>
      </c>
      <c r="J1" s="74" t="s">
        <v>517</v>
      </c>
      <c r="K1" s="74" t="s">
        <v>576</v>
      </c>
      <c r="L1" s="74" t="s">
        <v>577</v>
      </c>
      <c r="M1" s="74" t="s">
        <v>578</v>
      </c>
      <c r="N1" s="74" t="s">
        <v>14</v>
      </c>
      <c r="P1" s="74" t="s">
        <v>568</v>
      </c>
      <c r="Q1" s="74" t="s">
        <v>569</v>
      </c>
      <c r="R1" s="74" t="s">
        <v>570</v>
      </c>
      <c r="S1" s="74" t="s">
        <v>571</v>
      </c>
      <c r="T1" s="74" t="s">
        <v>572</v>
      </c>
      <c r="U1" s="74" t="s">
        <v>573</v>
      </c>
      <c r="V1" s="74" t="s">
        <v>574</v>
      </c>
      <c r="W1" s="74" t="s">
        <v>575</v>
      </c>
      <c r="X1" s="74" t="s">
        <v>517</v>
      </c>
      <c r="Y1" s="74" t="s">
        <v>576</v>
      </c>
      <c r="Z1" s="74" t="s">
        <v>577</v>
      </c>
      <c r="AA1" s="74" t="s">
        <v>578</v>
      </c>
      <c r="AB1" s="74" t="s">
        <v>14</v>
      </c>
      <c r="AC1" s="74" t="s">
        <v>579</v>
      </c>
    </row>
    <row r="2" spans="1:29" x14ac:dyDescent="0.2">
      <c r="A2" s="35" t="s">
        <v>653</v>
      </c>
      <c r="B2" s="35">
        <v>30.648</v>
      </c>
      <c r="C2" s="35">
        <v>0.126</v>
      </c>
      <c r="D2" s="35">
        <v>3.7999999999999999E-2</v>
      </c>
      <c r="E2" s="35">
        <v>0.23899999999999999</v>
      </c>
      <c r="F2" s="35">
        <v>30.286999999999999</v>
      </c>
      <c r="G2" s="35">
        <v>3.6970000000000001</v>
      </c>
      <c r="H2" s="35">
        <v>14.282</v>
      </c>
      <c r="I2" s="35">
        <v>5.5E-2</v>
      </c>
      <c r="J2" s="35">
        <v>3.0430000000000001</v>
      </c>
      <c r="K2" s="35">
        <v>1.4E-2</v>
      </c>
      <c r="L2" s="35">
        <v>15.776999999999999</v>
      </c>
      <c r="M2" s="35">
        <v>1.373</v>
      </c>
      <c r="N2" s="35">
        <v>99.578999999999994</v>
      </c>
      <c r="P2" s="35">
        <v>14.722</v>
      </c>
      <c r="Q2" s="35">
        <v>5.7599999999999998E-2</v>
      </c>
      <c r="R2" s="35">
        <v>1.7500000000000002E-2</v>
      </c>
      <c r="S2" s="35">
        <v>0.1166</v>
      </c>
      <c r="T2" s="35">
        <v>50.782699999999998</v>
      </c>
      <c r="U2" s="35">
        <v>3.6762999999999999</v>
      </c>
      <c r="V2" s="35">
        <v>11.9512</v>
      </c>
      <c r="W2" s="35">
        <v>4.8099999999999997E-2</v>
      </c>
      <c r="X2" s="35">
        <v>2.0369999999999999</v>
      </c>
      <c r="Y2" s="35">
        <v>7.1000000000000004E-3</v>
      </c>
      <c r="Z2" s="35">
        <v>15.0685</v>
      </c>
      <c r="AA2" s="35">
        <v>1.5155000000000001</v>
      </c>
      <c r="AB2" s="35">
        <v>100.0001</v>
      </c>
    </row>
    <row r="3" spans="1:29" x14ac:dyDescent="0.2">
      <c r="A3" s="35" t="s">
        <v>654</v>
      </c>
      <c r="B3" s="35">
        <v>60.484000000000002</v>
      </c>
      <c r="C3" s="35">
        <v>0.125</v>
      </c>
      <c r="D3" s="35">
        <v>9.1999999999999998E-2</v>
      </c>
      <c r="E3" s="35">
        <v>1.2E-2</v>
      </c>
      <c r="F3" s="35">
        <v>2.5019999999999998</v>
      </c>
      <c r="G3" s="35">
        <v>0.107</v>
      </c>
      <c r="H3" s="35">
        <v>35.963999999999999</v>
      </c>
      <c r="I3" s="35">
        <v>1E-3</v>
      </c>
      <c r="J3" s="35">
        <v>0.106</v>
      </c>
      <c r="K3" s="35">
        <v>0</v>
      </c>
      <c r="L3" s="35">
        <v>0.63200000000000001</v>
      </c>
      <c r="M3" s="35">
        <v>6.6000000000000003E-2</v>
      </c>
      <c r="N3" s="35">
        <v>100.09099999999999</v>
      </c>
      <c r="P3" s="35">
        <v>45.1828</v>
      </c>
      <c r="Q3" s="35">
        <v>8.8700000000000001E-2</v>
      </c>
      <c r="R3" s="35">
        <v>6.5299999999999997E-2</v>
      </c>
      <c r="S3" s="35">
        <v>8.9999999999999993E-3</v>
      </c>
      <c r="T3" s="35">
        <v>6.5243000000000002</v>
      </c>
      <c r="U3" s="35">
        <v>0.16520000000000001</v>
      </c>
      <c r="V3" s="35">
        <v>46.801699999999997</v>
      </c>
      <c r="W3" s="35">
        <v>1.1000000000000001E-3</v>
      </c>
      <c r="X3" s="35">
        <v>0.1106</v>
      </c>
      <c r="Y3" s="35">
        <v>0</v>
      </c>
      <c r="Z3" s="35">
        <v>0.93799999999999994</v>
      </c>
      <c r="AA3" s="35">
        <v>0.1133</v>
      </c>
      <c r="AB3" s="35">
        <v>100</v>
      </c>
    </row>
    <row r="4" spans="1:29" x14ac:dyDescent="0.2">
      <c r="A4" s="35" t="s">
        <v>580</v>
      </c>
      <c r="B4" s="35">
        <v>53.91</v>
      </c>
      <c r="C4" s="35">
        <v>0.16400000000000001</v>
      </c>
      <c r="D4" s="35">
        <v>8.1000000000000003E-2</v>
      </c>
      <c r="E4" s="35">
        <v>4.3999999999999997E-2</v>
      </c>
      <c r="F4" s="35">
        <v>7.9039999999999999</v>
      </c>
      <c r="G4" s="35">
        <v>0.78600000000000003</v>
      </c>
      <c r="H4" s="35">
        <v>31.765999999999998</v>
      </c>
      <c r="I4" s="35">
        <v>1.2999999999999999E-2</v>
      </c>
      <c r="J4" s="35">
        <v>0.626</v>
      </c>
      <c r="K4" s="35">
        <v>1.7000000000000001E-2</v>
      </c>
      <c r="L4" s="35">
        <v>3.5169999999999999</v>
      </c>
      <c r="M4" s="35">
        <v>0.30399999999999999</v>
      </c>
      <c r="N4" s="35">
        <v>99.132000000000005</v>
      </c>
      <c r="P4" s="35">
        <v>36.587499999999999</v>
      </c>
      <c r="Q4" s="35">
        <v>0.10580000000000001</v>
      </c>
      <c r="R4" s="35">
        <v>5.1900000000000002E-2</v>
      </c>
      <c r="S4" s="35">
        <v>3.0099999999999998E-2</v>
      </c>
      <c r="T4" s="35">
        <v>18.723600000000001</v>
      </c>
      <c r="U4" s="35">
        <v>1.1039000000000001</v>
      </c>
      <c r="V4" s="35">
        <v>37.5565</v>
      </c>
      <c r="W4" s="35">
        <v>1.6299999999999999E-2</v>
      </c>
      <c r="X4" s="35">
        <v>0.59219999999999995</v>
      </c>
      <c r="Y4" s="35">
        <v>1.2500000000000001E-2</v>
      </c>
      <c r="Z4" s="35">
        <v>4.7454999999999998</v>
      </c>
      <c r="AA4" s="35">
        <v>0.47420000000000001</v>
      </c>
      <c r="AB4" s="35">
        <v>100</v>
      </c>
    </row>
    <row r="5" spans="1:29" x14ac:dyDescent="0.2">
      <c r="A5" s="35" t="s">
        <v>655</v>
      </c>
      <c r="B5" s="35">
        <v>60.674999999999997</v>
      </c>
      <c r="C5" s="35">
        <v>0.14399999999999999</v>
      </c>
      <c r="D5" s="35">
        <v>9.4E-2</v>
      </c>
      <c r="E5" s="35">
        <v>4.5999999999999999E-2</v>
      </c>
      <c r="F5" s="35">
        <v>0.85599999999999998</v>
      </c>
      <c r="G5" s="35">
        <v>3.0000000000000001E-3</v>
      </c>
      <c r="H5" s="35">
        <v>37.079000000000001</v>
      </c>
      <c r="I5" s="35">
        <v>0.01</v>
      </c>
      <c r="J5" s="35">
        <v>9.8000000000000004E-2</v>
      </c>
      <c r="K5" s="35">
        <v>5.0000000000000001E-3</v>
      </c>
      <c r="L5" s="35">
        <v>2.5999999999999999E-2</v>
      </c>
      <c r="M5" s="35">
        <v>2.3E-2</v>
      </c>
      <c r="N5" s="35">
        <v>99.058999999999997</v>
      </c>
      <c r="P5" s="35">
        <v>47.107300000000002</v>
      </c>
      <c r="Q5" s="35">
        <v>0.1067</v>
      </c>
      <c r="R5" s="35">
        <v>6.9400000000000003E-2</v>
      </c>
      <c r="S5" s="35">
        <v>3.6400000000000002E-2</v>
      </c>
      <c r="T5" s="35">
        <v>2.3208000000000002</v>
      </c>
      <c r="U5" s="35">
        <v>5.3E-3</v>
      </c>
      <c r="V5" s="35">
        <v>50.1492</v>
      </c>
      <c r="W5" s="35">
        <v>1.37E-2</v>
      </c>
      <c r="X5" s="35">
        <v>0.10639999999999999</v>
      </c>
      <c r="Y5" s="35">
        <v>4.1999999999999997E-3</v>
      </c>
      <c r="Z5" s="35">
        <v>0.04</v>
      </c>
      <c r="AA5" s="35">
        <v>4.07E-2</v>
      </c>
      <c r="AB5" s="35">
        <v>100.0001</v>
      </c>
    </row>
    <row r="6" spans="1:29" x14ac:dyDescent="0.2">
      <c r="A6" s="35" t="s">
        <v>581</v>
      </c>
      <c r="B6" s="35">
        <v>59.755000000000003</v>
      </c>
      <c r="C6" s="35">
        <v>0.16200000000000001</v>
      </c>
      <c r="D6" s="35">
        <v>0.106</v>
      </c>
      <c r="E6" s="35">
        <v>1.4E-2</v>
      </c>
      <c r="F6" s="35">
        <v>3.323</v>
      </c>
      <c r="G6" s="35">
        <v>4.0000000000000001E-3</v>
      </c>
      <c r="H6" s="35">
        <v>36.991</v>
      </c>
      <c r="I6" s="35">
        <v>3.0000000000000001E-3</v>
      </c>
      <c r="J6" s="35">
        <v>0.12</v>
      </c>
      <c r="K6" s="35">
        <v>0</v>
      </c>
      <c r="L6" s="35">
        <v>0.248</v>
      </c>
      <c r="M6" s="35">
        <v>2.3E-2</v>
      </c>
      <c r="N6" s="35">
        <v>100.749</v>
      </c>
      <c r="P6" s="35">
        <v>43.683100000000003</v>
      </c>
      <c r="Q6" s="35">
        <v>0.1125</v>
      </c>
      <c r="R6" s="35">
        <v>7.3499999999999996E-2</v>
      </c>
      <c r="S6" s="35">
        <v>1.03E-2</v>
      </c>
      <c r="T6" s="35">
        <v>8.4801000000000002</v>
      </c>
      <c r="U6" s="35">
        <v>6.1999999999999998E-3</v>
      </c>
      <c r="V6" s="35">
        <v>47.108400000000003</v>
      </c>
      <c r="W6" s="35">
        <v>3.5000000000000001E-3</v>
      </c>
      <c r="X6" s="35">
        <v>0.12189999999999999</v>
      </c>
      <c r="Y6" s="35">
        <v>1E-4</v>
      </c>
      <c r="Z6" s="35">
        <v>0.36120000000000002</v>
      </c>
      <c r="AA6" s="35">
        <v>3.9300000000000002E-2</v>
      </c>
      <c r="AB6" s="35">
        <v>100.0001</v>
      </c>
    </row>
    <row r="7" spans="1:29" x14ac:dyDescent="0.2">
      <c r="A7" s="35" t="s">
        <v>656</v>
      </c>
      <c r="B7" s="35">
        <v>61.377000000000002</v>
      </c>
      <c r="C7" s="35">
        <v>0.14099999999999999</v>
      </c>
      <c r="D7" s="35">
        <v>0.109</v>
      </c>
      <c r="E7" s="35">
        <v>4.3999999999999997E-2</v>
      </c>
      <c r="F7" s="35">
        <v>3.1480000000000001</v>
      </c>
      <c r="G7" s="35">
        <v>0.16400000000000001</v>
      </c>
      <c r="H7" s="35">
        <v>33.71</v>
      </c>
      <c r="I7" s="35">
        <v>5.0000000000000001E-3</v>
      </c>
      <c r="J7" s="35">
        <v>0.20200000000000001</v>
      </c>
      <c r="K7" s="35">
        <v>1.4E-2</v>
      </c>
      <c r="L7" s="35">
        <v>0.86</v>
      </c>
      <c r="M7" s="35">
        <v>0.126</v>
      </c>
      <c r="N7" s="35">
        <v>99.9</v>
      </c>
      <c r="P7" s="35">
        <v>45.798699999999997</v>
      </c>
      <c r="Q7" s="35">
        <v>0.1002</v>
      </c>
      <c r="R7" s="35">
        <v>7.7200000000000005E-2</v>
      </c>
      <c r="S7" s="35">
        <v>3.3500000000000002E-2</v>
      </c>
      <c r="T7" s="35">
        <v>8.1996000000000002</v>
      </c>
      <c r="U7" s="35">
        <v>0.25280000000000002</v>
      </c>
      <c r="V7" s="35">
        <v>43.819000000000003</v>
      </c>
      <c r="W7" s="35">
        <v>6.4000000000000003E-3</v>
      </c>
      <c r="X7" s="35">
        <v>0.20960000000000001</v>
      </c>
      <c r="Y7" s="35">
        <v>1.14E-2</v>
      </c>
      <c r="Z7" s="35">
        <v>1.2757000000000001</v>
      </c>
      <c r="AA7" s="35">
        <v>0.21590000000000001</v>
      </c>
      <c r="AB7" s="35">
        <v>100</v>
      </c>
    </row>
    <row r="8" spans="1:29" x14ac:dyDescent="0.2">
      <c r="A8" s="35" t="s">
        <v>657</v>
      </c>
      <c r="B8" s="35">
        <v>63.219000000000001</v>
      </c>
      <c r="C8" s="35">
        <v>0.128</v>
      </c>
      <c r="D8" s="35">
        <v>0.108</v>
      </c>
      <c r="E8" s="35">
        <v>0.107</v>
      </c>
      <c r="F8" s="35">
        <v>2.1970000000000001</v>
      </c>
      <c r="G8" s="35">
        <v>3.0000000000000001E-3</v>
      </c>
      <c r="H8" s="35">
        <v>32.494</v>
      </c>
      <c r="I8" s="35">
        <v>4.0000000000000001E-3</v>
      </c>
      <c r="J8" s="35">
        <v>6.6000000000000003E-2</v>
      </c>
      <c r="K8" s="35">
        <v>1.4999999999999999E-2</v>
      </c>
      <c r="L8" s="35">
        <v>4.2000000000000003E-2</v>
      </c>
      <c r="M8" s="35">
        <v>4.1000000000000002E-2</v>
      </c>
      <c r="N8" s="35">
        <v>98.424000000000007</v>
      </c>
      <c r="P8" s="35">
        <v>49.342100000000002</v>
      </c>
      <c r="Q8" s="35">
        <v>9.4899999999999998E-2</v>
      </c>
      <c r="R8" s="35">
        <v>7.9600000000000004E-2</v>
      </c>
      <c r="S8" s="35">
        <v>8.4900000000000003E-2</v>
      </c>
      <c r="T8" s="35">
        <v>5.9854000000000003</v>
      </c>
      <c r="U8" s="35">
        <v>4.4000000000000003E-3</v>
      </c>
      <c r="V8" s="35">
        <v>44.180500000000002</v>
      </c>
      <c r="W8" s="35">
        <v>5.0000000000000001E-3</v>
      </c>
      <c r="X8" s="35">
        <v>7.1599999999999997E-2</v>
      </c>
      <c r="Y8" s="35">
        <v>1.23E-2</v>
      </c>
      <c r="Z8" s="35">
        <v>6.5199999999999994E-2</v>
      </c>
      <c r="AA8" s="35">
        <v>7.4099999999999999E-2</v>
      </c>
      <c r="AB8" s="35">
        <v>100</v>
      </c>
    </row>
    <row r="9" spans="1:29" x14ac:dyDescent="0.2">
      <c r="A9" s="35" t="s">
        <v>658</v>
      </c>
      <c r="B9" s="35">
        <v>62.067999999999998</v>
      </c>
      <c r="C9" s="35">
        <v>0.125</v>
      </c>
      <c r="D9" s="35">
        <v>8.2000000000000003E-2</v>
      </c>
      <c r="E9" s="35">
        <v>1.9E-2</v>
      </c>
      <c r="F9" s="35">
        <v>0.33700000000000002</v>
      </c>
      <c r="G9" s="35">
        <v>0</v>
      </c>
      <c r="H9" s="35">
        <v>36.911999999999999</v>
      </c>
      <c r="I9" s="35">
        <v>0</v>
      </c>
      <c r="J9" s="35">
        <v>0</v>
      </c>
      <c r="K9" s="35">
        <v>0</v>
      </c>
      <c r="L9" s="35">
        <v>0</v>
      </c>
      <c r="M9" s="35">
        <v>8.9999999999999993E-3</v>
      </c>
      <c r="N9" s="35">
        <v>99.552000000000007</v>
      </c>
      <c r="P9" s="35">
        <v>48.571800000000003</v>
      </c>
      <c r="Q9" s="35">
        <v>9.2899999999999996E-2</v>
      </c>
      <c r="R9" s="35">
        <v>6.0900000000000003E-2</v>
      </c>
      <c r="S9" s="35">
        <v>1.55E-2</v>
      </c>
      <c r="T9" s="35">
        <v>0.92159999999999997</v>
      </c>
      <c r="U9" s="35">
        <v>6.9999999999999999E-4</v>
      </c>
      <c r="V9" s="35">
        <v>50.3202</v>
      </c>
      <c r="W9" s="35">
        <v>0</v>
      </c>
      <c r="X9" s="35">
        <v>0</v>
      </c>
      <c r="Y9" s="35">
        <v>0</v>
      </c>
      <c r="Z9" s="35">
        <v>0</v>
      </c>
      <c r="AA9" s="35">
        <v>1.6400000000000001E-2</v>
      </c>
      <c r="AB9" s="35">
        <v>100</v>
      </c>
    </row>
    <row r="10" spans="1:29" x14ac:dyDescent="0.2">
      <c r="A10" s="35" t="s">
        <v>582</v>
      </c>
      <c r="B10" s="35">
        <v>54.761000000000003</v>
      </c>
      <c r="C10" s="35">
        <v>0.128</v>
      </c>
      <c r="D10" s="35">
        <v>7.3999999999999996E-2</v>
      </c>
      <c r="E10" s="35">
        <v>4.1000000000000002E-2</v>
      </c>
      <c r="F10" s="35">
        <v>11.592000000000001</v>
      </c>
      <c r="G10" s="35">
        <v>7.3999999999999996E-2</v>
      </c>
      <c r="H10" s="35">
        <v>31.283000000000001</v>
      </c>
      <c r="I10" s="35">
        <v>0.10199999999999999</v>
      </c>
      <c r="J10" s="35">
        <v>0.111</v>
      </c>
      <c r="K10" s="35">
        <v>0.13700000000000001</v>
      </c>
      <c r="L10" s="35">
        <v>0.307</v>
      </c>
      <c r="M10" s="35">
        <v>2.3E-2</v>
      </c>
      <c r="N10" s="35">
        <v>98.632999999999996</v>
      </c>
      <c r="P10" s="35">
        <v>36.2042</v>
      </c>
      <c r="Q10" s="35">
        <v>8.0600000000000005E-2</v>
      </c>
      <c r="R10" s="35">
        <v>4.6199999999999998E-2</v>
      </c>
      <c r="S10" s="35">
        <v>2.7699999999999999E-2</v>
      </c>
      <c r="T10" s="35">
        <v>26.751000000000001</v>
      </c>
      <c r="U10" s="35">
        <v>0.1018</v>
      </c>
      <c r="V10" s="35">
        <v>36.029000000000003</v>
      </c>
      <c r="W10" s="35">
        <v>0.1216</v>
      </c>
      <c r="X10" s="35">
        <v>0.1026</v>
      </c>
      <c r="Y10" s="35">
        <v>9.7500000000000003E-2</v>
      </c>
      <c r="Z10" s="35">
        <v>0.40360000000000001</v>
      </c>
      <c r="AA10" s="35">
        <v>3.4299999999999997E-2</v>
      </c>
      <c r="AB10" s="35">
        <v>100.0001</v>
      </c>
    </row>
    <row r="11" spans="1:29" x14ac:dyDescent="0.2">
      <c r="A11" s="35" t="s">
        <v>213</v>
      </c>
      <c r="B11" s="35">
        <v>54.448</v>
      </c>
      <c r="C11" s="35">
        <v>0.16900000000000001</v>
      </c>
      <c r="D11" s="35">
        <v>0.113</v>
      </c>
      <c r="E11" s="35">
        <v>4.4999999999999998E-2</v>
      </c>
      <c r="F11" s="35">
        <v>8.4039999999999999</v>
      </c>
      <c r="G11" s="35">
        <v>3.1E-2</v>
      </c>
      <c r="H11" s="35">
        <v>34.984000000000002</v>
      </c>
      <c r="I11" s="35">
        <v>8.0000000000000002E-3</v>
      </c>
      <c r="J11" s="35">
        <v>0.13900000000000001</v>
      </c>
      <c r="K11" s="35">
        <v>8.0000000000000002E-3</v>
      </c>
      <c r="L11" s="35">
        <v>0.221</v>
      </c>
      <c r="M11" s="35">
        <v>4.3999999999999997E-2</v>
      </c>
      <c r="N11" s="35">
        <v>98.614000000000004</v>
      </c>
      <c r="P11" s="35">
        <v>37.328499999999998</v>
      </c>
      <c r="Q11" s="35">
        <v>0.1105</v>
      </c>
      <c r="R11" s="35">
        <v>7.3400000000000007E-2</v>
      </c>
      <c r="S11" s="35">
        <v>3.1099999999999999E-2</v>
      </c>
      <c r="T11" s="35">
        <v>20.112100000000002</v>
      </c>
      <c r="U11" s="35">
        <v>4.3900000000000002E-2</v>
      </c>
      <c r="V11" s="35">
        <v>41.781700000000001</v>
      </c>
      <c r="W11" s="35">
        <v>1.01E-2</v>
      </c>
      <c r="X11" s="35">
        <v>0.1323</v>
      </c>
      <c r="Y11" s="35">
        <v>6.1000000000000004E-3</v>
      </c>
      <c r="Z11" s="35">
        <v>0.3014</v>
      </c>
      <c r="AA11" s="35">
        <v>6.88E-2</v>
      </c>
      <c r="AB11" s="35">
        <v>99.999899999999997</v>
      </c>
    </row>
    <row r="12" spans="1:29" x14ac:dyDescent="0.2">
      <c r="A12" s="35" t="s">
        <v>467</v>
      </c>
      <c r="B12" s="35">
        <v>54.223999999999997</v>
      </c>
      <c r="C12" s="35">
        <v>0.156</v>
      </c>
      <c r="D12" s="35">
        <v>0.115</v>
      </c>
      <c r="E12" s="35">
        <v>0.124</v>
      </c>
      <c r="F12" s="35">
        <v>23.533999999999999</v>
      </c>
      <c r="G12" s="35">
        <v>3.9E-2</v>
      </c>
      <c r="H12" s="35">
        <v>18.963999999999999</v>
      </c>
      <c r="I12" s="35">
        <v>0.20300000000000001</v>
      </c>
      <c r="J12" s="35">
        <v>0.158</v>
      </c>
      <c r="K12" s="35">
        <v>8.0000000000000002E-3</v>
      </c>
      <c r="L12" s="35">
        <v>0.96299999999999997</v>
      </c>
      <c r="M12" s="35">
        <v>0.13300000000000001</v>
      </c>
      <c r="N12" s="35">
        <v>98.620999999999995</v>
      </c>
      <c r="P12" s="35">
        <v>31.400099999999998</v>
      </c>
      <c r="Q12" s="35">
        <v>8.5999999999999993E-2</v>
      </c>
      <c r="R12" s="35">
        <v>6.3100000000000003E-2</v>
      </c>
      <c r="S12" s="35">
        <v>7.2800000000000004E-2</v>
      </c>
      <c r="T12" s="35">
        <v>47.5702</v>
      </c>
      <c r="U12" s="35">
        <v>4.6699999999999998E-2</v>
      </c>
      <c r="V12" s="35">
        <v>19.130299999999998</v>
      </c>
      <c r="W12" s="35">
        <v>0.21210000000000001</v>
      </c>
      <c r="X12" s="35">
        <v>0.12770000000000001</v>
      </c>
      <c r="Y12" s="35">
        <v>5.1000000000000004E-3</v>
      </c>
      <c r="Z12" s="35">
        <v>1.1091</v>
      </c>
      <c r="AA12" s="35">
        <v>0.1769</v>
      </c>
      <c r="AB12" s="35">
        <v>100.0001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1376-F0F2-4C36-9C05-DA006B1AF185}">
  <dimension ref="A1:AQ32"/>
  <sheetViews>
    <sheetView workbookViewId="0">
      <pane ySplit="1" topLeftCell="A2" activePane="bottomLeft" state="frozen"/>
      <selection pane="bottomLeft" activeCell="S27" sqref="S27"/>
    </sheetView>
  </sheetViews>
  <sheetFormatPr defaultColWidth="8.875" defaultRowHeight="15" x14ac:dyDescent="0.2"/>
  <cols>
    <col min="1" max="1" width="8.875" style="77"/>
    <col min="2" max="2" width="9" style="77" bestFit="1" customWidth="1"/>
    <col min="3" max="3" width="9.125" style="77" bestFit="1" customWidth="1"/>
    <col min="4" max="11" width="9" style="77" bestFit="1" customWidth="1"/>
    <col min="12" max="12" width="9.125" style="77" bestFit="1" customWidth="1"/>
    <col min="13" max="14" width="9" style="77" bestFit="1" customWidth="1"/>
    <col min="15" max="15" width="10.125" style="77" bestFit="1" customWidth="1"/>
    <col min="16" max="20" width="8.875" style="77"/>
    <col min="21" max="21" width="8.875" style="78"/>
    <col min="22" max="16384" width="8.875" style="77"/>
  </cols>
  <sheetData>
    <row r="1" spans="1:43" s="76" customFormat="1" x14ac:dyDescent="0.2">
      <c r="A1" s="76" t="s">
        <v>0</v>
      </c>
      <c r="B1" s="76" t="s">
        <v>2</v>
      </c>
      <c r="C1" s="76" t="s">
        <v>3</v>
      </c>
      <c r="D1" s="76" t="s">
        <v>4</v>
      </c>
      <c r="E1" s="76" t="s">
        <v>1</v>
      </c>
      <c r="F1" s="76" t="s">
        <v>5</v>
      </c>
      <c r="G1" s="76" t="s">
        <v>7</v>
      </c>
      <c r="H1" s="76" t="s">
        <v>6</v>
      </c>
      <c r="I1" s="76" t="s">
        <v>8</v>
      </c>
      <c r="J1" s="76" t="s">
        <v>9</v>
      </c>
      <c r="K1" s="76" t="s">
        <v>10</v>
      </c>
      <c r="L1" s="76" t="s">
        <v>11</v>
      </c>
      <c r="M1" s="76" t="s">
        <v>12</v>
      </c>
      <c r="N1" s="76" t="s">
        <v>13</v>
      </c>
      <c r="O1" s="76" t="s">
        <v>14</v>
      </c>
      <c r="P1" s="76" t="s">
        <v>15</v>
      </c>
      <c r="Q1" s="76" t="s">
        <v>16</v>
      </c>
      <c r="R1" s="76" t="s">
        <v>17</v>
      </c>
      <c r="S1" s="76" t="s">
        <v>583</v>
      </c>
      <c r="U1" s="76" t="s">
        <v>584</v>
      </c>
      <c r="V1" s="76" t="s">
        <v>585</v>
      </c>
      <c r="W1" s="76" t="s">
        <v>586</v>
      </c>
      <c r="Y1" s="76" t="s">
        <v>0</v>
      </c>
      <c r="Z1" s="76" t="s">
        <v>2</v>
      </c>
      <c r="AA1" s="76" t="s">
        <v>3</v>
      </c>
      <c r="AB1" s="76" t="s">
        <v>4</v>
      </c>
      <c r="AC1" s="76" t="s">
        <v>1</v>
      </c>
      <c r="AD1" s="76" t="s">
        <v>5</v>
      </c>
      <c r="AE1" s="76" t="s">
        <v>7</v>
      </c>
      <c r="AF1" s="76" t="s">
        <v>6</v>
      </c>
      <c r="AG1" s="76" t="s">
        <v>8</v>
      </c>
      <c r="AH1" s="76" t="s">
        <v>9</v>
      </c>
      <c r="AI1" s="76" t="s">
        <v>10</v>
      </c>
      <c r="AJ1" s="76" t="s">
        <v>11</v>
      </c>
      <c r="AK1" s="76" t="s">
        <v>12</v>
      </c>
      <c r="AL1" s="76" t="s">
        <v>13</v>
      </c>
      <c r="AM1" s="76" t="s">
        <v>14</v>
      </c>
      <c r="AO1" s="76" t="s">
        <v>587</v>
      </c>
      <c r="AP1" s="76" t="s">
        <v>588</v>
      </c>
      <c r="AQ1" s="76" t="s">
        <v>589</v>
      </c>
    </row>
    <row r="2" spans="1:43" x14ac:dyDescent="0.2">
      <c r="A2" s="77" t="s">
        <v>463</v>
      </c>
      <c r="B2" s="77">
        <v>1E-3</v>
      </c>
      <c r="C2" s="77">
        <v>65.561000000000007</v>
      </c>
      <c r="D2" s="77">
        <v>0</v>
      </c>
      <c r="E2" s="77">
        <v>0</v>
      </c>
      <c r="F2" s="77">
        <v>2.4E-2</v>
      </c>
      <c r="G2" s="77">
        <v>0</v>
      </c>
      <c r="H2" s="77">
        <v>2.1999999999999999E-2</v>
      </c>
      <c r="I2" s="77">
        <v>1.7000000000000001E-2</v>
      </c>
      <c r="J2" s="77">
        <v>0.28299999999999997</v>
      </c>
      <c r="K2" s="77">
        <v>1.1220000000000001</v>
      </c>
      <c r="L2" s="77">
        <v>30.257000000000001</v>
      </c>
      <c r="M2" s="77">
        <v>2.7029999999999998</v>
      </c>
      <c r="N2" s="77">
        <v>0</v>
      </c>
      <c r="O2" s="77">
        <v>99.991</v>
      </c>
      <c r="P2" s="77">
        <f>C2/(55.845+16)</f>
        <v>0.91253392720439852</v>
      </c>
      <c r="Q2" s="77">
        <f>M2/(24.305+16)</f>
        <v>6.7063639746929651E-2</v>
      </c>
      <c r="R2" s="77">
        <f>J2/(40.078+16)</f>
        <v>5.0465423160597732E-3</v>
      </c>
      <c r="S2" s="77">
        <f t="shared" ref="S2:S32" si="0">P2/Q2</f>
        <v>13.606984807981238</v>
      </c>
      <c r="U2" s="77">
        <f>Q2/(Q2+P2)*100</f>
        <v>6.8460398442641024</v>
      </c>
      <c r="V2" s="77">
        <f t="shared" ref="V2:V32" si="1">Q2/(P2+Q2)*100</f>
        <v>6.8460398442641024</v>
      </c>
      <c r="W2" s="77">
        <f t="shared" ref="W2:W32" si="2">P2/(P2+Q2)*100</f>
        <v>93.153960155735888</v>
      </c>
      <c r="Y2" s="77" t="s">
        <v>463</v>
      </c>
      <c r="Z2" s="77">
        <v>2.0000000000000001E-4</v>
      </c>
      <c r="AA2" s="77">
        <v>10.901199999999999</v>
      </c>
      <c r="AB2" s="77">
        <v>0</v>
      </c>
      <c r="AC2" s="77">
        <v>0</v>
      </c>
      <c r="AD2" s="77">
        <v>9.2999999999999992E-3</v>
      </c>
      <c r="AE2" s="77">
        <v>2.9999999999999997E-4</v>
      </c>
      <c r="AF2" s="77">
        <v>3.8E-3</v>
      </c>
      <c r="AG2" s="77">
        <v>4.3E-3</v>
      </c>
      <c r="AH2" s="77">
        <v>6.0299999999999999E-2</v>
      </c>
      <c r="AI2" s="77">
        <v>0.189</v>
      </c>
      <c r="AJ2" s="77">
        <v>6.0157999999999996</v>
      </c>
      <c r="AK2" s="77">
        <v>0.80100000000000005</v>
      </c>
      <c r="AL2" s="77">
        <v>0</v>
      </c>
      <c r="AM2" s="77">
        <v>17.985199999999999</v>
      </c>
      <c r="AP2" s="77">
        <f>AA2/6</f>
        <v>1.8168666666666666</v>
      </c>
      <c r="AQ2" s="77">
        <f>AI2/6</f>
        <v>3.15E-2</v>
      </c>
    </row>
    <row r="3" spans="1:43" x14ac:dyDescent="0.2">
      <c r="A3" s="77" t="s">
        <v>478</v>
      </c>
      <c r="B3" s="77">
        <v>0</v>
      </c>
      <c r="C3" s="77">
        <v>64.7</v>
      </c>
      <c r="D3" s="77">
        <v>0</v>
      </c>
      <c r="E3" s="77">
        <v>0</v>
      </c>
      <c r="F3" s="77">
        <v>3.4000000000000002E-2</v>
      </c>
      <c r="G3" s="77">
        <v>3.6999999999999998E-2</v>
      </c>
      <c r="H3" s="77">
        <v>0.247</v>
      </c>
      <c r="I3" s="77">
        <v>0</v>
      </c>
      <c r="J3" s="77">
        <v>0.39400000000000002</v>
      </c>
      <c r="K3" s="77">
        <v>1.2150000000000001</v>
      </c>
      <c r="L3" s="77">
        <v>30.56</v>
      </c>
      <c r="M3" s="77">
        <v>2.8460000000000001</v>
      </c>
      <c r="N3" s="77">
        <v>0.29199999999999998</v>
      </c>
      <c r="O3" s="77">
        <v>100.325</v>
      </c>
      <c r="P3" s="77">
        <f t="shared" ref="P3:P32" si="3">C3/(55.845+16)</f>
        <v>0.90054979469691698</v>
      </c>
      <c r="Q3" s="77">
        <f t="shared" ref="Q3:Q32" si="4">M3/(24.305+16)</f>
        <v>7.0611586651780175E-2</v>
      </c>
      <c r="R3" s="77">
        <f t="shared" ref="R3:R32" si="5">J3/(40.078+16)</f>
        <v>7.0259281714754448E-3</v>
      </c>
      <c r="S3" s="77">
        <f t="shared" si="0"/>
        <v>12.753569738320182</v>
      </c>
      <c r="U3" s="77">
        <f t="shared" ref="U3:U32" si="6">Q3/(Q3+P3)*100</f>
        <v>7.2708396367366435</v>
      </c>
      <c r="V3" s="77">
        <f t="shared" si="1"/>
        <v>7.2708396367366435</v>
      </c>
      <c r="W3" s="77">
        <f t="shared" si="2"/>
        <v>92.729160363263361</v>
      </c>
      <c r="Y3" s="77" t="s">
        <v>478</v>
      </c>
      <c r="Z3" s="77">
        <v>0</v>
      </c>
      <c r="AA3" s="77">
        <v>10.664</v>
      </c>
      <c r="AB3" s="77">
        <v>0</v>
      </c>
      <c r="AC3" s="77">
        <v>0</v>
      </c>
      <c r="AD3" s="77">
        <v>1.3100000000000001E-2</v>
      </c>
      <c r="AE3" s="77">
        <v>8.5000000000000006E-3</v>
      </c>
      <c r="AF3" s="77">
        <v>4.1200000000000001E-2</v>
      </c>
      <c r="AG3" s="77">
        <v>0</v>
      </c>
      <c r="AH3" s="77">
        <v>8.3099999999999993E-2</v>
      </c>
      <c r="AI3" s="77">
        <v>0.2029</v>
      </c>
      <c r="AJ3" s="77">
        <v>6.0225999999999997</v>
      </c>
      <c r="AK3" s="77">
        <v>0.83620000000000005</v>
      </c>
      <c r="AL3" s="77">
        <v>4.6100000000000002E-2</v>
      </c>
      <c r="AM3" s="77">
        <v>17.9177</v>
      </c>
      <c r="AP3" s="77">
        <f t="shared" ref="AP3:AP32" si="7">AA3/6</f>
        <v>1.7773333333333332</v>
      </c>
      <c r="AQ3" s="77">
        <f t="shared" ref="AQ3:AQ32" si="8">AI3/6</f>
        <v>3.3816666666666668E-2</v>
      </c>
    </row>
    <row r="4" spans="1:43" x14ac:dyDescent="0.2">
      <c r="A4" s="77" t="s">
        <v>464</v>
      </c>
      <c r="B4" s="77">
        <v>7.0000000000000001E-3</v>
      </c>
      <c r="C4" s="77">
        <v>64.858999999999995</v>
      </c>
      <c r="D4" s="77">
        <v>0</v>
      </c>
      <c r="E4" s="77">
        <v>0.89100000000000001</v>
      </c>
      <c r="F4" s="77">
        <v>5.8000000000000003E-2</v>
      </c>
      <c r="G4" s="77">
        <v>0</v>
      </c>
      <c r="H4" s="77">
        <v>0</v>
      </c>
      <c r="I4" s="77">
        <v>8.9999999999999993E-3</v>
      </c>
      <c r="J4" s="77">
        <v>0.122</v>
      </c>
      <c r="K4" s="77">
        <v>0.90800000000000003</v>
      </c>
      <c r="L4" s="77">
        <v>30.146000000000001</v>
      </c>
      <c r="M4" s="77">
        <v>3.2709999999999999</v>
      </c>
      <c r="N4" s="77">
        <v>0</v>
      </c>
      <c r="O4" s="77">
        <v>100.27200000000001</v>
      </c>
      <c r="P4" s="77">
        <f t="shared" si="3"/>
        <v>0.90276289233767126</v>
      </c>
      <c r="Q4" s="77">
        <f t="shared" si="4"/>
        <v>8.1156184096265974E-2</v>
      </c>
      <c r="R4" s="77">
        <f t="shared" si="5"/>
        <v>2.1755412104568633E-3</v>
      </c>
      <c r="S4" s="77">
        <f t="shared" si="0"/>
        <v>11.123772050036637</v>
      </c>
      <c r="U4" s="77">
        <f t="shared" si="6"/>
        <v>8.2482580163405324</v>
      </c>
      <c r="V4" s="77">
        <f t="shared" si="1"/>
        <v>8.2482580163405324</v>
      </c>
      <c r="W4" s="77">
        <f t="shared" si="2"/>
        <v>91.751741983659457</v>
      </c>
      <c r="Y4" s="77" t="s">
        <v>464</v>
      </c>
      <c r="Z4" s="77">
        <v>1.1000000000000001E-3</v>
      </c>
      <c r="AA4" s="77">
        <v>10.6953</v>
      </c>
      <c r="AB4" s="77">
        <v>0</v>
      </c>
      <c r="AC4" s="77">
        <v>0.1321</v>
      </c>
      <c r="AD4" s="77">
        <v>2.23E-2</v>
      </c>
      <c r="AE4" s="77">
        <v>2.0000000000000001E-4</v>
      </c>
      <c r="AF4" s="77">
        <v>0</v>
      </c>
      <c r="AG4" s="77">
        <v>2.2000000000000001E-3</v>
      </c>
      <c r="AH4" s="77">
        <v>2.58E-2</v>
      </c>
      <c r="AI4" s="77">
        <v>0.15160000000000001</v>
      </c>
      <c r="AJ4" s="77">
        <v>5.9440999999999997</v>
      </c>
      <c r="AK4" s="77">
        <v>0.96130000000000004</v>
      </c>
      <c r="AL4" s="77">
        <v>0</v>
      </c>
      <c r="AM4" s="77">
        <v>17.936</v>
      </c>
      <c r="AP4" s="77">
        <f t="shared" si="7"/>
        <v>1.7825499999999999</v>
      </c>
      <c r="AQ4" s="77">
        <f t="shared" si="8"/>
        <v>2.526666666666667E-2</v>
      </c>
    </row>
    <row r="5" spans="1:43" x14ac:dyDescent="0.2">
      <c r="A5" s="77" t="s">
        <v>479</v>
      </c>
      <c r="B5" s="77">
        <v>0</v>
      </c>
      <c r="C5" s="77">
        <v>64.781000000000006</v>
      </c>
      <c r="D5" s="77">
        <v>0</v>
      </c>
      <c r="E5" s="77">
        <v>0.13800000000000001</v>
      </c>
      <c r="F5" s="77">
        <v>0</v>
      </c>
      <c r="G5" s="77">
        <v>2.5000000000000001E-2</v>
      </c>
      <c r="H5" s="77">
        <v>0</v>
      </c>
      <c r="I5" s="77">
        <v>0.01</v>
      </c>
      <c r="J5" s="77">
        <v>0.20899999999999999</v>
      </c>
      <c r="K5" s="77">
        <v>1.157</v>
      </c>
      <c r="L5" s="77">
        <v>29.858000000000001</v>
      </c>
      <c r="M5" s="77">
        <v>3.0369999999999999</v>
      </c>
      <c r="N5" s="77">
        <v>0</v>
      </c>
      <c r="O5" s="77">
        <v>99.218000000000004</v>
      </c>
      <c r="P5" s="77">
        <f t="shared" si="3"/>
        <v>0.901677221796924</v>
      </c>
      <c r="Q5" s="77">
        <f t="shared" si="4"/>
        <v>7.535045279741967E-2</v>
      </c>
      <c r="R5" s="77">
        <f t="shared" si="5"/>
        <v>3.7269517457826596E-3</v>
      </c>
      <c r="S5" s="77">
        <f t="shared" si="0"/>
        <v>11.966447291578868</v>
      </c>
      <c r="U5" s="77">
        <f t="shared" si="6"/>
        <v>7.7122127404123679</v>
      </c>
      <c r="V5" s="77">
        <f t="shared" si="1"/>
        <v>7.7122127404123679</v>
      </c>
      <c r="W5" s="77">
        <f t="shared" si="2"/>
        <v>92.287787259587631</v>
      </c>
      <c r="Y5" s="77" t="s">
        <v>479</v>
      </c>
      <c r="Z5" s="77">
        <v>0</v>
      </c>
      <c r="AA5" s="77">
        <v>10.8459</v>
      </c>
      <c r="AB5" s="77">
        <v>0</v>
      </c>
      <c r="AC5" s="77">
        <v>2.07E-2</v>
      </c>
      <c r="AD5" s="77">
        <v>1.2999999999999999E-3</v>
      </c>
      <c r="AE5" s="77">
        <v>5.8999999999999999E-3</v>
      </c>
      <c r="AF5" s="77">
        <v>0</v>
      </c>
      <c r="AG5" s="77">
        <v>2.5999999999999999E-3</v>
      </c>
      <c r="AH5" s="77">
        <v>4.48E-2</v>
      </c>
      <c r="AI5" s="77">
        <v>0.1961</v>
      </c>
      <c r="AJ5" s="77">
        <v>5.9772999999999996</v>
      </c>
      <c r="AK5" s="77">
        <v>0.90629999999999999</v>
      </c>
      <c r="AL5" s="77">
        <v>0</v>
      </c>
      <c r="AM5" s="77">
        <v>18.000900000000001</v>
      </c>
      <c r="AP5" s="77">
        <f t="shared" si="7"/>
        <v>1.80765</v>
      </c>
      <c r="AQ5" s="77">
        <f t="shared" si="8"/>
        <v>3.2683333333333335E-2</v>
      </c>
    </row>
    <row r="6" spans="1:43" x14ac:dyDescent="0.2">
      <c r="A6" s="77" t="s">
        <v>465</v>
      </c>
      <c r="B6" s="77">
        <v>1.4999999999999999E-2</v>
      </c>
      <c r="C6" s="77">
        <v>62.543999999999997</v>
      </c>
      <c r="D6" s="77">
        <v>0</v>
      </c>
      <c r="E6" s="77">
        <v>8.8999999999999996E-2</v>
      </c>
      <c r="F6" s="77">
        <v>0</v>
      </c>
      <c r="G6" s="77">
        <v>8.9999999999999993E-3</v>
      </c>
      <c r="H6" s="77">
        <v>0</v>
      </c>
      <c r="I6" s="77">
        <v>1.4E-2</v>
      </c>
      <c r="J6" s="77">
        <v>0.186</v>
      </c>
      <c r="K6" s="77">
        <v>1.0620000000000001</v>
      </c>
      <c r="L6" s="77">
        <v>30.552</v>
      </c>
      <c r="M6" s="77">
        <v>5.5019999999999998</v>
      </c>
      <c r="N6" s="77">
        <v>0</v>
      </c>
      <c r="O6" s="77">
        <v>99.972999999999999</v>
      </c>
      <c r="P6" s="77">
        <f t="shared" si="3"/>
        <v>0.87054074744241072</v>
      </c>
      <c r="Q6" s="77">
        <f t="shared" si="4"/>
        <v>0.1365091179754373</v>
      </c>
      <c r="R6" s="77">
        <f t="shared" si="5"/>
        <v>3.3168087306965298E-3</v>
      </c>
      <c r="S6" s="77">
        <f t="shared" si="0"/>
        <v>6.3771619094268193</v>
      </c>
      <c r="U6" s="77">
        <f t="shared" si="6"/>
        <v>13.555348415522261</v>
      </c>
      <c r="V6" s="77">
        <f t="shared" si="1"/>
        <v>13.555348415522261</v>
      </c>
      <c r="W6" s="77">
        <f t="shared" si="2"/>
        <v>86.444651584477754</v>
      </c>
      <c r="Y6" s="77" t="s">
        <v>465</v>
      </c>
      <c r="Z6" s="77">
        <v>2.3999999999999998E-3</v>
      </c>
      <c r="AA6" s="77">
        <v>10.216100000000001</v>
      </c>
      <c r="AB6" s="77">
        <v>0</v>
      </c>
      <c r="AC6" s="77">
        <v>1.2999999999999999E-2</v>
      </c>
      <c r="AD6" s="77">
        <v>0</v>
      </c>
      <c r="AE6" s="77">
        <v>2E-3</v>
      </c>
      <c r="AF6" s="77">
        <v>0</v>
      </c>
      <c r="AG6" s="77">
        <v>3.5000000000000001E-3</v>
      </c>
      <c r="AH6" s="77">
        <v>3.8899999999999997E-2</v>
      </c>
      <c r="AI6" s="77">
        <v>0.1757</v>
      </c>
      <c r="AJ6" s="77">
        <v>5.9671000000000003</v>
      </c>
      <c r="AK6" s="77">
        <v>1.6020000000000001</v>
      </c>
      <c r="AL6" s="77">
        <v>0</v>
      </c>
      <c r="AM6" s="77">
        <v>18.020700000000001</v>
      </c>
      <c r="AP6" s="77">
        <f t="shared" si="7"/>
        <v>1.7026833333333335</v>
      </c>
      <c r="AQ6" s="77">
        <f t="shared" si="8"/>
        <v>2.9283333333333331E-2</v>
      </c>
    </row>
    <row r="7" spans="1:43" x14ac:dyDescent="0.2">
      <c r="A7" s="77" t="s">
        <v>480</v>
      </c>
      <c r="B7" s="77">
        <v>3.4000000000000002E-2</v>
      </c>
      <c r="C7" s="77">
        <v>62.731000000000002</v>
      </c>
      <c r="D7" s="77">
        <v>0</v>
      </c>
      <c r="E7" s="77">
        <v>0.14499999999999999</v>
      </c>
      <c r="F7" s="77">
        <v>2.1999999999999999E-2</v>
      </c>
      <c r="G7" s="77">
        <v>7.0000000000000001E-3</v>
      </c>
      <c r="H7" s="77">
        <v>0</v>
      </c>
      <c r="I7" s="77">
        <v>8.9999999999999993E-3</v>
      </c>
      <c r="J7" s="77">
        <v>0.13</v>
      </c>
      <c r="K7" s="77">
        <v>1.258</v>
      </c>
      <c r="L7" s="77">
        <v>30.085000000000001</v>
      </c>
      <c r="M7" s="77">
        <v>4.0460000000000003</v>
      </c>
      <c r="N7" s="77">
        <v>0.36199999999999999</v>
      </c>
      <c r="O7" s="77">
        <v>98.828999999999994</v>
      </c>
      <c r="P7" s="77">
        <f t="shared" si="3"/>
        <v>0.87314357296958733</v>
      </c>
      <c r="Q7" s="77">
        <f t="shared" si="4"/>
        <v>0.10038456767150479</v>
      </c>
      <c r="R7" s="77">
        <f t="shared" si="5"/>
        <v>2.3181996504868219E-3</v>
      </c>
      <c r="S7" s="77">
        <f t="shared" si="0"/>
        <v>8.6979860871327759</v>
      </c>
      <c r="U7" s="77">
        <f t="shared" si="6"/>
        <v>10.311419206166869</v>
      </c>
      <c r="V7" s="77">
        <f t="shared" si="1"/>
        <v>10.311419206166869</v>
      </c>
      <c r="W7" s="77">
        <f t="shared" si="2"/>
        <v>89.688580793833125</v>
      </c>
      <c r="Y7" s="77" t="s">
        <v>480</v>
      </c>
      <c r="Z7" s="77">
        <v>5.4000000000000003E-3</v>
      </c>
      <c r="AA7" s="77">
        <v>10.4541</v>
      </c>
      <c r="AB7" s="77">
        <v>0</v>
      </c>
      <c r="AC7" s="77">
        <v>2.1700000000000001E-2</v>
      </c>
      <c r="AD7" s="77">
        <v>8.6E-3</v>
      </c>
      <c r="AE7" s="77">
        <v>1.6999999999999999E-3</v>
      </c>
      <c r="AF7" s="77">
        <v>0</v>
      </c>
      <c r="AG7" s="77">
        <v>2.2000000000000001E-3</v>
      </c>
      <c r="AH7" s="77">
        <v>2.7699999999999999E-2</v>
      </c>
      <c r="AI7" s="77">
        <v>0.21229999999999999</v>
      </c>
      <c r="AJ7" s="77">
        <v>5.9946999999999999</v>
      </c>
      <c r="AK7" s="77">
        <v>1.2019</v>
      </c>
      <c r="AL7" s="77">
        <v>5.7799999999999997E-2</v>
      </c>
      <c r="AM7" s="77">
        <v>17.988099999999999</v>
      </c>
      <c r="AP7" s="77">
        <f t="shared" si="7"/>
        <v>1.7423500000000001</v>
      </c>
      <c r="AQ7" s="77">
        <f t="shared" si="8"/>
        <v>3.5383333333333329E-2</v>
      </c>
    </row>
    <row r="8" spans="1:43" x14ac:dyDescent="0.2">
      <c r="A8" s="77" t="s">
        <v>466</v>
      </c>
      <c r="B8" s="77">
        <v>6.3E-2</v>
      </c>
      <c r="C8" s="77">
        <v>63.253999999999998</v>
      </c>
      <c r="D8" s="77">
        <v>1.4E-2</v>
      </c>
      <c r="E8" s="77">
        <v>0.191</v>
      </c>
      <c r="F8" s="77">
        <v>0</v>
      </c>
      <c r="G8" s="77">
        <v>0.01</v>
      </c>
      <c r="H8" s="77">
        <v>0</v>
      </c>
      <c r="I8" s="77">
        <v>2.4E-2</v>
      </c>
      <c r="J8" s="77">
        <v>8.4000000000000005E-2</v>
      </c>
      <c r="K8" s="77">
        <v>1.105</v>
      </c>
      <c r="L8" s="77">
        <v>30.318999999999999</v>
      </c>
      <c r="M8" s="77">
        <v>3.6179999999999999</v>
      </c>
      <c r="N8" s="77">
        <v>0</v>
      </c>
      <c r="O8" s="77">
        <v>98.683999999999997</v>
      </c>
      <c r="P8" s="77">
        <f t="shared" si="3"/>
        <v>0.8804231331338298</v>
      </c>
      <c r="Q8" s="77">
        <f t="shared" si="4"/>
        <v>8.9765537774469661E-2</v>
      </c>
      <c r="R8" s="77">
        <f t="shared" si="5"/>
        <v>1.4979136203145619E-3</v>
      </c>
      <c r="S8" s="77">
        <f t="shared" si="0"/>
        <v>9.8080305088333368</v>
      </c>
      <c r="U8" s="77">
        <f t="shared" si="6"/>
        <v>9.252379507836384</v>
      </c>
      <c r="V8" s="77">
        <f t="shared" si="1"/>
        <v>9.252379507836384</v>
      </c>
      <c r="W8" s="77">
        <f t="shared" si="2"/>
        <v>90.747620492163634</v>
      </c>
      <c r="Y8" s="77" t="s">
        <v>466</v>
      </c>
      <c r="Z8" s="77">
        <v>1.01E-2</v>
      </c>
      <c r="AA8" s="77">
        <v>10.5497</v>
      </c>
      <c r="AB8" s="77">
        <v>2.0999999999999999E-3</v>
      </c>
      <c r="AC8" s="77">
        <v>2.86E-2</v>
      </c>
      <c r="AD8" s="77">
        <v>6.9999999999999999E-4</v>
      </c>
      <c r="AE8" s="77">
        <v>2.3E-3</v>
      </c>
      <c r="AF8" s="77">
        <v>0</v>
      </c>
      <c r="AG8" s="77">
        <v>6.1999999999999998E-3</v>
      </c>
      <c r="AH8" s="77">
        <v>1.7999999999999999E-2</v>
      </c>
      <c r="AI8" s="77">
        <v>0.1867</v>
      </c>
      <c r="AJ8" s="77">
        <v>6.0462999999999996</v>
      </c>
      <c r="AK8" s="77">
        <v>1.0755999999999999</v>
      </c>
      <c r="AL8" s="77">
        <v>0</v>
      </c>
      <c r="AM8" s="77">
        <v>17.926300000000001</v>
      </c>
      <c r="AP8" s="77">
        <f t="shared" si="7"/>
        <v>1.7582833333333332</v>
      </c>
      <c r="AQ8" s="77">
        <f t="shared" si="8"/>
        <v>3.1116666666666667E-2</v>
      </c>
    </row>
    <row r="9" spans="1:43" x14ac:dyDescent="0.2">
      <c r="A9" s="77" t="s">
        <v>481</v>
      </c>
      <c r="B9" s="77">
        <v>1.4E-2</v>
      </c>
      <c r="C9" s="77">
        <v>62.826999999999998</v>
      </c>
      <c r="D9" s="77">
        <v>4.1000000000000002E-2</v>
      </c>
      <c r="E9" s="77">
        <v>0.34</v>
      </c>
      <c r="F9" s="77">
        <v>0.02</v>
      </c>
      <c r="G9" s="77">
        <v>1.2999999999999999E-2</v>
      </c>
      <c r="H9" s="77">
        <v>0.24299999999999999</v>
      </c>
      <c r="I9" s="77">
        <v>5.0000000000000001E-3</v>
      </c>
      <c r="J9" s="77">
        <v>1.2E-2</v>
      </c>
      <c r="K9" s="77">
        <v>0.98599999999999999</v>
      </c>
      <c r="L9" s="77">
        <v>30.347999999999999</v>
      </c>
      <c r="M9" s="77">
        <v>5.4189999999999996</v>
      </c>
      <c r="N9" s="77">
        <v>0</v>
      </c>
      <c r="O9" s="77">
        <v>100.268</v>
      </c>
      <c r="P9" s="77">
        <f t="shared" si="3"/>
        <v>0.87447978286589179</v>
      </c>
      <c r="Q9" s="77">
        <f t="shared" si="4"/>
        <v>0.134449820121573</v>
      </c>
      <c r="R9" s="77">
        <f t="shared" si="5"/>
        <v>2.1398766004493739E-4</v>
      </c>
      <c r="S9" s="77">
        <f t="shared" si="0"/>
        <v>6.5041350153920963</v>
      </c>
      <c r="U9" s="77">
        <f t="shared" si="6"/>
        <v>13.325986245567961</v>
      </c>
      <c r="V9" s="77">
        <f t="shared" si="1"/>
        <v>13.325986245567961</v>
      </c>
      <c r="W9" s="77">
        <f t="shared" si="2"/>
        <v>86.674013754432039</v>
      </c>
      <c r="Y9" s="77" t="s">
        <v>481</v>
      </c>
      <c r="Z9" s="77">
        <v>2.2000000000000001E-3</v>
      </c>
      <c r="AA9" s="77">
        <v>10.2278</v>
      </c>
      <c r="AB9" s="77">
        <v>6.3E-3</v>
      </c>
      <c r="AC9" s="77">
        <v>4.9799999999999997E-2</v>
      </c>
      <c r="AD9" s="77">
        <v>7.7000000000000002E-3</v>
      </c>
      <c r="AE9" s="77">
        <v>2.8999999999999998E-3</v>
      </c>
      <c r="AF9" s="77">
        <v>0.04</v>
      </c>
      <c r="AG9" s="77">
        <v>1.2999999999999999E-3</v>
      </c>
      <c r="AH9" s="77">
        <v>2.5000000000000001E-3</v>
      </c>
      <c r="AI9" s="77">
        <v>0.16250000000000001</v>
      </c>
      <c r="AJ9" s="77">
        <v>5.9073000000000002</v>
      </c>
      <c r="AK9" s="77">
        <v>1.5726</v>
      </c>
      <c r="AL9" s="77">
        <v>0</v>
      </c>
      <c r="AM9" s="77">
        <v>17.982900000000001</v>
      </c>
      <c r="AP9" s="77">
        <f t="shared" si="7"/>
        <v>1.7046333333333334</v>
      </c>
      <c r="AQ9" s="77">
        <f t="shared" si="8"/>
        <v>2.7083333333333334E-2</v>
      </c>
    </row>
    <row r="10" spans="1:43" x14ac:dyDescent="0.2">
      <c r="A10" s="77" t="s">
        <v>209</v>
      </c>
      <c r="B10" s="77">
        <v>3.1E-2</v>
      </c>
      <c r="C10" s="77">
        <v>65.488</v>
      </c>
      <c r="D10" s="77">
        <v>0</v>
      </c>
      <c r="E10" s="77">
        <v>0.17599999999999999</v>
      </c>
      <c r="F10" s="77">
        <v>0</v>
      </c>
      <c r="G10" s="77">
        <v>2.3E-2</v>
      </c>
      <c r="H10" s="77">
        <v>0</v>
      </c>
      <c r="I10" s="77">
        <v>0</v>
      </c>
      <c r="J10" s="77">
        <v>0.151</v>
      </c>
      <c r="K10" s="77">
        <v>1.0209999999999999</v>
      </c>
      <c r="L10" s="77">
        <v>30.097999999999999</v>
      </c>
      <c r="M10" s="77">
        <v>3.19</v>
      </c>
      <c r="N10" s="77">
        <v>0</v>
      </c>
      <c r="O10" s="77">
        <v>100.178</v>
      </c>
      <c r="P10" s="77">
        <f t="shared" si="3"/>
        <v>0.91151785092908344</v>
      </c>
      <c r="Q10" s="77">
        <f t="shared" si="4"/>
        <v>7.914650787743456E-2</v>
      </c>
      <c r="R10" s="77">
        <f t="shared" si="5"/>
        <v>2.692678055565462E-3</v>
      </c>
      <c r="S10" s="77">
        <f t="shared" si="0"/>
        <v>11.516842314011507</v>
      </c>
      <c r="U10" s="77">
        <f t="shared" si="6"/>
        <v>7.9892354230634313</v>
      </c>
      <c r="V10" s="77">
        <f t="shared" si="1"/>
        <v>7.9892354230634313</v>
      </c>
      <c r="W10" s="77">
        <f t="shared" si="2"/>
        <v>92.010764576936566</v>
      </c>
      <c r="Y10" s="77" t="s">
        <v>209</v>
      </c>
      <c r="Z10" s="77">
        <v>5.0000000000000001E-3</v>
      </c>
      <c r="AA10" s="77">
        <v>10.856400000000001</v>
      </c>
      <c r="AB10" s="77">
        <v>0</v>
      </c>
      <c r="AC10" s="77">
        <v>2.63E-2</v>
      </c>
      <c r="AD10" s="77">
        <v>0</v>
      </c>
      <c r="AE10" s="77">
        <v>5.3E-3</v>
      </c>
      <c r="AF10" s="77">
        <v>0</v>
      </c>
      <c r="AG10" s="77">
        <v>0</v>
      </c>
      <c r="AH10" s="77">
        <v>3.2099999999999997E-2</v>
      </c>
      <c r="AI10" s="77">
        <v>0.1714</v>
      </c>
      <c r="AJ10" s="77">
        <v>5.9660000000000002</v>
      </c>
      <c r="AK10" s="77">
        <v>0.9425</v>
      </c>
      <c r="AL10" s="77">
        <v>0</v>
      </c>
      <c r="AM10" s="77">
        <v>18.004999999999999</v>
      </c>
      <c r="AP10" s="77">
        <f t="shared" si="7"/>
        <v>1.8094000000000001</v>
      </c>
      <c r="AQ10" s="77">
        <f t="shared" si="8"/>
        <v>2.8566666666666667E-2</v>
      </c>
    </row>
    <row r="11" spans="1:43" x14ac:dyDescent="0.2">
      <c r="A11" s="77" t="s">
        <v>213</v>
      </c>
      <c r="B11" s="77">
        <v>0</v>
      </c>
      <c r="C11" s="77">
        <v>65.775000000000006</v>
      </c>
      <c r="D11" s="77">
        <v>0</v>
      </c>
      <c r="E11" s="77">
        <v>0.17299999999999999</v>
      </c>
      <c r="F11" s="77">
        <v>7.0000000000000001E-3</v>
      </c>
      <c r="G11" s="77">
        <v>1.9E-2</v>
      </c>
      <c r="H11" s="77">
        <v>0</v>
      </c>
      <c r="I11" s="77">
        <v>0</v>
      </c>
      <c r="J11" s="77">
        <v>0.155</v>
      </c>
      <c r="K11" s="77">
        <v>1.0489999999999999</v>
      </c>
      <c r="L11" s="77">
        <v>30.257000000000001</v>
      </c>
      <c r="M11" s="77">
        <v>3.3530000000000002</v>
      </c>
      <c r="N11" s="77">
        <v>0</v>
      </c>
      <c r="O11" s="77">
        <v>100.794</v>
      </c>
      <c r="P11" s="77">
        <f t="shared" si="3"/>
        <v>0.91551256176491069</v>
      </c>
      <c r="Q11" s="77">
        <f t="shared" si="4"/>
        <v>8.319067113261383E-2</v>
      </c>
      <c r="R11" s="77">
        <f t="shared" si="5"/>
        <v>2.7640072755804415E-3</v>
      </c>
      <c r="S11" s="77">
        <f t="shared" si="0"/>
        <v>11.004990695477101</v>
      </c>
      <c r="U11" s="77">
        <f t="shared" si="6"/>
        <v>8.3298690133658457</v>
      </c>
      <c r="V11" s="77">
        <f t="shared" si="1"/>
        <v>8.3298690133658457</v>
      </c>
      <c r="W11" s="77">
        <f t="shared" si="2"/>
        <v>91.670130986634163</v>
      </c>
      <c r="Y11" s="77" t="s">
        <v>213</v>
      </c>
      <c r="Z11" s="77">
        <v>0</v>
      </c>
      <c r="AA11" s="77">
        <v>10.831899999999999</v>
      </c>
      <c r="AB11" s="77">
        <v>8.9999999999999998E-4</v>
      </c>
      <c r="AC11" s="77">
        <v>2.5600000000000001E-2</v>
      </c>
      <c r="AD11" s="77">
        <v>2.5999999999999999E-3</v>
      </c>
      <c r="AE11" s="77">
        <v>4.4999999999999997E-3</v>
      </c>
      <c r="AF11" s="77">
        <v>0</v>
      </c>
      <c r="AG11" s="77">
        <v>0</v>
      </c>
      <c r="AH11" s="77">
        <v>3.2599999999999997E-2</v>
      </c>
      <c r="AI11" s="77">
        <v>0.1749</v>
      </c>
      <c r="AJ11" s="77">
        <v>5.9579000000000004</v>
      </c>
      <c r="AK11" s="77">
        <v>0.98409999999999997</v>
      </c>
      <c r="AL11" s="77">
        <v>0</v>
      </c>
      <c r="AM11" s="77">
        <v>18.015000000000001</v>
      </c>
      <c r="AP11" s="77">
        <f t="shared" si="7"/>
        <v>1.8053166666666665</v>
      </c>
      <c r="AQ11" s="77">
        <f t="shared" si="8"/>
        <v>2.9149999999999999E-2</v>
      </c>
    </row>
    <row r="12" spans="1:43" x14ac:dyDescent="0.2">
      <c r="A12" s="77" t="s">
        <v>467</v>
      </c>
      <c r="B12" s="77">
        <v>2.7E-2</v>
      </c>
      <c r="C12" s="77">
        <v>64.984999999999999</v>
      </c>
      <c r="D12" s="77">
        <v>0</v>
      </c>
      <c r="E12" s="77">
        <v>0.24299999999999999</v>
      </c>
      <c r="F12" s="77">
        <v>8.9999999999999993E-3</v>
      </c>
      <c r="G12" s="77">
        <v>8.0000000000000002E-3</v>
      </c>
      <c r="H12" s="77">
        <v>0</v>
      </c>
      <c r="I12" s="77">
        <v>0</v>
      </c>
      <c r="J12" s="77">
        <v>0.25600000000000001</v>
      </c>
      <c r="K12" s="77">
        <v>0.96499999999999997</v>
      </c>
      <c r="L12" s="77">
        <v>29.911999999999999</v>
      </c>
      <c r="M12" s="77">
        <v>3.3180000000000001</v>
      </c>
      <c r="N12" s="77">
        <v>0.183</v>
      </c>
      <c r="O12" s="77">
        <v>99.906000000000006</v>
      </c>
      <c r="P12" s="77">
        <f t="shared" si="3"/>
        <v>0.90451666782657114</v>
      </c>
      <c r="Q12" s="77">
        <f t="shared" si="4"/>
        <v>8.2322292519538515E-2</v>
      </c>
      <c r="R12" s="77">
        <f t="shared" si="5"/>
        <v>4.5650700809586643E-3</v>
      </c>
      <c r="S12" s="77">
        <f t="shared" si="0"/>
        <v>10.987505815777562</v>
      </c>
      <c r="U12" s="77">
        <f t="shared" si="6"/>
        <v>8.3420188934034378</v>
      </c>
      <c r="V12" s="77">
        <f t="shared" si="1"/>
        <v>8.3420188934034378</v>
      </c>
      <c r="W12" s="77">
        <f t="shared" si="2"/>
        <v>91.657981106596566</v>
      </c>
      <c r="Y12" s="77" t="s">
        <v>467</v>
      </c>
      <c r="Z12" s="77">
        <v>4.3E-3</v>
      </c>
      <c r="AA12" s="77">
        <v>10.8005</v>
      </c>
      <c r="AB12" s="77">
        <v>0</v>
      </c>
      <c r="AC12" s="77">
        <v>3.6400000000000002E-2</v>
      </c>
      <c r="AD12" s="77">
        <v>3.3E-3</v>
      </c>
      <c r="AE12" s="77">
        <v>2E-3</v>
      </c>
      <c r="AF12" s="77">
        <v>0</v>
      </c>
      <c r="AG12" s="77">
        <v>1E-4</v>
      </c>
      <c r="AH12" s="77">
        <v>5.4600000000000003E-2</v>
      </c>
      <c r="AI12" s="77">
        <v>0.16239999999999999</v>
      </c>
      <c r="AJ12" s="77">
        <v>5.9443000000000001</v>
      </c>
      <c r="AK12" s="77">
        <v>0.98309999999999997</v>
      </c>
      <c r="AL12" s="77">
        <v>2.9100000000000001E-2</v>
      </c>
      <c r="AM12" s="77">
        <v>18.020099999999999</v>
      </c>
      <c r="AP12" s="77">
        <f t="shared" si="7"/>
        <v>1.8000833333333333</v>
      </c>
      <c r="AQ12" s="77">
        <f t="shared" si="8"/>
        <v>2.7066666666666666E-2</v>
      </c>
    </row>
    <row r="13" spans="1:43" x14ac:dyDescent="0.2">
      <c r="A13" s="77" t="s">
        <v>482</v>
      </c>
      <c r="B13" s="77">
        <v>3.1E-2</v>
      </c>
      <c r="C13" s="77">
        <v>65.522999999999996</v>
      </c>
      <c r="D13" s="77">
        <v>0</v>
      </c>
      <c r="E13" s="77">
        <v>0.51200000000000001</v>
      </c>
      <c r="F13" s="77">
        <v>2.4E-2</v>
      </c>
      <c r="G13" s="77">
        <v>0</v>
      </c>
      <c r="H13" s="77">
        <v>0</v>
      </c>
      <c r="I13" s="77">
        <v>0</v>
      </c>
      <c r="J13" s="77">
        <v>0.11</v>
      </c>
      <c r="K13" s="77">
        <v>0.88800000000000001</v>
      </c>
      <c r="L13" s="77">
        <v>30.263999999999999</v>
      </c>
      <c r="M13" s="77">
        <v>3.1389999999999998</v>
      </c>
      <c r="N13" s="77">
        <v>0</v>
      </c>
      <c r="O13" s="77">
        <v>100.501</v>
      </c>
      <c r="P13" s="77">
        <f t="shared" si="3"/>
        <v>0.91200501078711105</v>
      </c>
      <c r="Q13" s="77">
        <f t="shared" si="4"/>
        <v>7.7881156184096259E-2</v>
      </c>
      <c r="R13" s="77">
        <f t="shared" si="5"/>
        <v>1.9615535504119261E-3</v>
      </c>
      <c r="S13" s="77">
        <f t="shared" si="0"/>
        <v>11.710214068102744</v>
      </c>
      <c r="U13" s="77">
        <f t="shared" si="6"/>
        <v>7.8676881021978744</v>
      </c>
      <c r="V13" s="77">
        <f t="shared" si="1"/>
        <v>7.8676881021978744</v>
      </c>
      <c r="W13" s="77">
        <f t="shared" si="2"/>
        <v>92.132311897802126</v>
      </c>
      <c r="Y13" s="77" t="s">
        <v>482</v>
      </c>
      <c r="Z13" s="77">
        <v>5.0000000000000001E-3</v>
      </c>
      <c r="AA13" s="77">
        <v>10.8062</v>
      </c>
      <c r="AB13" s="77">
        <v>1.4E-3</v>
      </c>
      <c r="AC13" s="77">
        <v>7.5899999999999995E-2</v>
      </c>
      <c r="AD13" s="77">
        <v>9.1999999999999998E-3</v>
      </c>
      <c r="AE13" s="77">
        <v>2.0000000000000001E-4</v>
      </c>
      <c r="AF13" s="77">
        <v>0</v>
      </c>
      <c r="AG13" s="77">
        <v>0</v>
      </c>
      <c r="AH13" s="77">
        <v>2.3300000000000001E-2</v>
      </c>
      <c r="AI13" s="77">
        <v>0.14829999999999999</v>
      </c>
      <c r="AJ13" s="77">
        <v>5.968</v>
      </c>
      <c r="AK13" s="77">
        <v>0.92269999999999996</v>
      </c>
      <c r="AL13" s="77">
        <v>0</v>
      </c>
      <c r="AM13" s="77">
        <v>17.9602</v>
      </c>
      <c r="AP13" s="77">
        <f t="shared" si="7"/>
        <v>1.8010333333333335</v>
      </c>
      <c r="AQ13" s="77">
        <f t="shared" si="8"/>
        <v>2.4716666666666665E-2</v>
      </c>
    </row>
    <row r="14" spans="1:43" x14ac:dyDescent="0.2">
      <c r="A14" s="77" t="s">
        <v>190</v>
      </c>
      <c r="B14" s="77">
        <v>0</v>
      </c>
      <c r="C14" s="77">
        <v>64</v>
      </c>
      <c r="D14" s="77">
        <v>2.3E-2</v>
      </c>
      <c r="E14" s="77">
        <v>1.4E-2</v>
      </c>
      <c r="F14" s="77">
        <v>2.5999999999999999E-2</v>
      </c>
      <c r="G14" s="77">
        <v>8.0000000000000002E-3</v>
      </c>
      <c r="H14" s="77">
        <v>0</v>
      </c>
      <c r="I14" s="77">
        <v>0.01</v>
      </c>
      <c r="J14" s="77">
        <v>5.5E-2</v>
      </c>
      <c r="K14" s="77">
        <v>1.081</v>
      </c>
      <c r="L14" s="77">
        <v>30.167000000000002</v>
      </c>
      <c r="M14" s="77">
        <v>4.3289999999999997</v>
      </c>
      <c r="N14" s="77">
        <v>0.57799999999999996</v>
      </c>
      <c r="O14" s="77">
        <v>100.291</v>
      </c>
      <c r="P14" s="77">
        <f t="shared" si="3"/>
        <v>0.89080659753636304</v>
      </c>
      <c r="Q14" s="77">
        <f t="shared" si="4"/>
        <v>0.10740602902865649</v>
      </c>
      <c r="R14" s="77">
        <f t="shared" si="5"/>
        <v>9.8077677520596305E-4</v>
      </c>
      <c r="S14" s="77">
        <f t="shared" si="0"/>
        <v>8.2938230338884527</v>
      </c>
      <c r="U14" s="77">
        <f t="shared" si="6"/>
        <v>10.759834745654812</v>
      </c>
      <c r="V14" s="77">
        <f t="shared" si="1"/>
        <v>10.759834745654812</v>
      </c>
      <c r="W14" s="77">
        <f t="shared" si="2"/>
        <v>89.2401652543452</v>
      </c>
      <c r="Y14" s="77" t="s">
        <v>190</v>
      </c>
      <c r="Z14" s="77">
        <v>0</v>
      </c>
      <c r="AA14" s="77">
        <v>10.543100000000001</v>
      </c>
      <c r="AB14" s="77">
        <v>3.5000000000000001E-3</v>
      </c>
      <c r="AC14" s="77">
        <v>2.0999999999999999E-3</v>
      </c>
      <c r="AD14" s="77">
        <v>9.7999999999999997E-3</v>
      </c>
      <c r="AE14" s="77">
        <v>1.6999999999999999E-3</v>
      </c>
      <c r="AF14" s="77">
        <v>0</v>
      </c>
      <c r="AG14" s="77">
        <v>2.5000000000000001E-3</v>
      </c>
      <c r="AH14" s="77">
        <v>1.1599999999999999E-2</v>
      </c>
      <c r="AI14" s="77">
        <v>0.1804</v>
      </c>
      <c r="AJ14" s="77">
        <v>5.9420999999999999</v>
      </c>
      <c r="AK14" s="77">
        <v>1.2712000000000001</v>
      </c>
      <c r="AL14" s="77">
        <v>9.1300000000000006E-2</v>
      </c>
      <c r="AM14" s="77">
        <v>18.0593</v>
      </c>
      <c r="AP14" s="77">
        <f t="shared" si="7"/>
        <v>1.7571833333333335</v>
      </c>
      <c r="AQ14" s="77">
        <f t="shared" si="8"/>
        <v>3.0066666666666669E-2</v>
      </c>
    </row>
    <row r="15" spans="1:43" x14ac:dyDescent="0.2">
      <c r="A15" s="77" t="s">
        <v>483</v>
      </c>
      <c r="B15" s="77">
        <v>3.0000000000000001E-3</v>
      </c>
      <c r="C15" s="77">
        <v>63.000999999999998</v>
      </c>
      <c r="D15" s="77">
        <v>0</v>
      </c>
      <c r="E15" s="77">
        <v>0.30399999999999999</v>
      </c>
      <c r="F15" s="77">
        <v>0</v>
      </c>
      <c r="G15" s="77">
        <v>0</v>
      </c>
      <c r="H15" s="77">
        <v>0</v>
      </c>
      <c r="I15" s="77">
        <v>0</v>
      </c>
      <c r="J15" s="77">
        <v>0.22600000000000001</v>
      </c>
      <c r="K15" s="77">
        <v>1.1100000000000001</v>
      </c>
      <c r="L15" s="77">
        <v>30.318000000000001</v>
      </c>
      <c r="M15" s="77">
        <v>4.2939999999999996</v>
      </c>
      <c r="N15" s="77">
        <v>0</v>
      </c>
      <c r="O15" s="77">
        <v>99.268000000000001</v>
      </c>
      <c r="P15" s="77">
        <f t="shared" si="3"/>
        <v>0.87690166330294383</v>
      </c>
      <c r="Q15" s="77">
        <f t="shared" si="4"/>
        <v>0.10653765041558118</v>
      </c>
      <c r="R15" s="77">
        <f t="shared" si="5"/>
        <v>4.030100930846321E-3</v>
      </c>
      <c r="S15" s="77">
        <f t="shared" si="0"/>
        <v>8.2309086025675722</v>
      </c>
      <c r="U15" s="77">
        <f t="shared" si="6"/>
        <v>10.833169767511841</v>
      </c>
      <c r="V15" s="77">
        <f t="shared" si="1"/>
        <v>10.833169767511841</v>
      </c>
      <c r="W15" s="77">
        <f t="shared" si="2"/>
        <v>89.166830232488152</v>
      </c>
      <c r="Y15" s="77" t="s">
        <v>483</v>
      </c>
      <c r="Z15" s="77">
        <v>5.9999999999999995E-4</v>
      </c>
      <c r="AA15" s="77">
        <v>10.4177</v>
      </c>
      <c r="AB15" s="77">
        <v>1.9E-3</v>
      </c>
      <c r="AC15" s="77">
        <v>4.5199999999999997E-2</v>
      </c>
      <c r="AD15" s="77">
        <v>0</v>
      </c>
      <c r="AE15" s="77">
        <v>0</v>
      </c>
      <c r="AF15" s="77">
        <v>0</v>
      </c>
      <c r="AG15" s="77">
        <v>0</v>
      </c>
      <c r="AH15" s="77">
        <v>4.7800000000000002E-2</v>
      </c>
      <c r="AI15" s="77">
        <v>0.18590000000000001</v>
      </c>
      <c r="AJ15" s="77">
        <v>5.9946000000000002</v>
      </c>
      <c r="AK15" s="77">
        <v>1.2657</v>
      </c>
      <c r="AL15" s="77">
        <v>0</v>
      </c>
      <c r="AM15" s="77">
        <v>17.959399999999999</v>
      </c>
      <c r="AP15" s="77">
        <f t="shared" si="7"/>
        <v>1.7362833333333334</v>
      </c>
      <c r="AQ15" s="77">
        <f t="shared" si="8"/>
        <v>3.0983333333333335E-2</v>
      </c>
    </row>
    <row r="16" spans="1:43" x14ac:dyDescent="0.2">
      <c r="A16" s="77" t="s">
        <v>232</v>
      </c>
      <c r="B16" s="77">
        <v>0</v>
      </c>
      <c r="C16" s="77">
        <v>63.009</v>
      </c>
      <c r="D16" s="77">
        <v>2.3E-2</v>
      </c>
      <c r="E16" s="77">
        <v>0.52100000000000002</v>
      </c>
      <c r="F16" s="77">
        <v>2.7E-2</v>
      </c>
      <c r="G16" s="77">
        <v>0</v>
      </c>
      <c r="H16" s="77">
        <v>0</v>
      </c>
      <c r="I16" s="77">
        <v>4.0000000000000001E-3</v>
      </c>
      <c r="J16" s="77">
        <v>0.34300000000000003</v>
      </c>
      <c r="K16" s="77">
        <v>1.006</v>
      </c>
      <c r="L16" s="77">
        <v>30.689</v>
      </c>
      <c r="M16" s="77">
        <v>5.5289999999999999</v>
      </c>
      <c r="N16" s="77">
        <v>0.60799999999999998</v>
      </c>
      <c r="O16" s="77">
        <v>101.759</v>
      </c>
      <c r="P16" s="77">
        <f t="shared" si="3"/>
        <v>0.87701301412763588</v>
      </c>
      <c r="Q16" s="77">
        <f t="shared" si="4"/>
        <v>0.13717901004838109</v>
      </c>
      <c r="R16" s="77">
        <f t="shared" si="5"/>
        <v>6.1164806162844615E-3</v>
      </c>
      <c r="S16" s="77">
        <f t="shared" si="0"/>
        <v>6.3932012180167055</v>
      </c>
      <c r="U16" s="77">
        <f t="shared" si="6"/>
        <v>13.525940529835321</v>
      </c>
      <c r="V16" s="77">
        <f t="shared" si="1"/>
        <v>13.525940529835321</v>
      </c>
      <c r="W16" s="77">
        <f t="shared" si="2"/>
        <v>86.47405947016469</v>
      </c>
      <c r="Y16" s="77" t="s">
        <v>232</v>
      </c>
      <c r="Z16" s="77">
        <v>0</v>
      </c>
      <c r="AA16" s="77">
        <v>10.1288</v>
      </c>
      <c r="AB16" s="77">
        <v>3.5000000000000001E-3</v>
      </c>
      <c r="AC16" s="77">
        <v>7.5300000000000006E-2</v>
      </c>
      <c r="AD16" s="77">
        <v>1.01E-2</v>
      </c>
      <c r="AE16" s="77">
        <v>0</v>
      </c>
      <c r="AF16" s="77">
        <v>0</v>
      </c>
      <c r="AG16" s="77">
        <v>1E-3</v>
      </c>
      <c r="AH16" s="77">
        <v>7.0499999999999993E-2</v>
      </c>
      <c r="AI16" s="77">
        <v>0.1638</v>
      </c>
      <c r="AJ16" s="77">
        <v>5.8987999999999996</v>
      </c>
      <c r="AK16" s="77">
        <v>1.5843</v>
      </c>
      <c r="AL16" s="77">
        <v>9.3700000000000006E-2</v>
      </c>
      <c r="AM16" s="77">
        <v>18.029800000000002</v>
      </c>
      <c r="AP16" s="77">
        <f t="shared" si="7"/>
        <v>1.6881333333333333</v>
      </c>
      <c r="AQ16" s="77">
        <f t="shared" si="8"/>
        <v>2.7300000000000001E-2</v>
      </c>
    </row>
    <row r="17" spans="1:43" x14ac:dyDescent="0.2">
      <c r="A17" s="77" t="s">
        <v>26</v>
      </c>
      <c r="B17" s="77">
        <v>0</v>
      </c>
      <c r="C17" s="77">
        <v>63.514000000000003</v>
      </c>
      <c r="D17" s="77">
        <v>2.7E-2</v>
      </c>
      <c r="E17" s="77">
        <v>0.317</v>
      </c>
      <c r="F17" s="77">
        <v>4.4999999999999998E-2</v>
      </c>
      <c r="G17" s="77">
        <v>2.9000000000000001E-2</v>
      </c>
      <c r="H17" s="77">
        <v>0</v>
      </c>
      <c r="I17" s="77">
        <v>1.7000000000000001E-2</v>
      </c>
      <c r="J17" s="77">
        <v>7.9000000000000001E-2</v>
      </c>
      <c r="K17" s="77">
        <v>0.996</v>
      </c>
      <c r="L17" s="77">
        <v>30.117000000000001</v>
      </c>
      <c r="M17" s="77">
        <v>3.758</v>
      </c>
      <c r="N17" s="77">
        <v>1.008</v>
      </c>
      <c r="O17" s="77">
        <v>99.906999999999996</v>
      </c>
      <c r="P17" s="77">
        <f t="shared" si="3"/>
        <v>0.88404203493632127</v>
      </c>
      <c r="Q17" s="77">
        <f t="shared" si="4"/>
        <v>9.3239052226770869E-2</v>
      </c>
      <c r="R17" s="77">
        <f t="shared" si="5"/>
        <v>1.4087520952958379E-3</v>
      </c>
      <c r="S17" s="77">
        <f t="shared" si="0"/>
        <v>9.4814566839032537</v>
      </c>
      <c r="U17" s="77">
        <f t="shared" si="6"/>
        <v>9.5406586141383904</v>
      </c>
      <c r="V17" s="77">
        <f t="shared" si="1"/>
        <v>9.5406586141383904</v>
      </c>
      <c r="W17" s="77">
        <f t="shared" si="2"/>
        <v>90.45934138586162</v>
      </c>
      <c r="Y17" s="77" t="s">
        <v>26</v>
      </c>
      <c r="Z17" s="77">
        <v>0</v>
      </c>
      <c r="AA17" s="77">
        <v>10.5093</v>
      </c>
      <c r="AB17" s="77">
        <v>4.1999999999999997E-3</v>
      </c>
      <c r="AC17" s="77">
        <v>4.7199999999999999E-2</v>
      </c>
      <c r="AD17" s="77">
        <v>1.7100000000000001E-2</v>
      </c>
      <c r="AE17" s="77">
        <v>6.7999999999999996E-3</v>
      </c>
      <c r="AF17" s="77">
        <v>0</v>
      </c>
      <c r="AG17" s="77">
        <v>4.1999999999999997E-3</v>
      </c>
      <c r="AH17" s="77">
        <v>1.67E-2</v>
      </c>
      <c r="AI17" s="77">
        <v>0.16689999999999999</v>
      </c>
      <c r="AJ17" s="77">
        <v>5.9585999999999997</v>
      </c>
      <c r="AK17" s="77">
        <v>1.1084000000000001</v>
      </c>
      <c r="AL17" s="77">
        <v>0.15989999999999999</v>
      </c>
      <c r="AM17" s="77">
        <v>17.999300000000002</v>
      </c>
      <c r="AP17" s="77">
        <f t="shared" si="7"/>
        <v>1.7515499999999999</v>
      </c>
      <c r="AQ17" s="77">
        <f t="shared" si="8"/>
        <v>2.7816666666666667E-2</v>
      </c>
    </row>
    <row r="18" spans="1:43" x14ac:dyDescent="0.2">
      <c r="A18" s="77" t="s">
        <v>220</v>
      </c>
      <c r="B18" s="77">
        <v>0.03</v>
      </c>
      <c r="C18" s="77">
        <v>64.391000000000005</v>
      </c>
      <c r="D18" s="77">
        <v>0</v>
      </c>
      <c r="E18" s="77">
        <v>0.11600000000000001</v>
      </c>
      <c r="F18" s="77">
        <v>3.2000000000000001E-2</v>
      </c>
      <c r="G18" s="77">
        <v>2.5000000000000001E-2</v>
      </c>
      <c r="H18" s="77">
        <v>0</v>
      </c>
      <c r="I18" s="77">
        <v>0</v>
      </c>
      <c r="J18" s="77">
        <v>0.28599999999999998</v>
      </c>
      <c r="K18" s="77">
        <v>1.036</v>
      </c>
      <c r="L18" s="77">
        <v>29.977</v>
      </c>
      <c r="M18" s="77">
        <v>3.7789999999999999</v>
      </c>
      <c r="N18" s="77">
        <v>0</v>
      </c>
      <c r="O18" s="77">
        <v>99.671999999999997</v>
      </c>
      <c r="P18" s="77">
        <f t="shared" si="3"/>
        <v>0.8962488690931868</v>
      </c>
      <c r="Q18" s="77">
        <f t="shared" si="4"/>
        <v>9.3760079394616044E-2</v>
      </c>
      <c r="R18" s="77">
        <f t="shared" si="5"/>
        <v>5.1000392310710076E-3</v>
      </c>
      <c r="S18" s="77">
        <f t="shared" si="0"/>
        <v>9.5589602193175178</v>
      </c>
      <c r="U18" s="77">
        <f t="shared" si="6"/>
        <v>9.4706294865143015</v>
      </c>
      <c r="V18" s="77">
        <f t="shared" si="1"/>
        <v>9.4706294865143015</v>
      </c>
      <c r="W18" s="77">
        <f t="shared" si="2"/>
        <v>90.529370513485702</v>
      </c>
      <c r="Y18" s="77" t="s">
        <v>220</v>
      </c>
      <c r="Z18" s="77">
        <v>4.7999999999999996E-3</v>
      </c>
      <c r="AA18" s="77">
        <v>10.6904</v>
      </c>
      <c r="AB18" s="77">
        <v>0</v>
      </c>
      <c r="AC18" s="77">
        <v>1.7399999999999999E-2</v>
      </c>
      <c r="AD18" s="77">
        <v>1.2500000000000001E-2</v>
      </c>
      <c r="AE18" s="77">
        <v>5.8999999999999999E-3</v>
      </c>
      <c r="AF18" s="77">
        <v>0</v>
      </c>
      <c r="AG18" s="77">
        <v>0</v>
      </c>
      <c r="AH18" s="77">
        <v>6.08E-2</v>
      </c>
      <c r="AI18" s="77">
        <v>0.17419999999999999</v>
      </c>
      <c r="AJ18" s="77">
        <v>5.9508000000000001</v>
      </c>
      <c r="AK18" s="77">
        <v>1.1183000000000001</v>
      </c>
      <c r="AL18" s="77">
        <v>0</v>
      </c>
      <c r="AM18" s="77">
        <v>18.0351</v>
      </c>
      <c r="AP18" s="77">
        <f t="shared" si="7"/>
        <v>1.7817333333333334</v>
      </c>
      <c r="AQ18" s="77">
        <f t="shared" si="8"/>
        <v>2.9033333333333331E-2</v>
      </c>
    </row>
    <row r="19" spans="1:43" x14ac:dyDescent="0.2">
      <c r="A19" s="77" t="s">
        <v>484</v>
      </c>
      <c r="B19" s="77">
        <v>0.02</v>
      </c>
      <c r="C19" s="77">
        <v>63.643000000000001</v>
      </c>
      <c r="D19" s="77">
        <v>2.4E-2</v>
      </c>
      <c r="E19" s="77">
        <v>0.13400000000000001</v>
      </c>
      <c r="F19" s="77">
        <v>7.0000000000000001E-3</v>
      </c>
      <c r="G19" s="77">
        <v>5.0000000000000001E-3</v>
      </c>
      <c r="H19" s="77">
        <v>0</v>
      </c>
      <c r="I19" s="77">
        <v>0</v>
      </c>
      <c r="J19" s="77">
        <v>0.24099999999999999</v>
      </c>
      <c r="K19" s="77">
        <v>1.169</v>
      </c>
      <c r="L19" s="77">
        <v>30.414999999999999</v>
      </c>
      <c r="M19" s="77">
        <v>3.5419999999999998</v>
      </c>
      <c r="N19" s="77">
        <v>0.254</v>
      </c>
      <c r="O19" s="77">
        <v>99.453999999999994</v>
      </c>
      <c r="P19" s="77">
        <f t="shared" si="3"/>
        <v>0.88583756698448046</v>
      </c>
      <c r="Q19" s="77">
        <f t="shared" si="4"/>
        <v>8.7879915643220438E-2</v>
      </c>
      <c r="R19" s="77">
        <f t="shared" si="5"/>
        <v>4.2975855059024922E-3</v>
      </c>
      <c r="S19" s="77">
        <f t="shared" si="0"/>
        <v>10.080091230183367</v>
      </c>
      <c r="U19" s="77">
        <f t="shared" si="6"/>
        <v>9.0251964467214112</v>
      </c>
      <c r="V19" s="77">
        <f t="shared" si="1"/>
        <v>9.0251964467214112</v>
      </c>
      <c r="W19" s="77">
        <f t="shared" si="2"/>
        <v>90.974803553278591</v>
      </c>
      <c r="Y19" s="77" t="s">
        <v>484</v>
      </c>
      <c r="Z19" s="77">
        <v>3.0999999999999999E-3</v>
      </c>
      <c r="AA19" s="77">
        <v>10.552899999999999</v>
      </c>
      <c r="AB19" s="77">
        <v>3.8E-3</v>
      </c>
      <c r="AC19" s="77">
        <v>0.02</v>
      </c>
      <c r="AD19" s="77">
        <v>2.5999999999999999E-3</v>
      </c>
      <c r="AE19" s="77">
        <v>1.1999999999999999E-3</v>
      </c>
      <c r="AF19" s="77">
        <v>0</v>
      </c>
      <c r="AG19" s="77">
        <v>0</v>
      </c>
      <c r="AH19" s="77">
        <v>5.11E-2</v>
      </c>
      <c r="AI19" s="77">
        <v>0.1963</v>
      </c>
      <c r="AJ19" s="77">
        <v>6.0301999999999998</v>
      </c>
      <c r="AK19" s="77">
        <v>1.0468999999999999</v>
      </c>
      <c r="AL19" s="77">
        <v>4.0300000000000002E-2</v>
      </c>
      <c r="AM19" s="77">
        <v>17.948399999999999</v>
      </c>
      <c r="AP19" s="77">
        <f t="shared" si="7"/>
        <v>1.7588166666666665</v>
      </c>
      <c r="AQ19" s="77">
        <f t="shared" si="8"/>
        <v>3.2716666666666665E-2</v>
      </c>
    </row>
    <row r="20" spans="1:43" x14ac:dyDescent="0.2">
      <c r="A20" s="77" t="s">
        <v>262</v>
      </c>
      <c r="B20" s="77">
        <v>3.2000000000000001E-2</v>
      </c>
      <c r="C20" s="77">
        <v>63.573</v>
      </c>
      <c r="D20" s="77">
        <v>0</v>
      </c>
      <c r="E20" s="77">
        <v>0.159</v>
      </c>
      <c r="F20" s="77">
        <v>1.7000000000000001E-2</v>
      </c>
      <c r="G20" s="77">
        <v>1.6E-2</v>
      </c>
      <c r="H20" s="77">
        <v>0</v>
      </c>
      <c r="I20" s="77">
        <v>0</v>
      </c>
      <c r="J20" s="77">
        <v>0.222</v>
      </c>
      <c r="K20" s="77">
        <v>1.226</v>
      </c>
      <c r="L20" s="77">
        <v>29.989000000000001</v>
      </c>
      <c r="M20" s="77">
        <v>3.4569999999999999</v>
      </c>
      <c r="N20" s="77">
        <v>0</v>
      </c>
      <c r="O20" s="77">
        <v>98.7</v>
      </c>
      <c r="P20" s="77">
        <f t="shared" si="3"/>
        <v>0.88486324726842513</v>
      </c>
      <c r="Q20" s="77">
        <f t="shared" si="4"/>
        <v>8.5770996154323279E-2</v>
      </c>
      <c r="R20" s="77">
        <f t="shared" si="5"/>
        <v>3.9587717108313415E-3</v>
      </c>
      <c r="S20" s="77">
        <f t="shared" si="0"/>
        <v>10.316578877973352</v>
      </c>
      <c r="U20" s="77">
        <f t="shared" si="6"/>
        <v>8.8365928500388513</v>
      </c>
      <c r="V20" s="77">
        <f t="shared" si="1"/>
        <v>8.8365928500388513</v>
      </c>
      <c r="W20" s="77">
        <f t="shared" si="2"/>
        <v>91.163407149961145</v>
      </c>
      <c r="Y20" s="77" t="s">
        <v>262</v>
      </c>
      <c r="Z20" s="77">
        <v>5.1999999999999998E-3</v>
      </c>
      <c r="AA20" s="77">
        <v>10.642799999999999</v>
      </c>
      <c r="AB20" s="77">
        <v>1.4E-3</v>
      </c>
      <c r="AC20" s="77">
        <v>2.3900000000000001E-2</v>
      </c>
      <c r="AD20" s="77">
        <v>6.6E-3</v>
      </c>
      <c r="AE20" s="77">
        <v>3.8E-3</v>
      </c>
      <c r="AF20" s="77">
        <v>0</v>
      </c>
      <c r="AG20" s="77">
        <v>0</v>
      </c>
      <c r="AH20" s="77">
        <v>4.7600000000000003E-2</v>
      </c>
      <c r="AI20" s="77">
        <v>0.2079</v>
      </c>
      <c r="AJ20" s="77">
        <v>6.0030000000000001</v>
      </c>
      <c r="AK20" s="77">
        <v>1.0316000000000001</v>
      </c>
      <c r="AL20" s="77">
        <v>0</v>
      </c>
      <c r="AM20" s="77">
        <v>17.973800000000001</v>
      </c>
      <c r="AP20" s="77">
        <f t="shared" si="7"/>
        <v>1.7737999999999998</v>
      </c>
      <c r="AQ20" s="77">
        <f t="shared" si="8"/>
        <v>3.465E-2</v>
      </c>
    </row>
    <row r="21" spans="1:43" x14ac:dyDescent="0.2">
      <c r="A21" s="77" t="s">
        <v>120</v>
      </c>
      <c r="B21" s="77">
        <v>0</v>
      </c>
      <c r="C21" s="77">
        <v>64.629000000000005</v>
      </c>
      <c r="D21" s="77">
        <v>0</v>
      </c>
      <c r="E21" s="77">
        <v>0.60699999999999998</v>
      </c>
      <c r="F21" s="77">
        <v>2.1999999999999999E-2</v>
      </c>
      <c r="G21" s="77">
        <v>0</v>
      </c>
      <c r="H21" s="77">
        <v>0</v>
      </c>
      <c r="I21" s="77">
        <v>0</v>
      </c>
      <c r="J21" s="77">
        <v>5.8000000000000003E-2</v>
      </c>
      <c r="K21" s="77">
        <v>1.05</v>
      </c>
      <c r="L21" s="77">
        <v>30.277000000000001</v>
      </c>
      <c r="M21" s="77">
        <v>3.9590000000000001</v>
      </c>
      <c r="N21" s="77">
        <v>0.28999999999999998</v>
      </c>
      <c r="O21" s="77">
        <v>100.89400000000001</v>
      </c>
      <c r="P21" s="77">
        <f t="shared" si="3"/>
        <v>0.89956155612777511</v>
      </c>
      <c r="Q21" s="77">
        <f t="shared" si="4"/>
        <v>9.8226026547574743E-2</v>
      </c>
      <c r="R21" s="77">
        <f t="shared" si="5"/>
        <v>1.0342736902171975E-3</v>
      </c>
      <c r="S21" s="77">
        <f t="shared" si="0"/>
        <v>9.1580774235236113</v>
      </c>
      <c r="U21" s="77">
        <f t="shared" si="6"/>
        <v>9.8443825372333329</v>
      </c>
      <c r="V21" s="77">
        <f t="shared" si="1"/>
        <v>9.8443825372333329</v>
      </c>
      <c r="W21" s="77">
        <f t="shared" si="2"/>
        <v>90.155617462766671</v>
      </c>
      <c r="Y21" s="77" t="s">
        <v>120</v>
      </c>
      <c r="Z21" s="77">
        <v>0</v>
      </c>
      <c r="AA21" s="77">
        <v>10.5786</v>
      </c>
      <c r="AB21" s="77">
        <v>2.0000000000000001E-4</v>
      </c>
      <c r="AC21" s="77">
        <v>8.9300000000000004E-2</v>
      </c>
      <c r="AD21" s="77">
        <v>8.3999999999999995E-3</v>
      </c>
      <c r="AE21" s="77">
        <v>0</v>
      </c>
      <c r="AF21" s="77">
        <v>0</v>
      </c>
      <c r="AG21" s="77">
        <v>0</v>
      </c>
      <c r="AH21" s="77">
        <v>1.21E-2</v>
      </c>
      <c r="AI21" s="77">
        <v>0.17399999999999999</v>
      </c>
      <c r="AJ21" s="77">
        <v>5.9257999999999997</v>
      </c>
      <c r="AK21" s="77">
        <v>1.1551</v>
      </c>
      <c r="AL21" s="77">
        <v>4.5499999999999999E-2</v>
      </c>
      <c r="AM21" s="77">
        <v>17.989000000000001</v>
      </c>
      <c r="AP21" s="77">
        <f t="shared" si="7"/>
        <v>1.7630999999999999</v>
      </c>
      <c r="AQ21" s="77">
        <f t="shared" si="8"/>
        <v>2.8999999999999998E-2</v>
      </c>
    </row>
    <row r="22" spans="1:43" x14ac:dyDescent="0.2">
      <c r="A22" s="77" t="s">
        <v>163</v>
      </c>
      <c r="B22" s="77">
        <v>0</v>
      </c>
      <c r="C22" s="77">
        <v>64.849000000000004</v>
      </c>
      <c r="D22" s="77">
        <v>2.5999999999999999E-2</v>
      </c>
      <c r="E22" s="77">
        <v>0.83499999999999996</v>
      </c>
      <c r="F22" s="77">
        <v>8.9999999999999993E-3</v>
      </c>
      <c r="G22" s="77">
        <v>2.3E-2</v>
      </c>
      <c r="H22" s="77">
        <v>0</v>
      </c>
      <c r="I22" s="77">
        <v>0</v>
      </c>
      <c r="J22" s="77">
        <v>9.9000000000000005E-2</v>
      </c>
      <c r="K22" s="77">
        <v>1.0660000000000001</v>
      </c>
      <c r="L22" s="77">
        <v>29.907</v>
      </c>
      <c r="M22" s="77">
        <v>3.7749999999999999</v>
      </c>
      <c r="N22" s="77">
        <v>0</v>
      </c>
      <c r="O22" s="77">
        <v>100.59699999999999</v>
      </c>
      <c r="P22" s="77">
        <f t="shared" si="3"/>
        <v>0.90262370380680634</v>
      </c>
      <c r="Q22" s="77">
        <f t="shared" si="4"/>
        <v>9.3660836124550298E-2</v>
      </c>
      <c r="R22" s="77">
        <f t="shared" si="5"/>
        <v>1.7653981953707335E-3</v>
      </c>
      <c r="S22" s="77">
        <f t="shared" si="0"/>
        <v>9.6371518892538628</v>
      </c>
      <c r="U22" s="77">
        <f t="shared" si="6"/>
        <v>9.4010126997457437</v>
      </c>
      <c r="V22" s="77">
        <f t="shared" si="1"/>
        <v>9.4010126997457437</v>
      </c>
      <c r="W22" s="77">
        <f t="shared" si="2"/>
        <v>90.598987300254251</v>
      </c>
      <c r="Y22" s="77" t="s">
        <v>163</v>
      </c>
      <c r="Z22" s="77">
        <v>0</v>
      </c>
      <c r="AA22" s="77">
        <v>10.665900000000001</v>
      </c>
      <c r="AB22" s="77">
        <v>4.0000000000000001E-3</v>
      </c>
      <c r="AC22" s="77">
        <v>0.1234</v>
      </c>
      <c r="AD22" s="77">
        <v>3.3E-3</v>
      </c>
      <c r="AE22" s="77">
        <v>5.3E-3</v>
      </c>
      <c r="AF22" s="77">
        <v>1.4E-3</v>
      </c>
      <c r="AG22" s="77">
        <v>0</v>
      </c>
      <c r="AH22" s="77">
        <v>2.0799999999999999E-2</v>
      </c>
      <c r="AI22" s="77">
        <v>0.1777</v>
      </c>
      <c r="AJ22" s="77">
        <v>5.8815</v>
      </c>
      <c r="AK22" s="77">
        <v>1.1068</v>
      </c>
      <c r="AL22" s="77">
        <v>0</v>
      </c>
      <c r="AM22" s="77">
        <v>17.990100000000002</v>
      </c>
      <c r="AP22" s="77">
        <f t="shared" si="7"/>
        <v>1.7776500000000002</v>
      </c>
      <c r="AQ22" s="77">
        <f t="shared" si="8"/>
        <v>2.9616666666666666E-2</v>
      </c>
    </row>
    <row r="23" spans="1:43" x14ac:dyDescent="0.2">
      <c r="A23" s="77" t="s">
        <v>55</v>
      </c>
      <c r="B23" s="77">
        <v>1.6E-2</v>
      </c>
      <c r="C23" s="77">
        <v>64.403000000000006</v>
      </c>
      <c r="D23" s="77">
        <v>0</v>
      </c>
      <c r="E23" s="77">
        <v>1.2869999999999999</v>
      </c>
      <c r="F23" s="77">
        <v>7.0000000000000001E-3</v>
      </c>
      <c r="G23" s="77">
        <v>1.4E-2</v>
      </c>
      <c r="H23" s="77">
        <v>0</v>
      </c>
      <c r="I23" s="77">
        <v>0</v>
      </c>
      <c r="J23" s="77">
        <v>6.5000000000000002E-2</v>
      </c>
      <c r="K23" s="77">
        <v>0.999</v>
      </c>
      <c r="L23" s="77">
        <v>30.305</v>
      </c>
      <c r="M23" s="77">
        <v>3.8010000000000002</v>
      </c>
      <c r="N23" s="77">
        <v>0</v>
      </c>
      <c r="O23" s="77">
        <v>100.89700000000001</v>
      </c>
      <c r="P23" s="77">
        <f t="shared" si="3"/>
        <v>0.89641589533022492</v>
      </c>
      <c r="Q23" s="77">
        <f t="shared" si="4"/>
        <v>9.4305917379977677E-2</v>
      </c>
      <c r="R23" s="77">
        <f t="shared" si="5"/>
        <v>1.159099825243411E-3</v>
      </c>
      <c r="S23" s="77">
        <f t="shared" si="0"/>
        <v>9.5054045412482804</v>
      </c>
      <c r="U23" s="77">
        <f t="shared" si="6"/>
        <v>9.5189099674706785</v>
      </c>
      <c r="V23" s="77">
        <f t="shared" si="1"/>
        <v>9.5189099674706785</v>
      </c>
      <c r="W23" s="77">
        <f t="shared" si="2"/>
        <v>90.481090032529309</v>
      </c>
      <c r="Y23" s="77" t="s">
        <v>55</v>
      </c>
      <c r="Z23" s="77">
        <v>2.5000000000000001E-3</v>
      </c>
      <c r="AA23" s="77">
        <v>10.5068</v>
      </c>
      <c r="AB23" s="77">
        <v>0</v>
      </c>
      <c r="AC23" s="77">
        <v>0.1888</v>
      </c>
      <c r="AD23" s="77">
        <v>2.5999999999999999E-3</v>
      </c>
      <c r="AE23" s="77">
        <v>3.3E-3</v>
      </c>
      <c r="AF23" s="77">
        <v>0</v>
      </c>
      <c r="AG23" s="77">
        <v>0</v>
      </c>
      <c r="AH23" s="77">
        <v>1.3599999999999999E-2</v>
      </c>
      <c r="AI23" s="77">
        <v>0.16500000000000001</v>
      </c>
      <c r="AJ23" s="77">
        <v>5.9115000000000002</v>
      </c>
      <c r="AK23" s="77">
        <v>1.1052</v>
      </c>
      <c r="AL23" s="77">
        <v>0</v>
      </c>
      <c r="AM23" s="77">
        <v>17.8993</v>
      </c>
      <c r="AP23" s="77">
        <f t="shared" si="7"/>
        <v>1.7511333333333334</v>
      </c>
      <c r="AQ23" s="77">
        <f t="shared" si="8"/>
        <v>2.75E-2</v>
      </c>
    </row>
    <row r="24" spans="1:43" x14ac:dyDescent="0.2">
      <c r="A24" s="77" t="s">
        <v>468</v>
      </c>
      <c r="B24" s="77">
        <v>3.5999999999999997E-2</v>
      </c>
      <c r="C24" s="77">
        <v>65.183000000000007</v>
      </c>
      <c r="D24" s="77">
        <v>0</v>
      </c>
      <c r="E24" s="77">
        <v>0.23300000000000001</v>
      </c>
      <c r="F24" s="77">
        <v>0</v>
      </c>
      <c r="G24" s="77">
        <v>0</v>
      </c>
      <c r="H24" s="77">
        <v>0</v>
      </c>
      <c r="I24" s="77">
        <v>0</v>
      </c>
      <c r="J24" s="77">
        <v>0.22900000000000001</v>
      </c>
      <c r="K24" s="77">
        <v>1.109</v>
      </c>
      <c r="L24" s="77">
        <v>30.170999999999999</v>
      </c>
      <c r="M24" s="77">
        <v>3.7440000000000002</v>
      </c>
      <c r="N24" s="77">
        <v>0</v>
      </c>
      <c r="O24" s="77">
        <v>100.705</v>
      </c>
      <c r="P24" s="77">
        <f t="shared" si="3"/>
        <v>0.90727260073769933</v>
      </c>
      <c r="Q24" s="77">
        <f t="shared" si="4"/>
        <v>9.2891700781540756E-2</v>
      </c>
      <c r="R24" s="77">
        <f t="shared" si="5"/>
        <v>4.0835978458575554E-3</v>
      </c>
      <c r="S24" s="77">
        <f t="shared" si="0"/>
        <v>9.766993101691499</v>
      </c>
      <c r="U24" s="77">
        <f t="shared" si="6"/>
        <v>9.2876441041176072</v>
      </c>
      <c r="V24" s="77">
        <f t="shared" si="1"/>
        <v>9.2876441041176072</v>
      </c>
      <c r="W24" s="77">
        <f t="shared" si="2"/>
        <v>90.712355895882396</v>
      </c>
      <c r="Y24" s="77" t="s">
        <v>468</v>
      </c>
      <c r="Z24" s="77">
        <v>5.7000000000000002E-3</v>
      </c>
      <c r="AA24" s="77">
        <v>10.7241</v>
      </c>
      <c r="AB24" s="77">
        <v>0</v>
      </c>
      <c r="AC24" s="77">
        <v>3.44E-2</v>
      </c>
      <c r="AD24" s="77">
        <v>0</v>
      </c>
      <c r="AE24" s="77">
        <v>0</v>
      </c>
      <c r="AF24" s="77">
        <v>0</v>
      </c>
      <c r="AG24" s="77">
        <v>0</v>
      </c>
      <c r="AH24" s="77">
        <v>4.8300000000000003E-2</v>
      </c>
      <c r="AI24" s="77">
        <v>0.1847</v>
      </c>
      <c r="AJ24" s="77">
        <v>5.9352999999999998</v>
      </c>
      <c r="AK24" s="77">
        <v>1.0979000000000001</v>
      </c>
      <c r="AL24" s="77">
        <v>0</v>
      </c>
      <c r="AM24" s="77">
        <v>18.0304</v>
      </c>
      <c r="AP24" s="77">
        <f t="shared" si="7"/>
        <v>1.78735</v>
      </c>
      <c r="AQ24" s="77">
        <f t="shared" si="8"/>
        <v>3.0783333333333333E-2</v>
      </c>
    </row>
    <row r="25" spans="1:43" x14ac:dyDescent="0.2">
      <c r="A25" s="77" t="s">
        <v>206</v>
      </c>
      <c r="B25" s="77">
        <v>0</v>
      </c>
      <c r="C25" s="77">
        <v>62.999000000000002</v>
      </c>
      <c r="D25" s="77">
        <v>0</v>
      </c>
      <c r="E25" s="77">
        <v>2.8000000000000001E-2</v>
      </c>
      <c r="F25" s="77">
        <v>0</v>
      </c>
      <c r="G25" s="77">
        <v>6.0000000000000001E-3</v>
      </c>
      <c r="H25" s="77">
        <v>0</v>
      </c>
      <c r="I25" s="77">
        <v>2.1000000000000001E-2</v>
      </c>
      <c r="J25" s="77">
        <v>0.105</v>
      </c>
      <c r="K25" s="77">
        <v>1.31</v>
      </c>
      <c r="L25" s="77">
        <v>30.73</v>
      </c>
      <c r="M25" s="77">
        <v>4.9420000000000002</v>
      </c>
      <c r="N25" s="77">
        <v>0</v>
      </c>
      <c r="O25" s="77">
        <v>100.14100000000001</v>
      </c>
      <c r="P25" s="77">
        <f t="shared" si="3"/>
        <v>0.87687382559677085</v>
      </c>
      <c r="Q25" s="77">
        <f t="shared" si="4"/>
        <v>0.12261506016623248</v>
      </c>
      <c r="R25" s="77">
        <f t="shared" si="5"/>
        <v>1.8723920253932021E-3</v>
      </c>
      <c r="S25" s="77">
        <f t="shared" si="0"/>
        <v>7.151436572375121</v>
      </c>
      <c r="U25" s="77">
        <f t="shared" si="6"/>
        <v>12.267776251721793</v>
      </c>
      <c r="V25" s="77">
        <f t="shared" si="1"/>
        <v>12.267776251721793</v>
      </c>
      <c r="W25" s="77">
        <f t="shared" si="2"/>
        <v>87.732223748278201</v>
      </c>
      <c r="Y25" s="77" t="s">
        <v>206</v>
      </c>
      <c r="Z25" s="77">
        <v>0</v>
      </c>
      <c r="AA25" s="77">
        <v>10.297000000000001</v>
      </c>
      <c r="AB25" s="77">
        <v>0</v>
      </c>
      <c r="AC25" s="77">
        <v>4.1999999999999997E-3</v>
      </c>
      <c r="AD25" s="77">
        <v>0</v>
      </c>
      <c r="AE25" s="77">
        <v>1.4E-3</v>
      </c>
      <c r="AF25" s="77">
        <v>0</v>
      </c>
      <c r="AG25" s="77">
        <v>5.1000000000000004E-3</v>
      </c>
      <c r="AH25" s="77">
        <v>2.1899999999999999E-2</v>
      </c>
      <c r="AI25" s="77">
        <v>0.21690000000000001</v>
      </c>
      <c r="AJ25" s="77">
        <v>6.0057</v>
      </c>
      <c r="AK25" s="77">
        <v>1.4398</v>
      </c>
      <c r="AL25" s="77">
        <v>0</v>
      </c>
      <c r="AM25" s="77">
        <v>17.992000000000001</v>
      </c>
      <c r="AP25" s="77">
        <f t="shared" si="7"/>
        <v>1.7161666666666668</v>
      </c>
      <c r="AQ25" s="77">
        <f t="shared" si="8"/>
        <v>3.6150000000000002E-2</v>
      </c>
    </row>
    <row r="26" spans="1:43" x14ac:dyDescent="0.2">
      <c r="A26" s="77" t="s">
        <v>172</v>
      </c>
      <c r="B26" s="77">
        <v>1E-3</v>
      </c>
      <c r="C26" s="77">
        <v>62.57</v>
      </c>
      <c r="D26" s="77">
        <v>1.4E-2</v>
      </c>
      <c r="E26" s="77">
        <v>6.7000000000000004E-2</v>
      </c>
      <c r="F26" s="77">
        <v>0</v>
      </c>
      <c r="G26" s="77">
        <v>1.4E-2</v>
      </c>
      <c r="H26" s="77">
        <v>0</v>
      </c>
      <c r="I26" s="77">
        <v>0.01</v>
      </c>
      <c r="J26" s="77">
        <v>0.19700000000000001</v>
      </c>
      <c r="K26" s="77">
        <v>1.2509999999999999</v>
      </c>
      <c r="L26" s="77">
        <v>30.396000000000001</v>
      </c>
      <c r="M26" s="77">
        <v>5.0460000000000003</v>
      </c>
      <c r="N26" s="77">
        <v>0</v>
      </c>
      <c r="O26" s="77">
        <v>99.566000000000003</v>
      </c>
      <c r="P26" s="77">
        <f t="shared" si="3"/>
        <v>0.87090263762265996</v>
      </c>
      <c r="Q26" s="77">
        <f t="shared" si="4"/>
        <v>0.12519538518794196</v>
      </c>
      <c r="R26" s="77">
        <f t="shared" si="5"/>
        <v>3.5129640857377224E-3</v>
      </c>
      <c r="S26" s="77">
        <f t="shared" si="0"/>
        <v>6.9563477624616139</v>
      </c>
      <c r="U26" s="77">
        <f t="shared" si="6"/>
        <v>12.568580834513574</v>
      </c>
      <c r="V26" s="77">
        <f t="shared" si="1"/>
        <v>12.568580834513574</v>
      </c>
      <c r="W26" s="77">
        <f t="shared" si="2"/>
        <v>87.431419165486417</v>
      </c>
      <c r="Y26" s="77" t="s">
        <v>172</v>
      </c>
      <c r="Z26" s="77">
        <v>2.0000000000000001E-4</v>
      </c>
      <c r="AA26" s="77">
        <v>10.289</v>
      </c>
      <c r="AB26" s="77">
        <v>2.0999999999999999E-3</v>
      </c>
      <c r="AC26" s="77">
        <v>9.9000000000000008E-3</v>
      </c>
      <c r="AD26" s="77">
        <v>0</v>
      </c>
      <c r="AE26" s="77">
        <v>3.3E-3</v>
      </c>
      <c r="AF26" s="77">
        <v>0</v>
      </c>
      <c r="AG26" s="77">
        <v>2.5000000000000001E-3</v>
      </c>
      <c r="AH26" s="77">
        <v>4.1399999999999999E-2</v>
      </c>
      <c r="AI26" s="77">
        <v>0.20830000000000001</v>
      </c>
      <c r="AJ26" s="77">
        <v>5.9763999999999999</v>
      </c>
      <c r="AK26" s="77">
        <v>1.4790000000000001</v>
      </c>
      <c r="AL26" s="77">
        <v>0</v>
      </c>
      <c r="AM26" s="77">
        <v>18.0121</v>
      </c>
      <c r="AP26" s="77">
        <f t="shared" si="7"/>
        <v>1.7148333333333332</v>
      </c>
      <c r="AQ26" s="77">
        <f t="shared" si="8"/>
        <v>3.4716666666666667E-2</v>
      </c>
    </row>
    <row r="27" spans="1:43" x14ac:dyDescent="0.2">
      <c r="A27" s="77" t="s">
        <v>126</v>
      </c>
      <c r="B27" s="77">
        <v>0</v>
      </c>
      <c r="C27" s="77">
        <v>65.48</v>
      </c>
      <c r="D27" s="77">
        <v>0</v>
      </c>
      <c r="E27" s="77">
        <v>0.23899999999999999</v>
      </c>
      <c r="F27" s="77">
        <v>0</v>
      </c>
      <c r="G27" s="77">
        <v>0</v>
      </c>
      <c r="H27" s="77">
        <v>8.2000000000000003E-2</v>
      </c>
      <c r="I27" s="77">
        <v>0</v>
      </c>
      <c r="J27" s="77">
        <v>0.113</v>
      </c>
      <c r="K27" s="77">
        <v>1.0589999999999999</v>
      </c>
      <c r="L27" s="77">
        <v>30.619</v>
      </c>
      <c r="M27" s="77">
        <v>3.508</v>
      </c>
      <c r="N27" s="77">
        <v>0</v>
      </c>
      <c r="O27" s="77">
        <v>101.10599999999999</v>
      </c>
      <c r="P27" s="77">
        <f t="shared" si="3"/>
        <v>0.9114065001043915</v>
      </c>
      <c r="Q27" s="77">
        <f t="shared" si="4"/>
        <v>8.703634784766158E-2</v>
      </c>
      <c r="R27" s="77">
        <f t="shared" si="5"/>
        <v>2.0150504654231605E-3</v>
      </c>
      <c r="S27" s="77">
        <f t="shared" si="0"/>
        <v>10.471561854819697</v>
      </c>
      <c r="U27" s="77">
        <f t="shared" si="6"/>
        <v>8.7172088043081679</v>
      </c>
      <c r="V27" s="77">
        <f t="shared" si="1"/>
        <v>8.7172088043081679</v>
      </c>
      <c r="W27" s="77">
        <f t="shared" si="2"/>
        <v>91.282791195691843</v>
      </c>
      <c r="Y27" s="77" t="s">
        <v>126</v>
      </c>
      <c r="Z27" s="77">
        <v>0</v>
      </c>
      <c r="AA27" s="77">
        <v>10.7036</v>
      </c>
      <c r="AB27" s="77">
        <v>8.9999999999999998E-4</v>
      </c>
      <c r="AC27" s="77">
        <v>3.5200000000000002E-2</v>
      </c>
      <c r="AD27" s="77">
        <v>0</v>
      </c>
      <c r="AE27" s="77">
        <v>0</v>
      </c>
      <c r="AF27" s="77">
        <v>1.3599999999999999E-2</v>
      </c>
      <c r="AG27" s="77">
        <v>0</v>
      </c>
      <c r="AH27" s="77">
        <v>2.3699999999999999E-2</v>
      </c>
      <c r="AI27" s="77">
        <v>0.1754</v>
      </c>
      <c r="AJ27" s="77">
        <v>5.9847000000000001</v>
      </c>
      <c r="AK27" s="77">
        <v>1.0221</v>
      </c>
      <c r="AL27" s="77">
        <v>0</v>
      </c>
      <c r="AM27" s="77">
        <v>17.959199999999999</v>
      </c>
      <c r="AP27" s="77">
        <f t="shared" si="7"/>
        <v>1.7839333333333334</v>
      </c>
      <c r="AQ27" s="77">
        <f t="shared" si="8"/>
        <v>2.9233333333333333E-2</v>
      </c>
    </row>
    <row r="28" spans="1:43" x14ac:dyDescent="0.2">
      <c r="A28" s="77" t="s">
        <v>28</v>
      </c>
      <c r="B28" s="77">
        <v>0</v>
      </c>
      <c r="C28" s="77">
        <v>65.491</v>
      </c>
      <c r="D28" s="77">
        <v>3.5999999999999997E-2</v>
      </c>
      <c r="E28" s="77">
        <v>0.84099999999999997</v>
      </c>
      <c r="F28" s="77">
        <v>1.2E-2</v>
      </c>
      <c r="G28" s="77">
        <v>1.7000000000000001E-2</v>
      </c>
      <c r="H28" s="77">
        <v>0</v>
      </c>
      <c r="I28" s="77">
        <v>1.7999999999999999E-2</v>
      </c>
      <c r="J28" s="77">
        <v>1.4999999999999999E-2</v>
      </c>
      <c r="K28" s="77">
        <v>1.135</v>
      </c>
      <c r="L28" s="77">
        <v>30.204999999999998</v>
      </c>
      <c r="M28" s="77">
        <v>3.5630000000000002</v>
      </c>
      <c r="N28" s="77">
        <v>7.2999999999999995E-2</v>
      </c>
      <c r="O28" s="77">
        <v>101.40600000000001</v>
      </c>
      <c r="P28" s="77">
        <f t="shared" si="3"/>
        <v>0.91155960748834297</v>
      </c>
      <c r="Q28" s="77">
        <f t="shared" si="4"/>
        <v>8.8400942811065628E-2</v>
      </c>
      <c r="R28" s="77">
        <f t="shared" si="5"/>
        <v>2.6748457505617175E-4</v>
      </c>
      <c r="S28" s="77">
        <f t="shared" si="0"/>
        <v>10.311650289031059</v>
      </c>
      <c r="U28" s="77">
        <f t="shared" si="6"/>
        <v>8.8404430339373476</v>
      </c>
      <c r="V28" s="77">
        <f t="shared" si="1"/>
        <v>8.8404430339373476</v>
      </c>
      <c r="W28" s="77">
        <f t="shared" si="2"/>
        <v>91.159556966062667</v>
      </c>
      <c r="Y28" s="77" t="s">
        <v>28</v>
      </c>
      <c r="Z28" s="77">
        <v>0</v>
      </c>
      <c r="AA28" s="77">
        <v>10.6968</v>
      </c>
      <c r="AB28" s="77">
        <v>5.5999999999999999E-3</v>
      </c>
      <c r="AC28" s="77">
        <v>0.1235</v>
      </c>
      <c r="AD28" s="77">
        <v>4.4999999999999997E-3</v>
      </c>
      <c r="AE28" s="77">
        <v>4.0000000000000001E-3</v>
      </c>
      <c r="AF28" s="77">
        <v>0</v>
      </c>
      <c r="AG28" s="77">
        <v>4.4999999999999997E-3</v>
      </c>
      <c r="AH28" s="77">
        <v>3.0999999999999999E-3</v>
      </c>
      <c r="AI28" s="77">
        <v>0.18779999999999999</v>
      </c>
      <c r="AJ28" s="77">
        <v>5.8989000000000003</v>
      </c>
      <c r="AK28" s="77">
        <v>1.0373000000000001</v>
      </c>
      <c r="AL28" s="77">
        <v>1.14E-2</v>
      </c>
      <c r="AM28" s="77">
        <v>17.977399999999999</v>
      </c>
      <c r="AP28" s="77">
        <f t="shared" si="7"/>
        <v>1.7827999999999999</v>
      </c>
      <c r="AQ28" s="77">
        <f t="shared" si="8"/>
        <v>3.1300000000000001E-2</v>
      </c>
    </row>
    <row r="29" spans="1:43" x14ac:dyDescent="0.2">
      <c r="A29" s="77" t="s">
        <v>207</v>
      </c>
      <c r="B29" s="77">
        <v>0.01</v>
      </c>
      <c r="C29" s="77">
        <v>64.790999999999997</v>
      </c>
      <c r="D29" s="77">
        <v>0</v>
      </c>
      <c r="E29" s="77">
        <v>0.44700000000000001</v>
      </c>
      <c r="F29" s="77">
        <v>5.0000000000000001E-3</v>
      </c>
      <c r="G29" s="77">
        <v>1.7000000000000001E-2</v>
      </c>
      <c r="H29" s="77">
        <v>0</v>
      </c>
      <c r="I29" s="77">
        <v>0.03</v>
      </c>
      <c r="J29" s="77">
        <v>0.03</v>
      </c>
      <c r="K29" s="77">
        <v>1.087</v>
      </c>
      <c r="L29" s="77">
        <v>29.954999999999998</v>
      </c>
      <c r="M29" s="77">
        <v>3.4689999999999999</v>
      </c>
      <c r="N29" s="77">
        <v>0.14599999999999999</v>
      </c>
      <c r="O29" s="77">
        <v>99.986999999999995</v>
      </c>
      <c r="P29" s="77">
        <f t="shared" si="3"/>
        <v>0.90181641032778892</v>
      </c>
      <c r="Q29" s="77">
        <f t="shared" si="4"/>
        <v>8.6068725964520532E-2</v>
      </c>
      <c r="R29" s="77">
        <f t="shared" si="5"/>
        <v>5.349691501123435E-4</v>
      </c>
      <c r="S29" s="77">
        <f t="shared" si="0"/>
        <v>10.477864058305428</v>
      </c>
      <c r="U29" s="77">
        <f t="shared" si="6"/>
        <v>8.7124224064702709</v>
      </c>
      <c r="V29" s="77">
        <f t="shared" si="1"/>
        <v>8.7124224064702709</v>
      </c>
      <c r="W29" s="77">
        <f t="shared" si="2"/>
        <v>91.287577593529733</v>
      </c>
      <c r="Y29" s="77" t="s">
        <v>207</v>
      </c>
      <c r="Z29" s="77">
        <v>1.6999999999999999E-3</v>
      </c>
      <c r="AA29" s="77">
        <v>10.7415</v>
      </c>
      <c r="AB29" s="77">
        <v>0</v>
      </c>
      <c r="AC29" s="77">
        <v>6.6600000000000006E-2</v>
      </c>
      <c r="AD29" s="77">
        <v>2E-3</v>
      </c>
      <c r="AE29" s="77">
        <v>3.8999999999999998E-3</v>
      </c>
      <c r="AF29" s="77">
        <v>0</v>
      </c>
      <c r="AG29" s="77">
        <v>7.6E-3</v>
      </c>
      <c r="AH29" s="77">
        <v>6.3E-3</v>
      </c>
      <c r="AI29" s="77">
        <v>0.1825</v>
      </c>
      <c r="AJ29" s="77">
        <v>5.9379999999999997</v>
      </c>
      <c r="AK29" s="77">
        <v>1.0251999999999999</v>
      </c>
      <c r="AL29" s="77">
        <v>2.3099999999999999E-2</v>
      </c>
      <c r="AM29" s="77">
        <v>17.9984</v>
      </c>
      <c r="AP29" s="77">
        <f t="shared" si="7"/>
        <v>1.7902500000000001</v>
      </c>
      <c r="AQ29" s="77">
        <f t="shared" si="8"/>
        <v>3.0416666666666665E-2</v>
      </c>
    </row>
    <row r="30" spans="1:43" x14ac:dyDescent="0.2">
      <c r="A30" s="77" t="s">
        <v>182</v>
      </c>
      <c r="B30" s="77">
        <v>1.4999999999999999E-2</v>
      </c>
      <c r="C30" s="77">
        <v>66.028999999999996</v>
      </c>
      <c r="D30" s="77">
        <v>3.9E-2</v>
      </c>
      <c r="E30" s="77">
        <v>4.2000000000000003E-2</v>
      </c>
      <c r="F30" s="77">
        <v>0</v>
      </c>
      <c r="G30" s="77">
        <v>0.01</v>
      </c>
      <c r="H30" s="77">
        <v>0</v>
      </c>
      <c r="I30" s="77">
        <v>7.0000000000000001E-3</v>
      </c>
      <c r="J30" s="77">
        <v>0.22700000000000001</v>
      </c>
      <c r="K30" s="77">
        <v>1.117</v>
      </c>
      <c r="L30" s="77">
        <v>29.808</v>
      </c>
      <c r="M30" s="77">
        <v>2.7559999999999998</v>
      </c>
      <c r="N30" s="77">
        <v>0.65600000000000003</v>
      </c>
      <c r="O30" s="77">
        <v>100.706</v>
      </c>
      <c r="P30" s="77">
        <f t="shared" si="3"/>
        <v>0.91904795044888299</v>
      </c>
      <c r="Q30" s="77">
        <f t="shared" si="4"/>
        <v>6.8378613075300826E-2</v>
      </c>
      <c r="R30" s="77">
        <f t="shared" si="5"/>
        <v>4.0479332358500661E-3</v>
      </c>
      <c r="S30" s="77">
        <f t="shared" si="0"/>
        <v>13.440576067794714</v>
      </c>
      <c r="U30" s="77">
        <f t="shared" si="6"/>
        <v>6.9249314937663327</v>
      </c>
      <c r="V30" s="77">
        <f t="shared" si="1"/>
        <v>6.9249314937663327</v>
      </c>
      <c r="W30" s="77">
        <f t="shared" si="2"/>
        <v>93.075068506233677</v>
      </c>
      <c r="Y30" s="77" t="s">
        <v>182</v>
      </c>
      <c r="Z30" s="77">
        <v>2.3999999999999998E-3</v>
      </c>
      <c r="AA30" s="77">
        <v>10.970599999999999</v>
      </c>
      <c r="AB30" s="77">
        <v>6.1000000000000004E-3</v>
      </c>
      <c r="AC30" s="77">
        <v>6.3E-3</v>
      </c>
      <c r="AD30" s="77">
        <v>0</v>
      </c>
      <c r="AE30" s="77">
        <v>2.3999999999999998E-3</v>
      </c>
      <c r="AF30" s="77">
        <v>0</v>
      </c>
      <c r="AG30" s="77">
        <v>1.8E-3</v>
      </c>
      <c r="AH30" s="77">
        <v>4.8300000000000003E-2</v>
      </c>
      <c r="AI30" s="77">
        <v>0.188</v>
      </c>
      <c r="AJ30" s="77">
        <v>5.9218999999999999</v>
      </c>
      <c r="AK30" s="77">
        <v>0.81610000000000005</v>
      </c>
      <c r="AL30" s="77">
        <v>0.1045</v>
      </c>
      <c r="AM30" s="77">
        <v>18.0684</v>
      </c>
      <c r="AP30" s="77">
        <f t="shared" si="7"/>
        <v>1.8284333333333331</v>
      </c>
      <c r="AQ30" s="77">
        <f t="shared" si="8"/>
        <v>3.1333333333333331E-2</v>
      </c>
    </row>
    <row r="31" spans="1:43" x14ac:dyDescent="0.2">
      <c r="A31" s="77" t="s">
        <v>132</v>
      </c>
      <c r="B31" s="77">
        <v>6.0000000000000001E-3</v>
      </c>
      <c r="C31" s="77">
        <v>63.54</v>
      </c>
      <c r="D31" s="77">
        <v>0</v>
      </c>
      <c r="E31" s="77">
        <v>8.1000000000000003E-2</v>
      </c>
      <c r="F31" s="77">
        <v>0</v>
      </c>
      <c r="G31" s="77">
        <v>0.02</v>
      </c>
      <c r="H31" s="77">
        <v>0</v>
      </c>
      <c r="I31" s="77">
        <v>1.4E-2</v>
      </c>
      <c r="J31" s="77">
        <v>0.09</v>
      </c>
      <c r="K31" s="77">
        <v>1.367</v>
      </c>
      <c r="L31" s="77">
        <v>29.896999999999998</v>
      </c>
      <c r="M31" s="77">
        <v>3.7029999999999998</v>
      </c>
      <c r="N31" s="77">
        <v>0.39800000000000002</v>
      </c>
      <c r="O31" s="77">
        <v>99.125</v>
      </c>
      <c r="P31" s="77">
        <f t="shared" si="3"/>
        <v>0.8844039251165704</v>
      </c>
      <c r="Q31" s="77">
        <f t="shared" si="4"/>
        <v>9.1874457263366821E-2</v>
      </c>
      <c r="R31" s="77">
        <f t="shared" si="5"/>
        <v>1.6049074503370305E-3</v>
      </c>
      <c r="S31" s="77">
        <f t="shared" si="0"/>
        <v>9.6262220366792803</v>
      </c>
      <c r="U31" s="77">
        <f t="shared" si="6"/>
        <v>9.4106823342127566</v>
      </c>
      <c r="V31" s="77">
        <f t="shared" si="1"/>
        <v>9.4106823342127566</v>
      </c>
      <c r="W31" s="77">
        <f t="shared" si="2"/>
        <v>90.589317665787235</v>
      </c>
      <c r="Y31" s="77" t="s">
        <v>132</v>
      </c>
      <c r="Z31" s="77">
        <v>8.9999999999999998E-4</v>
      </c>
      <c r="AA31" s="77">
        <v>10.609500000000001</v>
      </c>
      <c r="AB31" s="77">
        <v>1.4E-3</v>
      </c>
      <c r="AC31" s="77">
        <v>1.2200000000000001E-2</v>
      </c>
      <c r="AD31" s="77">
        <v>0</v>
      </c>
      <c r="AE31" s="77">
        <v>4.7999999999999996E-3</v>
      </c>
      <c r="AF31" s="77">
        <v>0</v>
      </c>
      <c r="AG31" s="77">
        <v>3.5000000000000001E-3</v>
      </c>
      <c r="AH31" s="77">
        <v>1.9300000000000001E-2</v>
      </c>
      <c r="AI31" s="77">
        <v>0.2311</v>
      </c>
      <c r="AJ31" s="77">
        <v>5.9688999999999997</v>
      </c>
      <c r="AK31" s="77">
        <v>1.1021000000000001</v>
      </c>
      <c r="AL31" s="77">
        <v>6.3799999999999996E-2</v>
      </c>
      <c r="AM31" s="77">
        <v>18.017499999999998</v>
      </c>
      <c r="AP31" s="77">
        <f t="shared" si="7"/>
        <v>1.7682500000000001</v>
      </c>
      <c r="AQ31" s="77">
        <f t="shared" si="8"/>
        <v>3.8516666666666664E-2</v>
      </c>
    </row>
    <row r="32" spans="1:43" ht="15.75" customHeight="1" x14ac:dyDescent="0.2">
      <c r="A32" s="77" t="s">
        <v>469</v>
      </c>
      <c r="B32" s="77">
        <v>0</v>
      </c>
      <c r="C32" s="77">
        <v>63.988999999999997</v>
      </c>
      <c r="D32" s="77">
        <v>5.6000000000000001E-2</v>
      </c>
      <c r="E32" s="77">
        <v>0.32600000000000001</v>
      </c>
      <c r="F32" s="77">
        <v>4.1000000000000002E-2</v>
      </c>
      <c r="G32" s="77">
        <v>0.02</v>
      </c>
      <c r="H32" s="77">
        <v>0</v>
      </c>
      <c r="I32" s="77">
        <v>1.0999999999999999E-2</v>
      </c>
      <c r="J32" s="77">
        <v>0.29199999999999998</v>
      </c>
      <c r="K32" s="77">
        <v>1.1120000000000001</v>
      </c>
      <c r="L32" s="77">
        <v>30.393000000000001</v>
      </c>
      <c r="M32" s="77">
        <v>4.5519999999999996</v>
      </c>
      <c r="N32" s="77">
        <v>0</v>
      </c>
      <c r="O32" s="77">
        <v>100.792</v>
      </c>
      <c r="P32" s="77">
        <f t="shared" si="3"/>
        <v>0.89065349015241146</v>
      </c>
      <c r="Q32" s="77">
        <f t="shared" si="4"/>
        <v>0.11293884133482197</v>
      </c>
      <c r="R32" s="77">
        <f t="shared" si="5"/>
        <v>5.2070330610934764E-3</v>
      </c>
      <c r="S32" s="77">
        <f t="shared" si="0"/>
        <v>7.8861574957365876</v>
      </c>
      <c r="U32" s="77">
        <f t="shared" si="6"/>
        <v>11.253457982033082</v>
      </c>
      <c r="V32" s="77">
        <f t="shared" si="1"/>
        <v>11.253457982033082</v>
      </c>
      <c r="W32" s="77">
        <f t="shared" si="2"/>
        <v>88.746542017966917</v>
      </c>
      <c r="Y32" s="77" t="s">
        <v>469</v>
      </c>
      <c r="Z32" s="77">
        <v>0</v>
      </c>
      <c r="AA32" s="77">
        <v>10.4438</v>
      </c>
      <c r="AB32" s="77">
        <v>8.6E-3</v>
      </c>
      <c r="AC32" s="77">
        <v>4.7800000000000002E-2</v>
      </c>
      <c r="AD32" s="77">
        <v>1.55E-2</v>
      </c>
      <c r="AE32" s="77">
        <v>4.4999999999999997E-3</v>
      </c>
      <c r="AF32" s="77">
        <v>0</v>
      </c>
      <c r="AG32" s="77">
        <v>2.7000000000000001E-3</v>
      </c>
      <c r="AH32" s="77">
        <v>6.0999999999999999E-2</v>
      </c>
      <c r="AI32" s="77">
        <v>0.18390000000000001</v>
      </c>
      <c r="AJ32" s="77">
        <v>5.9313000000000002</v>
      </c>
      <c r="AK32" s="77">
        <v>1.3242</v>
      </c>
      <c r="AL32" s="77">
        <v>0</v>
      </c>
      <c r="AM32" s="77">
        <v>18.023299999999999</v>
      </c>
      <c r="AP32" s="77">
        <f t="shared" si="7"/>
        <v>1.7406333333333333</v>
      </c>
      <c r="AQ32" s="77">
        <f t="shared" si="8"/>
        <v>3.065E-2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pyx point</vt:lpstr>
      <vt:lpstr>pyx line epma</vt:lpstr>
      <vt:lpstr>msk</vt:lpstr>
      <vt:lpstr>phosphates</vt:lpstr>
      <vt:lpstr>Fe-Ti Ox and fO2</vt:lpstr>
      <vt:lpstr>sulfide</vt:lpstr>
      <vt:lpstr>fayalite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Xinru Zhang</cp:lastModifiedBy>
  <dcterms:created xsi:type="dcterms:W3CDTF">2015-06-05T18:19:34Z</dcterms:created>
  <dcterms:modified xsi:type="dcterms:W3CDTF">2025-11-06T06:07:03Z</dcterms:modified>
</cp:coreProperties>
</file>