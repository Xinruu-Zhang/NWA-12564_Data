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24D3D4E7-BC28-40D1-9EFB-662CFA4606AD}" xr6:coauthVersionLast="47" xr6:coauthVersionMax="47" xr10:uidLastSave="{00000000-0000-0000-0000-000000000000}"/>
  <bookViews>
    <workbookView xWindow="-108" yWindow="12852" windowWidth="23256" windowHeight="12456" xr2:uid="{FF49B81A-127A-B44C-A44B-FF0F3EF8FCF9}"/>
  </bookViews>
  <sheets>
    <sheet name="Data" sheetId="1" r:id="rId1"/>
    <sheet name="Ph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</calcChain>
</file>

<file path=xl/sharedStrings.xml><?xml version="1.0" encoding="utf-8"?>
<sst xmlns="http://schemas.openxmlformats.org/spreadsheetml/2006/main" count="456" uniqueCount="64">
  <si>
    <t>System properties (no fractionated)</t>
  </si>
  <si>
    <t>Masses</t>
  </si>
  <si>
    <t>Liquid composition wt%</t>
  </si>
  <si>
    <t>Solids in eq with liquid</t>
  </si>
  <si>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</si>
  <si>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</si>
  <si>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</si>
  <si>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</si>
  <si>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</si>
  <si>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</si>
  <si>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</si>
  <si>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</si>
  <si>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</si>
  <si>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</si>
  <si>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</si>
  <si>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</si>
  <si>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</si>
  <si>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</si>
  <si>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</si>
  <si>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</si>
  <si>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</si>
  <si>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</si>
  <si>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</si>
  <si>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</si>
  <si>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</si>
  <si>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</si>
  <si>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</si>
  <si>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</si>
  <si>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</si>
  <si>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</si>
  <si>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</si>
  <si>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</si>
  <si>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</si>
  <si>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</si>
  <si>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</si>
  <si>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</si>
  <si>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</si>
  <si>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</si>
  <si>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</si>
  <si>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</si>
  <si>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</si>
  <si>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orthopyroxene</t>
  </si>
  <si>
    <t>clinopyroxene</t>
  </si>
  <si>
    <t>Isothermal</t>
  </si>
  <si>
    <t>Vsol&gt;Vliq</t>
  </si>
  <si>
    <t>Solid and fluid phases in equilibrium with the melt (and to be fractionated before next equilibration step if fractionation is active)</t>
  </si>
  <si>
    <t>Step</t>
  </si>
  <si>
    <t>Label</t>
  </si>
  <si>
    <t>Formula</t>
  </si>
  <si>
    <t>Mass</t>
  </si>
  <si>
    <t>(Ca0.00Mg0.74Fe''0.25Mn0.01Co0.00Ni0.00)2SiO4</t>
  </si>
  <si>
    <t>opx Na0.01Ca0.07Fe''0.38Mg1.44Fe'''0.00Ti0.01Al0.19Si1.91O6</t>
  </si>
  <si>
    <t>cpx Na0.05Ca0.21Fe''0.39Mg1.19Fe'''0.01Ti0.01Al0.26Si1.88O6</t>
  </si>
  <si>
    <t>cpx Na0.05Ca0.21Fe''0.39Mg1.20Fe'''0.01Ti0.01Al0.26Si1.88O6</t>
  </si>
  <si>
    <t>opx Na0.01Ca0.07Fe''0.37Mg1.44Fe'''0.00Ti0.01Al0.19Si1.91O6</t>
  </si>
  <si>
    <t>opx Na0.01Ca0.07Fe''0.37Mg1.44Fe'''0.00Ti0.00Al0.19Si1.91O6</t>
  </si>
  <si>
    <t>cpx Na0.04Ca0.21Fe''0.39Mg1.20Fe'''0.01Ti0.01Al0.26Si1.88O6</t>
  </si>
  <si>
    <t>cpx Na0.04Ca0.21Fe''0.39Mg1.20Fe'''0.01Ti0.01Al0.25Si1.88O6</t>
  </si>
  <si>
    <t>cpx Na0.04Ca0.21Fe''0.39Mg1.21Fe'''0.01Ti0.01Al0.25Si1.88O6</t>
  </si>
  <si>
    <t>cpx Na0.04Ca0.20Fe''0.39Mg1.21Fe'''0.01Ti0.01Al0.25Si1.88O6</t>
  </si>
  <si>
    <t>opx Na0.01Ca0.07Fe''0.37Mg1.44Fe'''0.00Ti0.00Al0.18Si1.91O6</t>
  </si>
  <si>
    <t>cpx Na0.04Ca0.20Fe''0.39Mg1.21Fe'''0.01Ti0.01Al0.25Si1.89O6</t>
  </si>
  <si>
    <t>cpx Na0.04Ca0.20Fe''0.39Mg1.22Fe'''0.01Ti0.01Al0.25Si1.89O6</t>
  </si>
  <si>
    <t>opx Na0.01Ca0.07Fe''0.37Mg1.45Fe'''0.00Ti0.00Al0.18Si1.91O6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</si>
</sst>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N53"/>
  <sheetViews>
    <sheetView tabSelected="1" topLeftCell="O7" zoomScaleNormal="100" workbookViewId="0">
      <selection activeCell="N24" sqref="A24:XFD24"/>
    </sheetView>
  </sheetViews>
  <sheetFormatPr defaultColWidth="11" defaultRowHeight="15.75" x14ac:dyDescent="0.25"/>
  <cols>
    <col min="14" max="14" width="11" style="2"/>
  </cols>
  <sheetData>
    <row r="1" spans="1:40" x14ac:dyDescent="0.25">
      <c r="B1" t="s">
        <v>0</v>
      </c>
      <c r="M1" t="s">
        <v>1</v>
      </c>
      <c r="R1" t="s">
        <v>2</v>
      </c>
      <c r="AK1" t="s">
        <v>3</v>
      </c>
    </row>
    <row r="2" spans="1:4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s="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</row>
    <row r="3" spans="1:40" x14ac:dyDescent="0.25">
      <c r="A3">
        <v>0</v>
      </c>
      <c r="B3" t="s">
        <v>43</v>
      </c>
      <c r="C3">
        <v>1286</v>
      </c>
      <c r="D3">
        <v>15000</v>
      </c>
      <c r="E3">
        <v>-10.328227999999999</v>
      </c>
      <c r="F3">
        <v>-1522626.9284339999</v>
      </c>
      <c r="G3">
        <v>-1138542.312807</v>
      </c>
      <c r="H3">
        <v>246.34231199999999</v>
      </c>
      <c r="I3">
        <v>122.172906</v>
      </c>
      <c r="J3">
        <v>29.906130000000001</v>
      </c>
      <c r="K3">
        <v>3.3441679999999998</v>
      </c>
      <c r="L3" t="s">
        <v>44</v>
      </c>
      <c r="M3">
        <v>100.01113700000001</v>
      </c>
      <c r="N3" s="2">
        <v>0.32373499999999999</v>
      </c>
      <c r="O3">
        <v>99.687402000000006</v>
      </c>
      <c r="P3">
        <v>0</v>
      </c>
      <c r="Q3">
        <v>0</v>
      </c>
      <c r="R3">
        <v>36.765239999999999</v>
      </c>
      <c r="S3">
        <v>0.89219300000000001</v>
      </c>
      <c r="T3">
        <v>14.014119000000001</v>
      </c>
      <c r="U3">
        <v>0.51684399999999997</v>
      </c>
      <c r="V3">
        <v>0</v>
      </c>
      <c r="W3">
        <v>15.647194000000001</v>
      </c>
      <c r="X3">
        <v>7.8657000000000005E-2</v>
      </c>
      <c r="Y3">
        <v>8.7277039999999992</v>
      </c>
      <c r="Z3">
        <v>0</v>
      </c>
      <c r="AA3">
        <v>0</v>
      </c>
      <c r="AB3">
        <v>9.6727989999999995</v>
      </c>
      <c r="AC3">
        <v>7.460045</v>
      </c>
      <c r="AD3">
        <v>0</v>
      </c>
      <c r="AE3">
        <v>6.225206</v>
      </c>
      <c r="AF3">
        <v>0</v>
      </c>
      <c r="AG3">
        <v>0</v>
      </c>
      <c r="AH3">
        <v>0</v>
      </c>
      <c r="AI3">
        <v>0</v>
      </c>
      <c r="AJ3">
        <v>0</v>
      </c>
      <c r="AK3">
        <v>53.023654999999998</v>
      </c>
      <c r="AL3">
        <v>12.269731999999999</v>
      </c>
      <c r="AM3">
        <v>34.394016000000001</v>
      </c>
      <c r="AN3">
        <f>(Y3/40.31)/((Y3/40.31)+((W3+U3*0.9)/71.85))</f>
        <v>0.49122517287067008</v>
      </c>
    </row>
    <row r="4" spans="1:40" x14ac:dyDescent="0.25">
      <c r="A4">
        <v>1</v>
      </c>
      <c r="B4" t="s">
        <v>43</v>
      </c>
      <c r="C4">
        <v>1286.5</v>
      </c>
      <c r="D4">
        <v>15000</v>
      </c>
      <c r="E4">
        <v>-10.323541000000001</v>
      </c>
      <c r="F4">
        <v>-1522750.2272429999</v>
      </c>
      <c r="G4">
        <v>-1138476.074823</v>
      </c>
      <c r="H4">
        <v>246.38486399999999</v>
      </c>
      <c r="I4">
        <v>122.17934099999999</v>
      </c>
      <c r="J4">
        <v>29.907351999999999</v>
      </c>
      <c r="K4">
        <v>3.3440319999999999</v>
      </c>
      <c r="L4" t="s">
        <v>44</v>
      </c>
      <c r="M4">
        <v>100.01114200000001</v>
      </c>
      <c r="N4" s="2">
        <v>0.33018799999999998</v>
      </c>
      <c r="O4">
        <v>99.680954</v>
      </c>
      <c r="P4">
        <v>0</v>
      </c>
      <c r="Q4">
        <v>0</v>
      </c>
      <c r="R4">
        <v>36.909261000000001</v>
      </c>
      <c r="S4">
        <v>0.896617</v>
      </c>
      <c r="T4">
        <v>14.036541</v>
      </c>
      <c r="U4">
        <v>0.51537500000000003</v>
      </c>
      <c r="V4">
        <v>0</v>
      </c>
      <c r="W4">
        <v>15.700424</v>
      </c>
      <c r="X4">
        <v>7.8534000000000007E-2</v>
      </c>
      <c r="Y4">
        <v>8.7472770000000004</v>
      </c>
      <c r="Z4">
        <v>0</v>
      </c>
      <c r="AA4">
        <v>0</v>
      </c>
      <c r="AB4">
        <v>9.5602820000000008</v>
      </c>
      <c r="AC4">
        <v>7.4521490000000004</v>
      </c>
      <c r="AD4">
        <v>0</v>
      </c>
      <c r="AE4">
        <v>6.1035399999999997</v>
      </c>
      <c r="AF4">
        <v>0</v>
      </c>
      <c r="AG4">
        <v>0</v>
      </c>
      <c r="AH4">
        <v>0</v>
      </c>
      <c r="AI4">
        <v>0</v>
      </c>
      <c r="AJ4">
        <v>0</v>
      </c>
      <c r="AK4">
        <v>53.020294</v>
      </c>
      <c r="AL4">
        <v>12.199097999999999</v>
      </c>
      <c r="AM4">
        <v>34.461562999999998</v>
      </c>
      <c r="AN4">
        <f t="shared" ref="AN4:AN53" si="0">(Y4/40.31)/((Y4/40.31)+((W4+U4*0.9)/71.85))</f>
        <v>0.4909811688853154</v>
      </c>
    </row>
    <row r="5" spans="1:40" x14ac:dyDescent="0.25">
      <c r="A5">
        <v>2</v>
      </c>
      <c r="B5" t="s">
        <v>43</v>
      </c>
      <c r="C5">
        <v>1287</v>
      </c>
      <c r="D5">
        <v>15000</v>
      </c>
      <c r="E5">
        <v>-10.318858000000001</v>
      </c>
      <c r="F5">
        <v>-1522873.5461530001</v>
      </c>
      <c r="G5">
        <v>-1138409.763513</v>
      </c>
      <c r="H5">
        <v>246.427448</v>
      </c>
      <c r="I5">
        <v>122.185827</v>
      </c>
      <c r="J5">
        <v>29.908580000000001</v>
      </c>
      <c r="K5">
        <v>3.3438949999999998</v>
      </c>
      <c r="L5" t="s">
        <v>44</v>
      </c>
      <c r="M5">
        <v>100.01114800000001</v>
      </c>
      <c r="N5" s="2">
        <v>0.33681699999999998</v>
      </c>
      <c r="O5">
        <v>99.674330999999995</v>
      </c>
      <c r="P5">
        <v>0</v>
      </c>
      <c r="Q5">
        <v>0</v>
      </c>
      <c r="R5">
        <v>37.051291999999997</v>
      </c>
      <c r="S5">
        <v>0.90098800000000001</v>
      </c>
      <c r="T5">
        <v>14.058407000000001</v>
      </c>
      <c r="U5">
        <v>0.51392599999999999</v>
      </c>
      <c r="V5">
        <v>0</v>
      </c>
      <c r="W5">
        <v>15.753314</v>
      </c>
      <c r="X5">
        <v>7.8411999999999996E-2</v>
      </c>
      <c r="Y5">
        <v>8.7668280000000003</v>
      </c>
      <c r="Z5">
        <v>0</v>
      </c>
      <c r="AA5">
        <v>0</v>
      </c>
      <c r="AB5">
        <v>9.4496479999999998</v>
      </c>
      <c r="AC5">
        <v>7.4437720000000001</v>
      </c>
      <c r="AD5">
        <v>0</v>
      </c>
      <c r="AE5">
        <v>5.9834129999999996</v>
      </c>
      <c r="AF5">
        <v>0</v>
      </c>
      <c r="AG5">
        <v>0</v>
      </c>
      <c r="AH5">
        <v>0</v>
      </c>
      <c r="AI5">
        <v>0</v>
      </c>
      <c r="AJ5">
        <v>0</v>
      </c>
      <c r="AK5">
        <v>53.016865000000003</v>
      </c>
      <c r="AL5">
        <v>12.129045</v>
      </c>
      <c r="AM5">
        <v>34.528419</v>
      </c>
      <c r="AN5">
        <f t="shared" si="0"/>
        <v>0.49074283047846007</v>
      </c>
    </row>
    <row r="6" spans="1:40" x14ac:dyDescent="0.25">
      <c r="A6">
        <v>3</v>
      </c>
      <c r="B6" t="s">
        <v>43</v>
      </c>
      <c r="C6">
        <v>1287.5</v>
      </c>
      <c r="D6">
        <v>15000</v>
      </c>
      <c r="E6">
        <v>-10.314178</v>
      </c>
      <c r="F6">
        <v>-1522996.885157</v>
      </c>
      <c r="G6">
        <v>-1138343.3771569999</v>
      </c>
      <c r="H6">
        <v>246.470066</v>
      </c>
      <c r="I6">
        <v>122.19236600000001</v>
      </c>
      <c r="J6">
        <v>29.909815999999999</v>
      </c>
      <c r="K6">
        <v>3.3437570000000001</v>
      </c>
      <c r="L6" t="s">
        <v>44</v>
      </c>
      <c r="M6">
        <v>100.01115299999999</v>
      </c>
      <c r="N6" s="2">
        <v>0.34362599999999999</v>
      </c>
      <c r="O6">
        <v>99.667527000000007</v>
      </c>
      <c r="P6">
        <v>0</v>
      </c>
      <c r="Q6">
        <v>0</v>
      </c>
      <c r="R6">
        <v>37.191296000000001</v>
      </c>
      <c r="S6">
        <v>0.90530699999999997</v>
      </c>
      <c r="T6">
        <v>14.079708999999999</v>
      </c>
      <c r="U6">
        <v>0.51249599999999995</v>
      </c>
      <c r="V6">
        <v>0</v>
      </c>
      <c r="W6">
        <v>15.805869</v>
      </c>
      <c r="X6">
        <v>7.8290999999999999E-2</v>
      </c>
      <c r="Y6">
        <v>8.7863620000000004</v>
      </c>
      <c r="Z6">
        <v>0</v>
      </c>
      <c r="AA6">
        <v>0</v>
      </c>
      <c r="AB6">
        <v>9.3409119999999994</v>
      </c>
      <c r="AC6">
        <v>7.4349119999999997</v>
      </c>
      <c r="AD6">
        <v>0</v>
      </c>
      <c r="AE6">
        <v>5.8648470000000001</v>
      </c>
      <c r="AF6">
        <v>0</v>
      </c>
      <c r="AG6">
        <v>0</v>
      </c>
      <c r="AH6">
        <v>0</v>
      </c>
      <c r="AI6">
        <v>0</v>
      </c>
      <c r="AJ6">
        <v>0</v>
      </c>
      <c r="AK6">
        <v>53.013370999999999</v>
      </c>
      <c r="AL6">
        <v>12.059590999999999</v>
      </c>
      <c r="AM6">
        <v>34.594563000000001</v>
      </c>
      <c r="AN6">
        <f t="shared" si="0"/>
        <v>0.4905101827751796</v>
      </c>
    </row>
    <row r="7" spans="1:40" x14ac:dyDescent="0.25">
      <c r="A7">
        <v>4</v>
      </c>
      <c r="B7" t="s">
        <v>43</v>
      </c>
      <c r="C7">
        <v>1288</v>
      </c>
      <c r="D7">
        <v>15000</v>
      </c>
      <c r="E7">
        <v>-10.3095</v>
      </c>
      <c r="F7">
        <v>-1523120.244252</v>
      </c>
      <c r="G7">
        <v>-1138276.914021</v>
      </c>
      <c r="H7">
        <v>246.51271800000001</v>
      </c>
      <c r="I7">
        <v>122.19896</v>
      </c>
      <c r="J7">
        <v>29.911059999999999</v>
      </c>
      <c r="K7">
        <v>3.3436180000000002</v>
      </c>
      <c r="L7" t="s">
        <v>44</v>
      </c>
      <c r="M7">
        <v>100.01115900000001</v>
      </c>
      <c r="N7" s="2">
        <v>0.35061999999999999</v>
      </c>
      <c r="O7">
        <v>99.660539</v>
      </c>
      <c r="P7">
        <v>0</v>
      </c>
      <c r="Q7">
        <v>0</v>
      </c>
      <c r="R7">
        <v>37.329236999999999</v>
      </c>
      <c r="S7">
        <v>0.90957200000000005</v>
      </c>
      <c r="T7">
        <v>14.100439</v>
      </c>
      <c r="U7">
        <v>0.51108600000000004</v>
      </c>
      <c r="V7">
        <v>0</v>
      </c>
      <c r="W7">
        <v>15.858091999999999</v>
      </c>
      <c r="X7">
        <v>7.8171000000000004E-2</v>
      </c>
      <c r="Y7">
        <v>8.8058820000000004</v>
      </c>
      <c r="Z7">
        <v>0</v>
      </c>
      <c r="AA7">
        <v>0</v>
      </c>
      <c r="AB7">
        <v>9.2340900000000001</v>
      </c>
      <c r="AC7">
        <v>7.425567</v>
      </c>
      <c r="AD7">
        <v>0</v>
      </c>
      <c r="AE7">
        <v>5.7478629999999997</v>
      </c>
      <c r="AF7">
        <v>0</v>
      </c>
      <c r="AG7">
        <v>0</v>
      </c>
      <c r="AH7">
        <v>0</v>
      </c>
      <c r="AI7">
        <v>0</v>
      </c>
      <c r="AJ7">
        <v>0</v>
      </c>
      <c r="AK7">
        <v>53.009808</v>
      </c>
      <c r="AL7">
        <v>11.990748</v>
      </c>
      <c r="AM7">
        <v>34.659981000000002</v>
      </c>
      <c r="AN7">
        <f t="shared" si="0"/>
        <v>0.49028319768812523</v>
      </c>
    </row>
    <row r="8" spans="1:40" x14ac:dyDescent="0.25">
      <c r="A8">
        <v>5</v>
      </c>
      <c r="B8" t="s">
        <v>43</v>
      </c>
      <c r="C8">
        <v>1288.5</v>
      </c>
      <c r="D8">
        <v>15000</v>
      </c>
      <c r="E8">
        <v>-10.304826</v>
      </c>
      <c r="F8">
        <v>-1523243.6234329999</v>
      </c>
      <c r="G8">
        <v>-1138210.3723599999</v>
      </c>
      <c r="H8">
        <v>246.555407</v>
      </c>
      <c r="I8">
        <v>122.20560999999999</v>
      </c>
      <c r="J8">
        <v>29.912310000000002</v>
      </c>
      <c r="K8">
        <v>3.3434780000000002</v>
      </c>
      <c r="L8" t="s">
        <v>44</v>
      </c>
      <c r="M8">
        <v>100.01116399999999</v>
      </c>
      <c r="N8" s="2">
        <v>0.35780299999999998</v>
      </c>
      <c r="O8">
        <v>99.653361000000004</v>
      </c>
      <c r="P8">
        <v>0</v>
      </c>
      <c r="Q8">
        <v>0</v>
      </c>
      <c r="R8">
        <v>37.465080999999998</v>
      </c>
      <c r="S8">
        <v>0.91378199999999998</v>
      </c>
      <c r="T8">
        <v>14.120590999999999</v>
      </c>
      <c r="U8">
        <v>0.50969699999999996</v>
      </c>
      <c r="V8">
        <v>0</v>
      </c>
      <c r="W8">
        <v>15.909988999999999</v>
      </c>
      <c r="X8">
        <v>7.8052999999999997E-2</v>
      </c>
      <c r="Y8">
        <v>8.8253939999999993</v>
      </c>
      <c r="Z8">
        <v>0</v>
      </c>
      <c r="AA8">
        <v>0</v>
      </c>
      <c r="AB8">
        <v>9.1291949999999993</v>
      </c>
      <c r="AC8">
        <v>7.4157359999999999</v>
      </c>
      <c r="AD8">
        <v>0</v>
      </c>
      <c r="AE8">
        <v>5.6324810000000003</v>
      </c>
      <c r="AF8">
        <v>0</v>
      </c>
      <c r="AG8">
        <v>0</v>
      </c>
      <c r="AH8">
        <v>0</v>
      </c>
      <c r="AI8">
        <v>0</v>
      </c>
      <c r="AJ8">
        <v>0</v>
      </c>
      <c r="AK8">
        <v>53.006176000000004</v>
      </c>
      <c r="AL8">
        <v>11.922532</v>
      </c>
      <c r="AM8">
        <v>34.724654999999998</v>
      </c>
      <c r="AN8">
        <f t="shared" si="0"/>
        <v>0.49006188720173915</v>
      </c>
    </row>
    <row r="9" spans="1:40" x14ac:dyDescent="0.25">
      <c r="A9">
        <v>6</v>
      </c>
      <c r="B9" t="s">
        <v>43</v>
      </c>
      <c r="C9">
        <v>1289</v>
      </c>
      <c r="D9">
        <v>15000</v>
      </c>
      <c r="E9">
        <v>-10.300155</v>
      </c>
      <c r="F9">
        <v>-1523367.0226980001</v>
      </c>
      <c r="G9">
        <v>-1138143.7504209999</v>
      </c>
      <c r="H9">
        <v>246.59813199999999</v>
      </c>
      <c r="I9">
        <v>122.212317</v>
      </c>
      <c r="J9">
        <v>29.913568999999999</v>
      </c>
      <c r="K9">
        <v>3.3433380000000001</v>
      </c>
      <c r="L9" t="s">
        <v>44</v>
      </c>
      <c r="M9">
        <v>100.011169</v>
      </c>
      <c r="N9" s="2">
        <v>0.365178</v>
      </c>
      <c r="O9">
        <v>99.645990999999995</v>
      </c>
      <c r="P9">
        <v>0</v>
      </c>
      <c r="Q9">
        <v>0</v>
      </c>
      <c r="R9">
        <v>37.598796</v>
      </c>
      <c r="S9">
        <v>0.917937</v>
      </c>
      <c r="T9">
        <v>14.140158</v>
      </c>
      <c r="U9">
        <v>0.508328</v>
      </c>
      <c r="V9">
        <v>0</v>
      </c>
      <c r="W9">
        <v>15.961565</v>
      </c>
      <c r="X9">
        <v>7.7937000000000006E-2</v>
      </c>
      <c r="Y9">
        <v>8.8449039999999997</v>
      </c>
      <c r="Z9">
        <v>0</v>
      </c>
      <c r="AA9">
        <v>0</v>
      </c>
      <c r="AB9">
        <v>9.0262390000000003</v>
      </c>
      <c r="AC9">
        <v>7.4054169999999999</v>
      </c>
      <c r="AD9">
        <v>0</v>
      </c>
      <c r="AE9">
        <v>5.5187189999999999</v>
      </c>
      <c r="AF9">
        <v>0</v>
      </c>
      <c r="AG9">
        <v>0</v>
      </c>
      <c r="AH9">
        <v>0</v>
      </c>
      <c r="AI9">
        <v>0</v>
      </c>
      <c r="AJ9">
        <v>0</v>
      </c>
      <c r="AK9">
        <v>53.002471999999997</v>
      </c>
      <c r="AL9">
        <v>11.854957000000001</v>
      </c>
      <c r="AM9">
        <v>34.788563000000003</v>
      </c>
      <c r="AN9">
        <f t="shared" si="0"/>
        <v>0.48984630661887496</v>
      </c>
    </row>
    <row r="10" spans="1:40" x14ac:dyDescent="0.25">
      <c r="A10">
        <v>7</v>
      </c>
      <c r="B10" t="s">
        <v>43</v>
      </c>
      <c r="C10">
        <v>1289.5</v>
      </c>
      <c r="D10">
        <v>15000</v>
      </c>
      <c r="E10">
        <v>-10.295486</v>
      </c>
      <c r="F10">
        <v>-1523490.4420449999</v>
      </c>
      <c r="G10">
        <v>-1138077.046446</v>
      </c>
      <c r="H10">
        <v>246.640896</v>
      </c>
      <c r="I10">
        <v>122.219083</v>
      </c>
      <c r="J10">
        <v>29.914835</v>
      </c>
      <c r="K10">
        <v>3.343197</v>
      </c>
      <c r="L10" t="s">
        <v>44</v>
      </c>
      <c r="M10">
        <v>100.01117499999999</v>
      </c>
      <c r="N10" s="2">
        <v>0.37275199999999997</v>
      </c>
      <c r="O10">
        <v>99.638423000000003</v>
      </c>
      <c r="P10">
        <v>0</v>
      </c>
      <c r="Q10">
        <v>0</v>
      </c>
      <c r="R10">
        <v>37.730350999999999</v>
      </c>
      <c r="S10">
        <v>0.92203599999999997</v>
      </c>
      <c r="T10">
        <v>14.159136</v>
      </c>
      <c r="U10">
        <v>0.50697899999999996</v>
      </c>
      <c r="V10">
        <v>0</v>
      </c>
      <c r="W10">
        <v>16.012824999999999</v>
      </c>
      <c r="X10">
        <v>7.7822000000000002E-2</v>
      </c>
      <c r="Y10">
        <v>8.8644169999999995</v>
      </c>
      <c r="Z10">
        <v>0</v>
      </c>
      <c r="AA10">
        <v>0</v>
      </c>
      <c r="AB10">
        <v>8.9252319999999994</v>
      </c>
      <c r="AC10">
        <v>7.394609</v>
      </c>
      <c r="AD10">
        <v>0</v>
      </c>
      <c r="AE10">
        <v>5.4065940000000001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52.998691999999998</v>
      </c>
      <c r="AL10">
        <v>11.788036999999999</v>
      </c>
      <c r="AM10">
        <v>34.851692</v>
      </c>
      <c r="AN10">
        <f t="shared" si="0"/>
        <v>0.48963646953839379</v>
      </c>
    </row>
    <row r="11" spans="1:40" x14ac:dyDescent="0.25">
      <c r="A11">
        <v>8</v>
      </c>
      <c r="B11" t="s">
        <v>43</v>
      </c>
      <c r="C11">
        <v>1290</v>
      </c>
      <c r="D11">
        <v>15000</v>
      </c>
      <c r="E11">
        <v>-10.290820999999999</v>
      </c>
      <c r="F11">
        <v>-1523613.8814719999</v>
      </c>
      <c r="G11">
        <v>-1138010.2586719999</v>
      </c>
      <c r="H11">
        <v>246.68369799999999</v>
      </c>
      <c r="I11">
        <v>122.225909</v>
      </c>
      <c r="J11">
        <v>29.916108999999999</v>
      </c>
      <c r="K11">
        <v>3.343054</v>
      </c>
      <c r="L11" t="s">
        <v>44</v>
      </c>
      <c r="M11">
        <v>100.01118</v>
      </c>
      <c r="N11" s="2">
        <v>0.380527</v>
      </c>
      <c r="O11">
        <v>99.630652999999995</v>
      </c>
      <c r="P11">
        <v>0</v>
      </c>
      <c r="Q11">
        <v>0</v>
      </c>
      <c r="R11">
        <v>37.859720000000003</v>
      </c>
      <c r="S11">
        <v>0.92607700000000004</v>
      </c>
      <c r="T11">
        <v>14.177517999999999</v>
      </c>
      <c r="U11">
        <v>0.50565199999999999</v>
      </c>
      <c r="V11">
        <v>0</v>
      </c>
      <c r="W11">
        <v>16.063773000000001</v>
      </c>
      <c r="X11">
        <v>7.7709E-2</v>
      </c>
      <c r="Y11">
        <v>8.8839360000000003</v>
      </c>
      <c r="Z11">
        <v>0</v>
      </c>
      <c r="AA11">
        <v>0</v>
      </c>
      <c r="AB11">
        <v>8.8261830000000003</v>
      </c>
      <c r="AC11">
        <v>7.383311</v>
      </c>
      <c r="AD11">
        <v>0</v>
      </c>
      <c r="AE11">
        <v>5.2961200000000002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52.994838999999999</v>
      </c>
      <c r="AL11">
        <v>11.721786</v>
      </c>
      <c r="AM11">
        <v>34.914023999999998</v>
      </c>
      <c r="AN11">
        <f t="shared" si="0"/>
        <v>0.4894323217356768</v>
      </c>
    </row>
    <row r="12" spans="1:40" x14ac:dyDescent="0.25">
      <c r="A12">
        <v>9</v>
      </c>
      <c r="B12" t="s">
        <v>43</v>
      </c>
      <c r="C12">
        <v>1290.5</v>
      </c>
      <c r="D12">
        <v>15000</v>
      </c>
      <c r="E12">
        <v>-10.286158</v>
      </c>
      <c r="F12">
        <v>-1523737.3409820001</v>
      </c>
      <c r="G12">
        <v>-1137943.385331</v>
      </c>
      <c r="H12">
        <v>246.726541</v>
      </c>
      <c r="I12">
        <v>122.23279700000001</v>
      </c>
      <c r="J12">
        <v>29.917392</v>
      </c>
      <c r="K12">
        <v>3.342911</v>
      </c>
      <c r="L12" t="s">
        <v>44</v>
      </c>
      <c r="M12">
        <v>100.011185</v>
      </c>
      <c r="N12" s="2">
        <v>0.38850899999999999</v>
      </c>
      <c r="O12">
        <v>99.622675999999998</v>
      </c>
      <c r="P12">
        <v>0</v>
      </c>
      <c r="Q12">
        <v>0</v>
      </c>
      <c r="R12">
        <v>37.986876000000002</v>
      </c>
      <c r="S12">
        <v>0.93006</v>
      </c>
      <c r="T12">
        <v>14.1953</v>
      </c>
      <c r="U12">
        <v>0.50434599999999996</v>
      </c>
      <c r="V12">
        <v>0</v>
      </c>
      <c r="W12">
        <v>16.114417</v>
      </c>
      <c r="X12">
        <v>7.7596999999999999E-2</v>
      </c>
      <c r="Y12">
        <v>8.9034689999999994</v>
      </c>
      <c r="Z12">
        <v>0</v>
      </c>
      <c r="AA12">
        <v>0</v>
      </c>
      <c r="AB12">
        <v>8.7291000000000007</v>
      </c>
      <c r="AC12">
        <v>7.3715219999999997</v>
      </c>
      <c r="AD12">
        <v>0</v>
      </c>
      <c r="AE12">
        <v>5.1873120000000004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52.99091</v>
      </c>
      <c r="AL12">
        <v>11.656221</v>
      </c>
      <c r="AM12">
        <v>34.975543999999999</v>
      </c>
      <c r="AN12">
        <f t="shared" si="0"/>
        <v>0.48923393085618028</v>
      </c>
    </row>
    <row r="13" spans="1:40" x14ac:dyDescent="0.25">
      <c r="A13">
        <v>10</v>
      </c>
      <c r="B13" t="s">
        <v>43</v>
      </c>
      <c r="C13">
        <v>1291</v>
      </c>
      <c r="D13">
        <v>15000</v>
      </c>
      <c r="E13">
        <v>-10.281499</v>
      </c>
      <c r="F13">
        <v>-1523860.820575</v>
      </c>
      <c r="G13">
        <v>-1137876.424661</v>
      </c>
      <c r="H13">
        <v>246.76942500000001</v>
      </c>
      <c r="I13">
        <v>122.23974800000001</v>
      </c>
      <c r="J13">
        <v>29.918682</v>
      </c>
      <c r="K13">
        <v>3.3427669999999998</v>
      </c>
      <c r="L13" t="s">
        <v>44</v>
      </c>
      <c r="M13">
        <v>100.01119</v>
      </c>
      <c r="N13" s="2">
        <v>0.396702</v>
      </c>
      <c r="O13">
        <v>99.614487999999994</v>
      </c>
      <c r="P13">
        <v>0</v>
      </c>
      <c r="Q13">
        <v>0</v>
      </c>
      <c r="R13">
        <v>38.111795999999998</v>
      </c>
      <c r="S13">
        <v>0.93398499999999995</v>
      </c>
      <c r="T13">
        <v>14.212478000000001</v>
      </c>
      <c r="U13">
        <v>0.50306099999999998</v>
      </c>
      <c r="V13">
        <v>0</v>
      </c>
      <c r="W13">
        <v>16.164760999999999</v>
      </c>
      <c r="X13">
        <v>7.7487E-2</v>
      </c>
      <c r="Y13">
        <v>8.923019</v>
      </c>
      <c r="Z13">
        <v>0</v>
      </c>
      <c r="AA13">
        <v>0</v>
      </c>
      <c r="AB13">
        <v>8.6339880000000004</v>
      </c>
      <c r="AC13">
        <v>7.3592430000000002</v>
      </c>
      <c r="AD13">
        <v>0</v>
      </c>
      <c r="AE13">
        <v>5.0801829999999999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52.986904000000003</v>
      </c>
      <c r="AL13">
        <v>11.591354000000001</v>
      </c>
      <c r="AM13">
        <v>35.036228000000001</v>
      </c>
      <c r="AN13">
        <f t="shared" si="0"/>
        <v>0.4890412712433379</v>
      </c>
    </row>
    <row r="14" spans="1:40" x14ac:dyDescent="0.25">
      <c r="A14">
        <v>11</v>
      </c>
      <c r="B14" t="s">
        <v>43</v>
      </c>
      <c r="C14">
        <v>1291.5</v>
      </c>
      <c r="D14">
        <v>15000</v>
      </c>
      <c r="E14">
        <v>-10.276842</v>
      </c>
      <c r="F14">
        <v>-1523984.3202539999</v>
      </c>
      <c r="G14">
        <v>-1137809.3748979999</v>
      </c>
      <c r="H14">
        <v>246.81235100000001</v>
      </c>
      <c r="I14">
        <v>122.246764</v>
      </c>
      <c r="J14">
        <v>29.919981</v>
      </c>
      <c r="K14">
        <v>3.342622</v>
      </c>
      <c r="L14" t="s">
        <v>44</v>
      </c>
      <c r="M14">
        <v>100.011195</v>
      </c>
      <c r="N14" s="2">
        <v>0.40511000000000003</v>
      </c>
      <c r="O14">
        <v>99.606084999999993</v>
      </c>
      <c r="P14">
        <v>0</v>
      </c>
      <c r="Q14">
        <v>0</v>
      </c>
      <c r="R14">
        <v>38.234457999999997</v>
      </c>
      <c r="S14">
        <v>0.93784999999999996</v>
      </c>
      <c r="T14">
        <v>14.229047</v>
      </c>
      <c r="U14">
        <v>0.50179700000000005</v>
      </c>
      <c r="V14">
        <v>0</v>
      </c>
      <c r="W14">
        <v>16.214811000000001</v>
      </c>
      <c r="X14">
        <v>7.7379000000000003E-2</v>
      </c>
      <c r="Y14">
        <v>8.9425919999999994</v>
      </c>
      <c r="Z14">
        <v>0</v>
      </c>
      <c r="AA14">
        <v>0</v>
      </c>
      <c r="AB14">
        <v>8.540851</v>
      </c>
      <c r="AC14">
        <v>7.3464729999999996</v>
      </c>
      <c r="AD14">
        <v>0</v>
      </c>
      <c r="AE14">
        <v>4.974742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52.982818999999999</v>
      </c>
      <c r="AL14">
        <v>11.527200000000001</v>
      </c>
      <c r="AM14">
        <v>35.096066</v>
      </c>
      <c r="AN14">
        <f t="shared" si="0"/>
        <v>0.48885437183531461</v>
      </c>
    </row>
    <row r="15" spans="1:40" x14ac:dyDescent="0.25">
      <c r="A15">
        <v>12</v>
      </c>
      <c r="B15" t="s">
        <v>43</v>
      </c>
      <c r="C15">
        <v>1292</v>
      </c>
      <c r="D15">
        <v>15000</v>
      </c>
      <c r="E15">
        <v>-10.272188999999999</v>
      </c>
      <c r="F15">
        <v>-1524107.840025</v>
      </c>
      <c r="G15">
        <v>-1137742.234283</v>
      </c>
      <c r="H15">
        <v>246.855321</v>
      </c>
      <c r="I15">
        <v>122.253845</v>
      </c>
      <c r="J15">
        <v>29.921288000000001</v>
      </c>
      <c r="K15">
        <v>3.342476</v>
      </c>
      <c r="L15" t="s">
        <v>44</v>
      </c>
      <c r="M15">
        <v>100.0112</v>
      </c>
      <c r="N15" s="2">
        <v>0.41373799999999999</v>
      </c>
      <c r="O15">
        <v>99.597461999999993</v>
      </c>
      <c r="P15">
        <v>0</v>
      </c>
      <c r="Q15">
        <v>0</v>
      </c>
      <c r="R15">
        <v>38.354841999999998</v>
      </c>
      <c r="S15">
        <v>0.94165600000000005</v>
      </c>
      <c r="T15">
        <v>14.245004</v>
      </c>
      <c r="U15">
        <v>0.50055499999999997</v>
      </c>
      <c r="V15">
        <v>0</v>
      </c>
      <c r="W15">
        <v>16.264574</v>
      </c>
      <c r="X15">
        <v>7.7272999999999994E-2</v>
      </c>
      <c r="Y15">
        <v>8.9621919999999999</v>
      </c>
      <c r="Z15">
        <v>0</v>
      </c>
      <c r="AA15">
        <v>0</v>
      </c>
      <c r="AB15">
        <v>8.4496929999999999</v>
      </c>
      <c r="AC15">
        <v>7.3332119999999996</v>
      </c>
      <c r="AD15">
        <v>0</v>
      </c>
      <c r="AE15">
        <v>4.8710000000000004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52.978653000000001</v>
      </c>
      <c r="AL15">
        <v>11.463773</v>
      </c>
      <c r="AM15">
        <v>35.155037</v>
      </c>
      <c r="AN15">
        <f t="shared" si="0"/>
        <v>0.48867317774412045</v>
      </c>
    </row>
    <row r="16" spans="1:40" x14ac:dyDescent="0.25">
      <c r="A16">
        <v>13</v>
      </c>
      <c r="B16" t="s">
        <v>43</v>
      </c>
      <c r="C16">
        <v>1292.5</v>
      </c>
      <c r="D16">
        <v>15000</v>
      </c>
      <c r="E16">
        <v>-10.267538</v>
      </c>
      <c r="F16">
        <v>-1524231.379893</v>
      </c>
      <c r="G16">
        <v>-1137675.001068</v>
      </c>
      <c r="H16">
        <v>246.898335</v>
      </c>
      <c r="I16">
        <v>122.260994</v>
      </c>
      <c r="J16">
        <v>29.922604</v>
      </c>
      <c r="K16">
        <v>3.34233</v>
      </c>
      <c r="L16" t="s">
        <v>44</v>
      </c>
      <c r="M16">
        <v>100.011205</v>
      </c>
      <c r="N16" s="2">
        <v>0.42259000000000002</v>
      </c>
      <c r="O16">
        <v>99.588615000000004</v>
      </c>
      <c r="P16">
        <v>0</v>
      </c>
      <c r="Q16">
        <v>0</v>
      </c>
      <c r="R16">
        <v>38.472932</v>
      </c>
      <c r="S16">
        <v>0.94540100000000005</v>
      </c>
      <c r="T16">
        <v>14.260346</v>
      </c>
      <c r="U16">
        <v>0.499334</v>
      </c>
      <c r="V16">
        <v>0</v>
      </c>
      <c r="W16">
        <v>16.314056000000001</v>
      </c>
      <c r="X16">
        <v>7.7168E-2</v>
      </c>
      <c r="Y16">
        <v>8.9818250000000006</v>
      </c>
      <c r="Z16">
        <v>0</v>
      </c>
      <c r="AA16">
        <v>0</v>
      </c>
      <c r="AB16">
        <v>8.3605129999999992</v>
      </c>
      <c r="AC16">
        <v>7.3194619999999997</v>
      </c>
      <c r="AD16">
        <v>0</v>
      </c>
      <c r="AE16">
        <v>4.7689630000000003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52.974403000000002</v>
      </c>
      <c r="AL16">
        <v>11.401088</v>
      </c>
      <c r="AM16">
        <v>35.213123000000003</v>
      </c>
      <c r="AN16">
        <f t="shared" si="0"/>
        <v>0.48849773258283119</v>
      </c>
    </row>
    <row r="17" spans="1:40" x14ac:dyDescent="0.25">
      <c r="A17">
        <v>14</v>
      </c>
      <c r="B17" t="s">
        <v>43</v>
      </c>
      <c r="C17">
        <v>1293</v>
      </c>
      <c r="D17">
        <v>15000</v>
      </c>
      <c r="E17">
        <v>-10.262891</v>
      </c>
      <c r="F17">
        <v>-1524354.9398660001</v>
      </c>
      <c r="G17">
        <v>-1137607.6735109999</v>
      </c>
      <c r="H17">
        <v>246.941395</v>
      </c>
      <c r="I17">
        <v>122.26821200000001</v>
      </c>
      <c r="J17">
        <v>29.923928</v>
      </c>
      <c r="K17">
        <v>3.3421820000000002</v>
      </c>
      <c r="L17" t="s">
        <v>44</v>
      </c>
      <c r="M17">
        <v>100.01120899999999</v>
      </c>
      <c r="N17" s="2">
        <v>0.43167100000000003</v>
      </c>
      <c r="O17">
        <v>99.579537999999999</v>
      </c>
      <c r="P17">
        <v>0</v>
      </c>
      <c r="Q17">
        <v>0</v>
      </c>
      <c r="R17">
        <v>38.588712999999998</v>
      </c>
      <c r="S17">
        <v>0.94908499999999996</v>
      </c>
      <c r="T17">
        <v>14.275071000000001</v>
      </c>
      <c r="U17">
        <v>0.49813499999999999</v>
      </c>
      <c r="V17">
        <v>0</v>
      </c>
      <c r="W17">
        <v>16.363263</v>
      </c>
      <c r="X17">
        <v>7.7065999999999996E-2</v>
      </c>
      <c r="Y17">
        <v>9.0014959999999995</v>
      </c>
      <c r="Z17">
        <v>0</v>
      </c>
      <c r="AA17">
        <v>0</v>
      </c>
      <c r="AB17">
        <v>8.2733109999999996</v>
      </c>
      <c r="AC17">
        <v>7.3052219999999997</v>
      </c>
      <c r="AD17">
        <v>0</v>
      </c>
      <c r="AE17">
        <v>4.6686379999999996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52.970073999999997</v>
      </c>
      <c r="AL17">
        <v>11.339157999999999</v>
      </c>
      <c r="AM17">
        <v>35.270308999999997</v>
      </c>
      <c r="AN17">
        <f t="shared" si="0"/>
        <v>0.48832802556684185</v>
      </c>
    </row>
    <row r="18" spans="1:40" x14ac:dyDescent="0.25">
      <c r="A18">
        <v>15</v>
      </c>
      <c r="B18" t="s">
        <v>43</v>
      </c>
      <c r="C18">
        <v>1293.5</v>
      </c>
      <c r="D18">
        <v>15000</v>
      </c>
      <c r="E18">
        <v>-10.258246</v>
      </c>
      <c r="F18">
        <v>-1524478.5199529999</v>
      </c>
      <c r="G18">
        <v>-1137540.249881</v>
      </c>
      <c r="H18">
        <v>246.98450199999999</v>
      </c>
      <c r="I18">
        <v>122.27549999999999</v>
      </c>
      <c r="J18">
        <v>29.925262</v>
      </c>
      <c r="K18">
        <v>3.3420329999999998</v>
      </c>
      <c r="L18" t="s">
        <v>44</v>
      </c>
      <c r="M18">
        <v>100.011214</v>
      </c>
      <c r="N18" s="2">
        <v>0.44098500000000002</v>
      </c>
      <c r="O18">
        <v>99.570228999999998</v>
      </c>
      <c r="P18">
        <v>0</v>
      </c>
      <c r="Q18">
        <v>0</v>
      </c>
      <c r="R18">
        <v>38.702173000000002</v>
      </c>
      <c r="S18">
        <v>0.952708</v>
      </c>
      <c r="T18">
        <v>14.289175999999999</v>
      </c>
      <c r="U18">
        <v>0.49695699999999998</v>
      </c>
      <c r="V18">
        <v>0</v>
      </c>
      <c r="W18">
        <v>16.412201</v>
      </c>
      <c r="X18">
        <v>7.6966000000000007E-2</v>
      </c>
      <c r="Y18">
        <v>9.0212090000000007</v>
      </c>
      <c r="Z18">
        <v>0</v>
      </c>
      <c r="AA18">
        <v>0</v>
      </c>
      <c r="AB18">
        <v>8.1880860000000002</v>
      </c>
      <c r="AC18">
        <v>7.2904939999999998</v>
      </c>
      <c r="AD18">
        <v>0</v>
      </c>
      <c r="AE18">
        <v>4.57003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52.965656000000003</v>
      </c>
      <c r="AL18">
        <v>11.277996</v>
      </c>
      <c r="AM18">
        <v>35.326576000000003</v>
      </c>
      <c r="AN18">
        <f t="shared" si="0"/>
        <v>0.48816404552729292</v>
      </c>
    </row>
    <row r="19" spans="1:40" x14ac:dyDescent="0.25">
      <c r="A19">
        <v>16</v>
      </c>
      <c r="B19" t="s">
        <v>43</v>
      </c>
      <c r="C19">
        <v>1294</v>
      </c>
      <c r="D19">
        <v>15000</v>
      </c>
      <c r="E19">
        <v>-10.253605</v>
      </c>
      <c r="F19">
        <v>-1524602.120164</v>
      </c>
      <c r="G19">
        <v>-1137472.7284659999</v>
      </c>
      <c r="H19">
        <v>247.02765600000001</v>
      </c>
      <c r="I19">
        <v>122.28286</v>
      </c>
      <c r="J19">
        <v>29.926604000000001</v>
      </c>
      <c r="K19">
        <v>3.3418830000000002</v>
      </c>
      <c r="L19" t="s">
        <v>44</v>
      </c>
      <c r="M19">
        <v>100.011219</v>
      </c>
      <c r="N19" s="2">
        <v>0.45053700000000002</v>
      </c>
      <c r="O19">
        <v>99.560682</v>
      </c>
      <c r="P19">
        <v>0</v>
      </c>
      <c r="Q19">
        <v>0</v>
      </c>
      <c r="R19">
        <v>38.813299999999998</v>
      </c>
      <c r="S19">
        <v>0.95626900000000004</v>
      </c>
      <c r="T19">
        <v>14.302661000000001</v>
      </c>
      <c r="U19">
        <v>0.49580099999999999</v>
      </c>
      <c r="V19">
        <v>0</v>
      </c>
      <c r="W19">
        <v>16.460877</v>
      </c>
      <c r="X19">
        <v>7.6867000000000005E-2</v>
      </c>
      <c r="Y19">
        <v>9.0409679999999994</v>
      </c>
      <c r="Z19">
        <v>0</v>
      </c>
      <c r="AA19">
        <v>0</v>
      </c>
      <c r="AB19">
        <v>8.1048329999999993</v>
      </c>
      <c r="AC19">
        <v>7.2752800000000004</v>
      </c>
      <c r="AD19">
        <v>0</v>
      </c>
      <c r="AE19">
        <v>4.4731420000000002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52.961151000000001</v>
      </c>
      <c r="AL19">
        <v>11.217617000000001</v>
      </c>
      <c r="AM19">
        <v>35.381912</v>
      </c>
      <c r="AN19">
        <f t="shared" si="0"/>
        <v>0.4880057404583652</v>
      </c>
    </row>
    <row r="20" spans="1:40" x14ac:dyDescent="0.25">
      <c r="A20">
        <v>17</v>
      </c>
      <c r="B20" t="s">
        <v>43</v>
      </c>
      <c r="C20">
        <v>1294.5</v>
      </c>
      <c r="D20">
        <v>15000</v>
      </c>
      <c r="E20">
        <v>-10.248965999999999</v>
      </c>
      <c r="F20">
        <v>-1524725.7405119999</v>
      </c>
      <c r="G20">
        <v>-1137405.1075629999</v>
      </c>
      <c r="H20">
        <v>247.07086000000001</v>
      </c>
      <c r="I20">
        <v>122.29029300000001</v>
      </c>
      <c r="J20">
        <v>29.927955999999998</v>
      </c>
      <c r="K20">
        <v>3.3417319999999999</v>
      </c>
      <c r="L20" t="s">
        <v>44</v>
      </c>
      <c r="M20">
        <v>100.011223</v>
      </c>
      <c r="N20" s="2">
        <v>0.46033099999999999</v>
      </c>
      <c r="O20">
        <v>99.550893000000002</v>
      </c>
      <c r="P20">
        <v>0</v>
      </c>
      <c r="Q20">
        <v>0</v>
      </c>
      <c r="R20">
        <v>38.922089</v>
      </c>
      <c r="S20">
        <v>0.95976799999999995</v>
      </c>
      <c r="T20">
        <v>14.315524</v>
      </c>
      <c r="U20">
        <v>0.49466700000000002</v>
      </c>
      <c r="V20">
        <v>0</v>
      </c>
      <c r="W20">
        <v>16.509298000000001</v>
      </c>
      <c r="X20">
        <v>7.6771000000000006E-2</v>
      </c>
      <c r="Y20">
        <v>9.0607790000000001</v>
      </c>
      <c r="Z20">
        <v>0</v>
      </c>
      <c r="AA20">
        <v>0</v>
      </c>
      <c r="AB20">
        <v>8.0235470000000007</v>
      </c>
      <c r="AC20">
        <v>7.259582</v>
      </c>
      <c r="AD20">
        <v>0</v>
      </c>
      <c r="AE20">
        <v>4.3779760000000003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52.956561999999998</v>
      </c>
      <c r="AL20">
        <v>11.158034000000001</v>
      </c>
      <c r="AM20">
        <v>35.436295000000001</v>
      </c>
      <c r="AN20">
        <f t="shared" si="0"/>
        <v>0.48785312774616441</v>
      </c>
    </row>
    <row r="21" spans="1:40" x14ac:dyDescent="0.25">
      <c r="A21">
        <v>18</v>
      </c>
      <c r="B21" t="s">
        <v>43</v>
      </c>
      <c r="C21">
        <v>1295</v>
      </c>
      <c r="D21">
        <v>15000</v>
      </c>
      <c r="E21">
        <v>-10.24433</v>
      </c>
      <c r="F21">
        <v>-1524849.3810109999</v>
      </c>
      <c r="G21">
        <v>-1137337.385493</v>
      </c>
      <c r="H21">
        <v>247.114113</v>
      </c>
      <c r="I21">
        <v>122.2978</v>
      </c>
      <c r="J21">
        <v>29.929317000000001</v>
      </c>
      <c r="K21">
        <v>3.3415810000000001</v>
      </c>
      <c r="L21" t="s">
        <v>44</v>
      </c>
      <c r="M21">
        <v>100.011228</v>
      </c>
      <c r="N21" s="2">
        <v>0.47037000000000001</v>
      </c>
      <c r="O21">
        <v>99.540857000000003</v>
      </c>
      <c r="P21">
        <v>0</v>
      </c>
      <c r="Q21">
        <v>0</v>
      </c>
      <c r="R21">
        <v>39.028531999999998</v>
      </c>
      <c r="S21">
        <v>0.96320399999999995</v>
      </c>
      <c r="T21">
        <v>14.327766</v>
      </c>
      <c r="U21">
        <v>0.49355399999999999</v>
      </c>
      <c r="V21">
        <v>0</v>
      </c>
      <c r="W21">
        <v>16.557469999999999</v>
      </c>
      <c r="X21">
        <v>7.6676999999999995E-2</v>
      </c>
      <c r="Y21">
        <v>9.0806459999999998</v>
      </c>
      <c r="Z21">
        <v>0</v>
      </c>
      <c r="AA21">
        <v>0</v>
      </c>
      <c r="AB21">
        <v>7.9442209999999998</v>
      </c>
      <c r="AC21">
        <v>7.2434010000000004</v>
      </c>
      <c r="AD21">
        <v>0</v>
      </c>
      <c r="AE21">
        <v>4.2845300000000002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52.951881</v>
      </c>
      <c r="AL21">
        <v>11.099259</v>
      </c>
      <c r="AM21">
        <v>35.489716000000001</v>
      </c>
      <c r="AN21">
        <f t="shared" si="0"/>
        <v>0.48770619797418979</v>
      </c>
    </row>
    <row r="22" spans="1:40" x14ac:dyDescent="0.25">
      <c r="A22">
        <v>19</v>
      </c>
      <c r="B22" t="s">
        <v>43</v>
      </c>
      <c r="C22">
        <v>1295.5</v>
      </c>
      <c r="D22">
        <v>15000</v>
      </c>
      <c r="E22">
        <v>-10.239698000000001</v>
      </c>
      <c r="F22">
        <v>-1524973.041675</v>
      </c>
      <c r="G22">
        <v>-1137269.5605929999</v>
      </c>
      <c r="H22">
        <v>247.15741600000001</v>
      </c>
      <c r="I22">
        <v>122.305384</v>
      </c>
      <c r="J22">
        <v>29.930686999999999</v>
      </c>
      <c r="K22">
        <v>3.3414280000000001</v>
      </c>
      <c r="L22" t="s">
        <v>44</v>
      </c>
      <c r="M22">
        <v>100.01123200000001</v>
      </c>
      <c r="N22" s="2">
        <v>0.480661</v>
      </c>
      <c r="O22">
        <v>99.530570999999995</v>
      </c>
      <c r="P22">
        <v>0</v>
      </c>
      <c r="Q22">
        <v>0</v>
      </c>
      <c r="R22">
        <v>39.132626000000002</v>
      </c>
      <c r="S22">
        <v>0.96657800000000005</v>
      </c>
      <c r="T22">
        <v>14.339385</v>
      </c>
      <c r="U22">
        <v>0.49246200000000001</v>
      </c>
      <c r="V22">
        <v>0</v>
      </c>
      <c r="W22">
        <v>16.605399999999999</v>
      </c>
      <c r="X22">
        <v>7.6585E-2</v>
      </c>
      <c r="Y22">
        <v>9.1005730000000007</v>
      </c>
      <c r="Z22">
        <v>0</v>
      </c>
      <c r="AA22">
        <v>0</v>
      </c>
      <c r="AB22">
        <v>7.8668469999999999</v>
      </c>
      <c r="AC22">
        <v>7.2267409999999996</v>
      </c>
      <c r="AD22">
        <v>0</v>
      </c>
      <c r="AE22">
        <v>4.1928039999999998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52.947113000000002</v>
      </c>
      <c r="AL22">
        <v>11.041306000000001</v>
      </c>
      <c r="AM22">
        <v>35.542152000000002</v>
      </c>
      <c r="AN22">
        <f t="shared" si="0"/>
        <v>0.48756491432899229</v>
      </c>
    </row>
    <row r="23" spans="1:40" x14ac:dyDescent="0.25">
      <c r="A23">
        <v>20</v>
      </c>
      <c r="B23" t="s">
        <v>43</v>
      </c>
      <c r="C23">
        <v>1296</v>
      </c>
      <c r="D23">
        <v>15000</v>
      </c>
      <c r="E23">
        <v>-10.235068</v>
      </c>
      <c r="F23">
        <v>-1525096.7225240001</v>
      </c>
      <c r="G23">
        <v>-1137201.6312210001</v>
      </c>
      <c r="H23">
        <v>247.200772</v>
      </c>
      <c r="I23">
        <v>122.313045</v>
      </c>
      <c r="J23">
        <v>29.932067</v>
      </c>
      <c r="K23">
        <v>3.3412739999999999</v>
      </c>
      <c r="L23" t="s">
        <v>44</v>
      </c>
      <c r="M23">
        <v>100.011236</v>
      </c>
      <c r="N23" s="2">
        <v>0.49120599999999998</v>
      </c>
      <c r="O23">
        <v>99.520031000000003</v>
      </c>
      <c r="P23">
        <v>0</v>
      </c>
      <c r="Q23">
        <v>0</v>
      </c>
      <c r="R23">
        <v>39.234371000000003</v>
      </c>
      <c r="S23">
        <v>0.969889</v>
      </c>
      <c r="T23">
        <v>14.350382</v>
      </c>
      <c r="U23">
        <v>0.491392</v>
      </c>
      <c r="V23">
        <v>0</v>
      </c>
      <c r="W23">
        <v>16.653093999999999</v>
      </c>
      <c r="X23">
        <v>7.6494999999999994E-2</v>
      </c>
      <c r="Y23">
        <v>9.1205630000000006</v>
      </c>
      <c r="Z23">
        <v>0</v>
      </c>
      <c r="AA23">
        <v>0</v>
      </c>
      <c r="AB23">
        <v>7.7914159999999999</v>
      </c>
      <c r="AC23">
        <v>7.2096030000000004</v>
      </c>
      <c r="AD23">
        <v>0</v>
      </c>
      <c r="AE23">
        <v>4.1027940000000003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52.942253000000001</v>
      </c>
      <c r="AL23">
        <v>10.984185999999999</v>
      </c>
      <c r="AM23">
        <v>35.593594000000003</v>
      </c>
      <c r="AN23">
        <f t="shared" si="0"/>
        <v>0.48742921479189311</v>
      </c>
    </row>
    <row r="24" spans="1:40" s="1" customFormat="1" x14ac:dyDescent="0.25">
      <c r="A24" s="1">
        <v>21</v>
      </c>
      <c r="B24" s="1" t="s">
        <v>43</v>
      </c>
      <c r="C24" s="1">
        <v>1296.5</v>
      </c>
      <c r="D24" s="1">
        <v>15000</v>
      </c>
      <c r="E24" s="1">
        <v>-10.230441000000001</v>
      </c>
      <c r="F24" s="1">
        <v>-1525220.4235759999</v>
      </c>
      <c r="G24" s="1">
        <v>-1137133.595762</v>
      </c>
      <c r="H24" s="1">
        <v>247.24418</v>
      </c>
      <c r="I24" s="1">
        <v>122.320784</v>
      </c>
      <c r="J24" s="1">
        <v>29.933456</v>
      </c>
      <c r="K24" s="1">
        <v>3.341119</v>
      </c>
      <c r="L24" s="1" t="s">
        <v>44</v>
      </c>
      <c r="M24" s="1">
        <v>100.011241</v>
      </c>
      <c r="N24" s="3">
        <v>0.50200999999999996</v>
      </c>
      <c r="O24" s="1">
        <v>99.509231</v>
      </c>
      <c r="P24" s="1">
        <v>0</v>
      </c>
      <c r="Q24" s="1">
        <v>0</v>
      </c>
      <c r="R24" s="1">
        <v>39.333767999999999</v>
      </c>
      <c r="S24" s="1">
        <v>0.97313700000000003</v>
      </c>
      <c r="T24" s="1">
        <v>14.360760000000001</v>
      </c>
      <c r="U24" s="1">
        <v>0.49034299999999997</v>
      </c>
      <c r="V24" s="1">
        <v>0</v>
      </c>
      <c r="W24" s="1">
        <v>16.700558999999998</v>
      </c>
      <c r="X24" s="1">
        <v>7.6407000000000003E-2</v>
      </c>
      <c r="Y24" s="1">
        <v>9.1406220000000005</v>
      </c>
      <c r="Z24" s="1">
        <v>0</v>
      </c>
      <c r="AA24" s="1">
        <v>0</v>
      </c>
      <c r="AB24" s="1">
        <v>7.7179159999999998</v>
      </c>
      <c r="AC24" s="1">
        <v>7.1919909999999998</v>
      </c>
      <c r="AD24" s="1">
        <v>0</v>
      </c>
      <c r="AE24" s="1">
        <v>4.0144960000000003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52.937297999999998</v>
      </c>
      <c r="AL24" s="1">
        <v>10.927911999999999</v>
      </c>
      <c r="AM24" s="1">
        <v>35.644019999999998</v>
      </c>
      <c r="AN24" s="1">
        <f t="shared" si="0"/>
        <v>0.48729913192098545</v>
      </c>
    </row>
    <row r="25" spans="1:40" x14ac:dyDescent="0.25">
      <c r="A25">
        <v>22</v>
      </c>
      <c r="B25" t="s">
        <v>43</v>
      </c>
      <c r="C25">
        <v>1297</v>
      </c>
      <c r="D25">
        <v>15000</v>
      </c>
      <c r="E25">
        <v>-10.225816999999999</v>
      </c>
      <c r="F25">
        <v>-1525344.144851</v>
      </c>
      <c r="G25">
        <v>-1137065.4526209999</v>
      </c>
      <c r="H25">
        <v>247.287643</v>
      </c>
      <c r="I25">
        <v>122.328604</v>
      </c>
      <c r="J25">
        <v>29.934854999999999</v>
      </c>
      <c r="K25">
        <v>3.3409629999999999</v>
      </c>
      <c r="L25" t="s">
        <v>44</v>
      </c>
      <c r="M25">
        <v>100.011245</v>
      </c>
      <c r="N25" s="2">
        <v>0.51307700000000001</v>
      </c>
      <c r="O25">
        <v>99.498168000000007</v>
      </c>
      <c r="P25">
        <v>0</v>
      </c>
      <c r="Q25">
        <v>0</v>
      </c>
      <c r="R25">
        <v>39.430821000000002</v>
      </c>
      <c r="S25">
        <v>0.97632099999999999</v>
      </c>
      <c r="T25">
        <v>14.370518000000001</v>
      </c>
      <c r="U25">
        <v>0.48931599999999997</v>
      </c>
      <c r="V25">
        <v>0</v>
      </c>
      <c r="W25">
        <v>16.747802</v>
      </c>
      <c r="X25">
        <v>7.6322000000000001E-2</v>
      </c>
      <c r="Y25">
        <v>9.1607529999999997</v>
      </c>
      <c r="Z25">
        <v>0</v>
      </c>
      <c r="AA25">
        <v>0</v>
      </c>
      <c r="AB25">
        <v>7.6463340000000004</v>
      </c>
      <c r="AC25">
        <v>7.1739090000000001</v>
      </c>
      <c r="AD25">
        <v>0</v>
      </c>
      <c r="AE25">
        <v>3.9279039999999998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52.932251000000001</v>
      </c>
      <c r="AL25">
        <v>10.872496</v>
      </c>
      <c r="AM25">
        <v>35.693420000000003</v>
      </c>
      <c r="AN25">
        <f t="shared" si="0"/>
        <v>0.48717459032775379</v>
      </c>
    </row>
    <row r="26" spans="1:40" x14ac:dyDescent="0.25">
      <c r="A26">
        <v>23</v>
      </c>
      <c r="B26" t="s">
        <v>43</v>
      </c>
      <c r="C26">
        <v>1297.5</v>
      </c>
      <c r="D26">
        <v>15000</v>
      </c>
      <c r="E26">
        <v>-10.221196000000001</v>
      </c>
      <c r="F26">
        <v>-1525467.886373</v>
      </c>
      <c r="G26">
        <v>-1136997.2002310001</v>
      </c>
      <c r="H26">
        <v>247.33116000000001</v>
      </c>
      <c r="I26">
        <v>122.336505</v>
      </c>
      <c r="J26">
        <v>29.936264000000001</v>
      </c>
      <c r="K26">
        <v>3.3408060000000002</v>
      </c>
      <c r="L26" t="s">
        <v>44</v>
      </c>
      <c r="M26">
        <v>100.01124900000001</v>
      </c>
      <c r="N26" s="2">
        <v>0.52441099999999996</v>
      </c>
      <c r="O26">
        <v>99.486838000000006</v>
      </c>
      <c r="P26">
        <v>0</v>
      </c>
      <c r="Q26">
        <v>0</v>
      </c>
      <c r="R26">
        <v>39.525534999999998</v>
      </c>
      <c r="S26">
        <v>0.97944200000000003</v>
      </c>
      <c r="T26">
        <v>14.379659999999999</v>
      </c>
      <c r="U26">
        <v>0.48830899999999999</v>
      </c>
      <c r="V26">
        <v>0</v>
      </c>
      <c r="W26">
        <v>16.794829</v>
      </c>
      <c r="X26">
        <v>7.6239000000000001E-2</v>
      </c>
      <c r="Y26">
        <v>9.1809589999999996</v>
      </c>
      <c r="Z26">
        <v>0</v>
      </c>
      <c r="AA26">
        <v>0</v>
      </c>
      <c r="AB26">
        <v>7.576657</v>
      </c>
      <c r="AC26">
        <v>7.1553610000000001</v>
      </c>
      <c r="AD26">
        <v>0</v>
      </c>
      <c r="AE26">
        <v>3.84301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52.927109000000002</v>
      </c>
      <c r="AL26">
        <v>10.817947</v>
      </c>
      <c r="AM26">
        <v>35.741782999999998</v>
      </c>
      <c r="AN26">
        <f t="shared" si="0"/>
        <v>0.48705556927175514</v>
      </c>
    </row>
    <row r="27" spans="1:40" x14ac:dyDescent="0.25">
      <c r="A27">
        <v>24</v>
      </c>
      <c r="B27" t="s">
        <v>43</v>
      </c>
      <c r="C27">
        <v>1298</v>
      </c>
      <c r="D27">
        <v>15000</v>
      </c>
      <c r="E27">
        <v>-10.216578</v>
      </c>
      <c r="F27">
        <v>-1525591.6481659999</v>
      </c>
      <c r="G27">
        <v>-1136928.83705</v>
      </c>
      <c r="H27">
        <v>247.37473299999999</v>
      </c>
      <c r="I27">
        <v>122.344489</v>
      </c>
      <c r="J27">
        <v>29.937681999999999</v>
      </c>
      <c r="K27">
        <v>3.3406479999999998</v>
      </c>
      <c r="L27" t="s">
        <v>44</v>
      </c>
      <c r="M27">
        <v>100.011253</v>
      </c>
      <c r="N27" s="2">
        <v>0.53601600000000005</v>
      </c>
      <c r="O27">
        <v>99.475237000000007</v>
      </c>
      <c r="P27">
        <v>0</v>
      </c>
      <c r="Q27">
        <v>0</v>
      </c>
      <c r="R27">
        <v>39.617919000000001</v>
      </c>
      <c r="S27">
        <v>0.98250000000000004</v>
      </c>
      <c r="T27">
        <v>14.388188</v>
      </c>
      <c r="U27">
        <v>0.48732300000000001</v>
      </c>
      <c r="V27">
        <v>0</v>
      </c>
      <c r="W27">
        <v>16.841646000000001</v>
      </c>
      <c r="X27">
        <v>7.6158000000000003E-2</v>
      </c>
      <c r="Y27">
        <v>9.2012440000000009</v>
      </c>
      <c r="Z27">
        <v>0</v>
      </c>
      <c r="AA27">
        <v>0</v>
      </c>
      <c r="AB27">
        <v>7.5088679999999997</v>
      </c>
      <c r="AC27">
        <v>7.1363500000000002</v>
      </c>
      <c r="AD27">
        <v>0</v>
      </c>
      <c r="AE27">
        <v>3.7598039999999999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52.921866999999999</v>
      </c>
      <c r="AL27">
        <v>10.764279</v>
      </c>
      <c r="AM27">
        <v>35.789088999999997</v>
      </c>
      <c r="AN27">
        <f t="shared" si="0"/>
        <v>0.48694203653267215</v>
      </c>
    </row>
    <row r="28" spans="1:40" x14ac:dyDescent="0.25">
      <c r="A28">
        <v>25</v>
      </c>
      <c r="B28" t="s">
        <v>43</v>
      </c>
      <c r="C28">
        <v>1298.5</v>
      </c>
      <c r="D28">
        <v>15000</v>
      </c>
      <c r="E28">
        <v>-10.211963000000001</v>
      </c>
      <c r="F28">
        <v>-1525715.430257</v>
      </c>
      <c r="G28">
        <v>-1136860.3615619999</v>
      </c>
      <c r="H28">
        <v>247.418362</v>
      </c>
      <c r="I28">
        <v>122.352558</v>
      </c>
      <c r="J28">
        <v>29.939111</v>
      </c>
      <c r="K28">
        <v>3.3404889999999998</v>
      </c>
      <c r="L28" t="s">
        <v>44</v>
      </c>
      <c r="M28">
        <v>100.011257</v>
      </c>
      <c r="N28" s="2">
        <v>0.54789699999999997</v>
      </c>
      <c r="O28">
        <v>99.463359999999994</v>
      </c>
      <c r="P28">
        <v>0</v>
      </c>
      <c r="Q28">
        <v>0</v>
      </c>
      <c r="R28">
        <v>39.707982999999999</v>
      </c>
      <c r="S28">
        <v>0.98549399999999998</v>
      </c>
      <c r="T28">
        <v>14.396103999999999</v>
      </c>
      <c r="U28">
        <v>0.48635800000000001</v>
      </c>
      <c r="V28">
        <v>0</v>
      </c>
      <c r="W28">
        <v>16.888261</v>
      </c>
      <c r="X28">
        <v>7.6078999999999994E-2</v>
      </c>
      <c r="Y28">
        <v>9.2216120000000004</v>
      </c>
      <c r="Z28">
        <v>0</v>
      </c>
      <c r="AA28">
        <v>0</v>
      </c>
      <c r="AB28">
        <v>7.4429530000000002</v>
      </c>
      <c r="AC28">
        <v>7.1168800000000001</v>
      </c>
      <c r="AD28">
        <v>0</v>
      </c>
      <c r="AE28">
        <v>3.6782780000000002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52.916530999999999</v>
      </c>
      <c r="AL28">
        <v>10.711501999999999</v>
      </c>
      <c r="AM28">
        <v>35.835326999999999</v>
      </c>
      <c r="AN28">
        <f t="shared" si="0"/>
        <v>0.48683394458485962</v>
      </c>
    </row>
    <row r="29" spans="1:40" x14ac:dyDescent="0.25">
      <c r="A29">
        <v>26</v>
      </c>
      <c r="B29" t="s">
        <v>43</v>
      </c>
      <c r="C29">
        <v>1299</v>
      </c>
      <c r="D29">
        <v>15000</v>
      </c>
      <c r="E29">
        <v>-10.207350999999999</v>
      </c>
      <c r="F29">
        <v>-1525839.2326730001</v>
      </c>
      <c r="G29">
        <v>-1136791.7722819999</v>
      </c>
      <c r="H29">
        <v>247.46204900000001</v>
      </c>
      <c r="I29">
        <v>122.36071200000001</v>
      </c>
      <c r="J29">
        <v>29.940550000000002</v>
      </c>
      <c r="K29">
        <v>3.340328</v>
      </c>
      <c r="L29" t="s">
        <v>44</v>
      </c>
      <c r="M29">
        <v>100.011261</v>
      </c>
      <c r="N29" s="2">
        <v>0.560056</v>
      </c>
      <c r="O29">
        <v>99.451205000000002</v>
      </c>
      <c r="P29">
        <v>0</v>
      </c>
      <c r="Q29">
        <v>0</v>
      </c>
      <c r="R29">
        <v>39.795738</v>
      </c>
      <c r="S29">
        <v>0.988425</v>
      </c>
      <c r="T29">
        <v>14.403411999999999</v>
      </c>
      <c r="U29">
        <v>0.48541299999999998</v>
      </c>
      <c r="V29">
        <v>0</v>
      </c>
      <c r="W29">
        <v>16.934678000000002</v>
      </c>
      <c r="X29">
        <v>7.6002E-2</v>
      </c>
      <c r="Y29">
        <v>9.2420650000000002</v>
      </c>
      <c r="Z29">
        <v>0</v>
      </c>
      <c r="AA29">
        <v>0</v>
      </c>
      <c r="AB29">
        <v>7.3788910000000003</v>
      </c>
      <c r="AC29">
        <v>7.0969569999999997</v>
      </c>
      <c r="AD29">
        <v>0</v>
      </c>
      <c r="AE29">
        <v>3.5984180000000001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52.911095000000003</v>
      </c>
      <c r="AL29">
        <v>10.659625</v>
      </c>
      <c r="AM29">
        <v>35.880482000000001</v>
      </c>
      <c r="AN29">
        <f t="shared" si="0"/>
        <v>0.48673126300131281</v>
      </c>
    </row>
    <row r="30" spans="1:40" x14ac:dyDescent="0.25">
      <c r="A30">
        <v>27</v>
      </c>
      <c r="B30" t="s">
        <v>43</v>
      </c>
      <c r="C30">
        <v>1299.5</v>
      </c>
      <c r="D30">
        <v>15000</v>
      </c>
      <c r="E30">
        <v>-10.202742000000001</v>
      </c>
      <c r="F30">
        <v>-1525963.0554450001</v>
      </c>
      <c r="G30">
        <v>-1136723.0677489999</v>
      </c>
      <c r="H30">
        <v>247.50579400000001</v>
      </c>
      <c r="I30">
        <v>122.36895199999999</v>
      </c>
      <c r="J30">
        <v>29.941998000000002</v>
      </c>
      <c r="K30">
        <v>3.3401670000000001</v>
      </c>
      <c r="L30" t="s">
        <v>44</v>
      </c>
      <c r="M30">
        <v>100.01126499999999</v>
      </c>
      <c r="N30" s="2">
        <v>0.57249899999999998</v>
      </c>
      <c r="O30">
        <v>99.438766000000001</v>
      </c>
      <c r="P30">
        <v>0</v>
      </c>
      <c r="Q30">
        <v>0</v>
      </c>
      <c r="R30">
        <v>39.8812</v>
      </c>
      <c r="S30">
        <v>0.99129299999999998</v>
      </c>
      <c r="T30">
        <v>14.410116</v>
      </c>
      <c r="U30">
        <v>0.484489</v>
      </c>
      <c r="V30">
        <v>0</v>
      </c>
      <c r="W30">
        <v>16.980906000000001</v>
      </c>
      <c r="X30">
        <v>7.5927999999999995E-2</v>
      </c>
      <c r="Y30">
        <v>9.2626050000000006</v>
      </c>
      <c r="Z30">
        <v>0</v>
      </c>
      <c r="AA30">
        <v>0</v>
      </c>
      <c r="AB30">
        <v>7.3166659999999997</v>
      </c>
      <c r="AC30">
        <v>7.0765859999999998</v>
      </c>
      <c r="AD30">
        <v>0</v>
      </c>
      <c r="AE30">
        <v>3.5202119999999999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52.905560000000001</v>
      </c>
      <c r="AL30">
        <v>10.608658999999999</v>
      </c>
      <c r="AM30">
        <v>35.924545000000002</v>
      </c>
      <c r="AN30">
        <f t="shared" si="0"/>
        <v>0.48663386422305083</v>
      </c>
    </row>
    <row r="31" spans="1:40" x14ac:dyDescent="0.25">
      <c r="A31">
        <v>28</v>
      </c>
      <c r="B31" t="s">
        <v>43</v>
      </c>
      <c r="C31">
        <v>1300</v>
      </c>
      <c r="D31">
        <v>15000</v>
      </c>
      <c r="E31">
        <v>-10.198135000000001</v>
      </c>
      <c r="F31">
        <v>-1526086.898605</v>
      </c>
      <c r="G31">
        <v>-1136654.2465329999</v>
      </c>
      <c r="H31">
        <v>247.549599</v>
      </c>
      <c r="I31">
        <v>122.377281</v>
      </c>
      <c r="J31">
        <v>29.943456999999999</v>
      </c>
      <c r="K31">
        <v>3.340004</v>
      </c>
      <c r="L31" t="s">
        <v>44</v>
      </c>
      <c r="M31">
        <v>100.011269</v>
      </c>
      <c r="N31" s="2">
        <v>0.58522799999999997</v>
      </c>
      <c r="O31">
        <v>99.426040999999998</v>
      </c>
      <c r="P31">
        <v>0</v>
      </c>
      <c r="Q31">
        <v>0</v>
      </c>
      <c r="R31">
        <v>39.964385</v>
      </c>
      <c r="S31">
        <v>0.99409800000000004</v>
      </c>
      <c r="T31">
        <v>14.416219999999999</v>
      </c>
      <c r="U31">
        <v>0.48358400000000001</v>
      </c>
      <c r="V31">
        <v>0</v>
      </c>
      <c r="W31">
        <v>17.026948000000001</v>
      </c>
      <c r="X31">
        <v>7.5856000000000007E-2</v>
      </c>
      <c r="Y31">
        <v>9.2832369999999997</v>
      </c>
      <c r="Z31">
        <v>0</v>
      </c>
      <c r="AA31">
        <v>0</v>
      </c>
      <c r="AB31">
        <v>7.2562550000000003</v>
      </c>
      <c r="AC31">
        <v>7.055771</v>
      </c>
      <c r="AD31">
        <v>0</v>
      </c>
      <c r="AE31">
        <v>3.4436450000000001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52.899925000000003</v>
      </c>
      <c r="AL31">
        <v>10.558612999999999</v>
      </c>
      <c r="AM31">
        <v>35.967503000000001</v>
      </c>
      <c r="AN31">
        <f t="shared" si="0"/>
        <v>0.48654182729103895</v>
      </c>
    </row>
    <row r="32" spans="1:40" x14ac:dyDescent="0.25">
      <c r="A32">
        <v>29</v>
      </c>
      <c r="B32" t="s">
        <v>43</v>
      </c>
      <c r="C32">
        <v>1300.5</v>
      </c>
      <c r="D32">
        <v>15000</v>
      </c>
      <c r="E32">
        <v>-10.193531999999999</v>
      </c>
      <c r="F32">
        <v>-1526210.7621850001</v>
      </c>
      <c r="G32">
        <v>-1136585.3072289999</v>
      </c>
      <c r="H32">
        <v>247.59346400000001</v>
      </c>
      <c r="I32">
        <v>122.385699</v>
      </c>
      <c r="J32">
        <v>29.944927</v>
      </c>
      <c r="K32">
        <v>3.3398400000000001</v>
      </c>
      <c r="L32" t="s">
        <v>44</v>
      </c>
      <c r="M32">
        <v>100.01127200000001</v>
      </c>
      <c r="N32" s="2">
        <v>0.59824699999999997</v>
      </c>
      <c r="O32">
        <v>99.413025000000005</v>
      </c>
      <c r="P32">
        <v>0</v>
      </c>
      <c r="Q32">
        <v>0</v>
      </c>
      <c r="R32">
        <v>40.045310000000001</v>
      </c>
      <c r="S32">
        <v>0.99683900000000003</v>
      </c>
      <c r="T32">
        <v>14.42173</v>
      </c>
      <c r="U32">
        <v>0.48270000000000002</v>
      </c>
      <c r="V32">
        <v>0</v>
      </c>
      <c r="W32">
        <v>17.072813</v>
      </c>
      <c r="X32">
        <v>7.5786999999999993E-2</v>
      </c>
      <c r="Y32">
        <v>9.3039620000000003</v>
      </c>
      <c r="Z32">
        <v>0</v>
      </c>
      <c r="AA32">
        <v>0</v>
      </c>
      <c r="AB32">
        <v>7.1976389999999997</v>
      </c>
      <c r="AC32">
        <v>7.0345180000000003</v>
      </c>
      <c r="AD32">
        <v>0</v>
      </c>
      <c r="AE32">
        <v>3.3687019999999999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52.894188</v>
      </c>
      <c r="AL32">
        <v>10.509497</v>
      </c>
      <c r="AM32">
        <v>36.009338</v>
      </c>
      <c r="AN32">
        <f t="shared" si="0"/>
        <v>0.48645498621494165</v>
      </c>
    </row>
    <row r="33" spans="1:40" x14ac:dyDescent="0.25">
      <c r="A33">
        <v>30</v>
      </c>
      <c r="B33" t="s">
        <v>43</v>
      </c>
      <c r="C33">
        <v>1301</v>
      </c>
      <c r="D33">
        <v>15000</v>
      </c>
      <c r="E33">
        <v>-10.188931</v>
      </c>
      <c r="F33">
        <v>-1526334.64622</v>
      </c>
      <c r="G33">
        <v>-1136516.2484619999</v>
      </c>
      <c r="H33">
        <v>247.63739000000001</v>
      </c>
      <c r="I33">
        <v>122.39420800000001</v>
      </c>
      <c r="J33">
        <v>29.946406</v>
      </c>
      <c r="K33">
        <v>3.3396750000000002</v>
      </c>
      <c r="L33" t="s">
        <v>44</v>
      </c>
      <c r="M33">
        <v>100.011276</v>
      </c>
      <c r="N33" s="2">
        <v>0.61156100000000002</v>
      </c>
      <c r="O33">
        <v>99.399715</v>
      </c>
      <c r="P33">
        <v>0</v>
      </c>
      <c r="Q33">
        <v>0</v>
      </c>
      <c r="R33">
        <v>40.123997000000003</v>
      </c>
      <c r="S33">
        <v>0.99951800000000002</v>
      </c>
      <c r="T33">
        <v>14.426648999999999</v>
      </c>
      <c r="U33">
        <v>0.48183500000000001</v>
      </c>
      <c r="V33">
        <v>0</v>
      </c>
      <c r="W33">
        <v>17.118504000000001</v>
      </c>
      <c r="X33">
        <v>7.5719999999999996E-2</v>
      </c>
      <c r="Y33">
        <v>9.324783</v>
      </c>
      <c r="Z33">
        <v>0</v>
      </c>
      <c r="AA33">
        <v>0</v>
      </c>
      <c r="AB33">
        <v>7.1407949999999998</v>
      </c>
      <c r="AC33">
        <v>7.0128339999999998</v>
      </c>
      <c r="AD33">
        <v>0</v>
      </c>
      <c r="AE33">
        <v>3.295366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52.888348000000001</v>
      </c>
      <c r="AL33">
        <v>10.461319</v>
      </c>
      <c r="AM33">
        <v>36.050049000000001</v>
      </c>
      <c r="AN33">
        <f t="shared" si="0"/>
        <v>0.4863733669370911</v>
      </c>
    </row>
    <row r="34" spans="1:40" x14ac:dyDescent="0.25">
      <c r="A34">
        <v>31</v>
      </c>
      <c r="B34" t="s">
        <v>43</v>
      </c>
      <c r="C34">
        <v>1301.5</v>
      </c>
      <c r="D34">
        <v>15000</v>
      </c>
      <c r="E34">
        <v>-10.184334</v>
      </c>
      <c r="F34">
        <v>-1526458.5507489999</v>
      </c>
      <c r="G34">
        <v>-1136447.0688789999</v>
      </c>
      <c r="H34">
        <v>247.681378</v>
      </c>
      <c r="I34">
        <v>122.402809</v>
      </c>
      <c r="J34">
        <v>29.947896</v>
      </c>
      <c r="K34">
        <v>3.3395090000000001</v>
      </c>
      <c r="L34" t="s">
        <v>44</v>
      </c>
      <c r="M34">
        <v>100.01128</v>
      </c>
      <c r="N34" s="2">
        <v>0.62517199999999995</v>
      </c>
      <c r="O34">
        <v>99.386107999999993</v>
      </c>
      <c r="P34">
        <v>0</v>
      </c>
      <c r="Q34">
        <v>0</v>
      </c>
      <c r="R34">
        <v>40.200465999999999</v>
      </c>
      <c r="S34">
        <v>1.002135</v>
      </c>
      <c r="T34">
        <v>14.430984</v>
      </c>
      <c r="U34">
        <v>0.480989</v>
      </c>
      <c r="V34">
        <v>0</v>
      </c>
      <c r="W34">
        <v>17.164028999999999</v>
      </c>
      <c r="X34">
        <v>7.5653999999999999E-2</v>
      </c>
      <c r="Y34">
        <v>9.345701</v>
      </c>
      <c r="Z34">
        <v>0</v>
      </c>
      <c r="AA34">
        <v>0</v>
      </c>
      <c r="AB34">
        <v>7.085699</v>
      </c>
      <c r="AC34">
        <v>6.990723</v>
      </c>
      <c r="AD34">
        <v>0</v>
      </c>
      <c r="AE34">
        <v>3.2236199999999999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52.882404000000001</v>
      </c>
      <c r="AL34">
        <v>10.414088</v>
      </c>
      <c r="AM34">
        <v>36.089615000000002</v>
      </c>
      <c r="AN34">
        <f t="shared" si="0"/>
        <v>0.48629684520712757</v>
      </c>
    </row>
    <row r="35" spans="1:40" x14ac:dyDescent="0.25">
      <c r="A35">
        <v>32</v>
      </c>
      <c r="B35" t="s">
        <v>43</v>
      </c>
      <c r="C35">
        <v>1302</v>
      </c>
      <c r="D35">
        <v>15000</v>
      </c>
      <c r="E35">
        <v>-10.179739</v>
      </c>
      <c r="F35">
        <v>-1526582.475808</v>
      </c>
      <c r="G35">
        <v>-1136377.767158</v>
      </c>
      <c r="H35">
        <v>247.72542799999999</v>
      </c>
      <c r="I35">
        <v>122.411503</v>
      </c>
      <c r="J35">
        <v>29.949397000000001</v>
      </c>
      <c r="K35">
        <v>3.3393419999999998</v>
      </c>
      <c r="L35" t="s">
        <v>44</v>
      </c>
      <c r="M35">
        <v>100.01128300000001</v>
      </c>
      <c r="N35" s="2">
        <v>0.63908399999999999</v>
      </c>
      <c r="O35">
        <v>99.372198999999995</v>
      </c>
      <c r="P35">
        <v>0</v>
      </c>
      <c r="Q35">
        <v>0</v>
      </c>
      <c r="R35">
        <v>40.274740999999999</v>
      </c>
      <c r="S35">
        <v>1.0046889999999999</v>
      </c>
      <c r="T35">
        <v>14.43474</v>
      </c>
      <c r="U35">
        <v>0.48016199999999998</v>
      </c>
      <c r="V35">
        <v>0</v>
      </c>
      <c r="W35">
        <v>17.209392999999999</v>
      </c>
      <c r="X35">
        <v>7.5592000000000006E-2</v>
      </c>
      <c r="Y35">
        <v>9.3667189999999998</v>
      </c>
      <c r="Z35">
        <v>0</v>
      </c>
      <c r="AA35">
        <v>0</v>
      </c>
      <c r="AB35">
        <v>7.0323279999999997</v>
      </c>
      <c r="AC35">
        <v>6.9681930000000003</v>
      </c>
      <c r="AD35">
        <v>0</v>
      </c>
      <c r="AE35">
        <v>3.1534439999999999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52.876358000000003</v>
      </c>
      <c r="AL35">
        <v>10.367811</v>
      </c>
      <c r="AM35">
        <v>36.128028999999998</v>
      </c>
      <c r="AN35">
        <f t="shared" si="0"/>
        <v>0.48622539385191155</v>
      </c>
    </row>
    <row r="36" spans="1:40" x14ac:dyDescent="0.25">
      <c r="A36">
        <v>33</v>
      </c>
      <c r="B36" t="s">
        <v>43</v>
      </c>
      <c r="C36">
        <v>1302.5</v>
      </c>
      <c r="D36">
        <v>15000</v>
      </c>
      <c r="E36">
        <v>-10.175148</v>
      </c>
      <c r="F36">
        <v>-1526706.4214379999</v>
      </c>
      <c r="G36">
        <v>-1136308.3419979999</v>
      </c>
      <c r="H36">
        <v>247.769542</v>
      </c>
      <c r="I36">
        <v>122.42029100000001</v>
      </c>
      <c r="J36">
        <v>29.950907999999998</v>
      </c>
      <c r="K36">
        <v>3.3391739999999999</v>
      </c>
      <c r="L36" t="s">
        <v>44</v>
      </c>
      <c r="M36">
        <v>100.011286</v>
      </c>
      <c r="N36" s="2">
        <v>0.65330100000000002</v>
      </c>
      <c r="O36">
        <v>99.357984999999999</v>
      </c>
      <c r="P36">
        <v>0</v>
      </c>
      <c r="Q36">
        <v>0</v>
      </c>
      <c r="R36">
        <v>40.346846999999997</v>
      </c>
      <c r="S36">
        <v>1.0071810000000001</v>
      </c>
      <c r="T36">
        <v>14.437923</v>
      </c>
      <c r="U36">
        <v>0.479354</v>
      </c>
      <c r="V36">
        <v>0</v>
      </c>
      <c r="W36">
        <v>17.2546</v>
      </c>
      <c r="X36">
        <v>7.5531000000000001E-2</v>
      </c>
      <c r="Y36">
        <v>9.3878369999999993</v>
      </c>
      <c r="Z36">
        <v>0</v>
      </c>
      <c r="AA36">
        <v>0</v>
      </c>
      <c r="AB36">
        <v>6.9806559999999998</v>
      </c>
      <c r="AC36">
        <v>6.9452499999999997</v>
      </c>
      <c r="AD36">
        <v>0</v>
      </c>
      <c r="AE36">
        <v>3.084819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52.870204999999999</v>
      </c>
      <c r="AL36">
        <v>10.322498</v>
      </c>
      <c r="AM36">
        <v>36.165283000000002</v>
      </c>
      <c r="AN36">
        <f t="shared" si="0"/>
        <v>0.48615892031134145</v>
      </c>
    </row>
    <row r="37" spans="1:40" x14ac:dyDescent="0.25">
      <c r="A37">
        <v>34</v>
      </c>
      <c r="B37" t="s">
        <v>43</v>
      </c>
      <c r="C37">
        <v>1303</v>
      </c>
      <c r="D37">
        <v>15000</v>
      </c>
      <c r="E37">
        <v>-10.170559000000001</v>
      </c>
      <c r="F37">
        <v>-1526830.3876809999</v>
      </c>
      <c r="G37">
        <v>-1136238.7921229999</v>
      </c>
      <c r="H37">
        <v>247.81371999999999</v>
      </c>
      <c r="I37">
        <v>122.429175</v>
      </c>
      <c r="J37">
        <v>29.95243</v>
      </c>
      <c r="K37">
        <v>3.3390040000000001</v>
      </c>
      <c r="L37" t="s">
        <v>44</v>
      </c>
      <c r="M37">
        <v>100.01129</v>
      </c>
      <c r="N37" s="2">
        <v>0.66782699999999995</v>
      </c>
      <c r="O37">
        <v>99.343463</v>
      </c>
      <c r="P37">
        <v>0</v>
      </c>
      <c r="Q37">
        <v>0</v>
      </c>
      <c r="R37">
        <v>40.416811000000003</v>
      </c>
      <c r="S37">
        <v>1.009611</v>
      </c>
      <c r="T37">
        <v>14.44054</v>
      </c>
      <c r="U37">
        <v>0.47856500000000002</v>
      </c>
      <c r="V37">
        <v>0</v>
      </c>
      <c r="W37">
        <v>17.299655999999999</v>
      </c>
      <c r="X37">
        <v>7.5472999999999998E-2</v>
      </c>
      <c r="Y37">
        <v>9.4090589999999992</v>
      </c>
      <c r="Z37">
        <v>0</v>
      </c>
      <c r="AA37">
        <v>0</v>
      </c>
      <c r="AB37">
        <v>6.9306590000000003</v>
      </c>
      <c r="AC37">
        <v>6.9219010000000001</v>
      </c>
      <c r="AD37">
        <v>0</v>
      </c>
      <c r="AE37">
        <v>3.0177239999999999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52.863945000000001</v>
      </c>
      <c r="AL37">
        <v>10.278154000000001</v>
      </c>
      <c r="AM37">
        <v>36.201363000000001</v>
      </c>
      <c r="AN37">
        <f t="shared" si="0"/>
        <v>0.48609741092517589</v>
      </c>
    </row>
    <row r="38" spans="1:40" x14ac:dyDescent="0.25">
      <c r="A38">
        <v>35</v>
      </c>
      <c r="B38" t="s">
        <v>43</v>
      </c>
      <c r="C38">
        <v>1303.5</v>
      </c>
      <c r="D38">
        <v>15000</v>
      </c>
      <c r="E38">
        <v>-10.165972999999999</v>
      </c>
      <c r="F38">
        <v>-1526954.3745800001</v>
      </c>
      <c r="G38">
        <v>-1136169.1162769999</v>
      </c>
      <c r="H38">
        <v>247.85796400000001</v>
      </c>
      <c r="I38">
        <v>122.43815600000001</v>
      </c>
      <c r="J38">
        <v>29.953962000000001</v>
      </c>
      <c r="K38">
        <v>3.3388339999999999</v>
      </c>
      <c r="L38" t="s">
        <v>44</v>
      </c>
      <c r="M38">
        <v>100.01129299999999</v>
      </c>
      <c r="N38" s="2">
        <v>0.68266300000000002</v>
      </c>
      <c r="O38">
        <v>99.328630000000004</v>
      </c>
      <c r="P38">
        <v>0</v>
      </c>
      <c r="Q38">
        <v>0</v>
      </c>
      <c r="R38">
        <v>40.484661000000003</v>
      </c>
      <c r="S38">
        <v>1.0119800000000001</v>
      </c>
      <c r="T38">
        <v>14.442598</v>
      </c>
      <c r="U38">
        <v>0.477794</v>
      </c>
      <c r="V38">
        <v>0</v>
      </c>
      <c r="W38">
        <v>17.344567000000001</v>
      </c>
      <c r="X38">
        <v>7.5416999999999998E-2</v>
      </c>
      <c r="Y38">
        <v>9.4303840000000001</v>
      </c>
      <c r="Z38">
        <v>0</v>
      </c>
      <c r="AA38">
        <v>0</v>
      </c>
      <c r="AB38">
        <v>6.8823080000000001</v>
      </c>
      <c r="AC38">
        <v>6.8981519999999996</v>
      </c>
      <c r="AD38">
        <v>0</v>
      </c>
      <c r="AE38">
        <v>2.9521389999999998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52.857577999999997</v>
      </c>
      <c r="AL38">
        <v>10.234788999999999</v>
      </c>
      <c r="AM38">
        <v>36.236263000000001</v>
      </c>
      <c r="AN38">
        <f t="shared" si="0"/>
        <v>0.48604073241755302</v>
      </c>
    </row>
    <row r="39" spans="1:40" x14ac:dyDescent="0.25">
      <c r="A39">
        <v>36</v>
      </c>
      <c r="B39" t="s">
        <v>43</v>
      </c>
      <c r="C39">
        <v>1304</v>
      </c>
      <c r="D39">
        <v>15000</v>
      </c>
      <c r="E39">
        <v>-10.161390000000001</v>
      </c>
      <c r="F39">
        <v>-1527078.3821789999</v>
      </c>
      <c r="G39">
        <v>-1136099.3132249999</v>
      </c>
      <c r="H39">
        <v>247.90227200000001</v>
      </c>
      <c r="I39">
        <v>122.44723500000001</v>
      </c>
      <c r="J39">
        <v>29.955504999999999</v>
      </c>
      <c r="K39">
        <v>3.3386619999999998</v>
      </c>
      <c r="L39" t="s">
        <v>44</v>
      </c>
      <c r="M39">
        <v>100.011296</v>
      </c>
      <c r="N39" s="2">
        <v>0.69781499999999996</v>
      </c>
      <c r="O39">
        <v>99.313481999999993</v>
      </c>
      <c r="P39">
        <v>0</v>
      </c>
      <c r="Q39">
        <v>0</v>
      </c>
      <c r="R39">
        <v>40.550424999999997</v>
      </c>
      <c r="S39">
        <v>1.0142880000000001</v>
      </c>
      <c r="T39">
        <v>14.444103999999999</v>
      </c>
      <c r="U39">
        <v>0.47704000000000002</v>
      </c>
      <c r="V39">
        <v>0</v>
      </c>
      <c r="W39">
        <v>17.389336</v>
      </c>
      <c r="X39">
        <v>7.5362999999999999E-2</v>
      </c>
      <c r="Y39">
        <v>9.4518140000000006</v>
      </c>
      <c r="Z39">
        <v>0</v>
      </c>
      <c r="AA39">
        <v>0</v>
      </c>
      <c r="AB39">
        <v>6.8355790000000001</v>
      </c>
      <c r="AC39">
        <v>6.8740119999999996</v>
      </c>
      <c r="AD39">
        <v>0</v>
      </c>
      <c r="AE39">
        <v>2.888039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52.851104999999997</v>
      </c>
      <c r="AL39">
        <v>10.192406999999999</v>
      </c>
      <c r="AM39">
        <v>36.269970000000001</v>
      </c>
      <c r="AN39">
        <f t="shared" si="0"/>
        <v>0.48598887409871872</v>
      </c>
    </row>
    <row r="40" spans="1:40" x14ac:dyDescent="0.25">
      <c r="A40">
        <v>37</v>
      </c>
      <c r="B40" t="s">
        <v>43</v>
      </c>
      <c r="C40">
        <v>1304.5</v>
      </c>
      <c r="D40">
        <v>15000</v>
      </c>
      <c r="E40">
        <v>-10.15681</v>
      </c>
      <c r="F40">
        <v>-1527202.4105229999</v>
      </c>
      <c r="G40">
        <v>-1136029.3817509999</v>
      </c>
      <c r="H40">
        <v>247.94664800000001</v>
      </c>
      <c r="I40">
        <v>122.456412</v>
      </c>
      <c r="J40">
        <v>29.957059000000001</v>
      </c>
      <c r="K40">
        <v>3.338489</v>
      </c>
      <c r="L40" t="s">
        <v>44</v>
      </c>
      <c r="M40">
        <v>100.01129899999999</v>
      </c>
      <c r="N40" s="2">
        <v>0.71328400000000003</v>
      </c>
      <c r="O40">
        <v>99.298015000000007</v>
      </c>
      <c r="P40">
        <v>0</v>
      </c>
      <c r="Q40">
        <v>0</v>
      </c>
      <c r="R40">
        <v>40.614134</v>
      </c>
      <c r="S40">
        <v>1.016535</v>
      </c>
      <c r="T40">
        <v>14.445064</v>
      </c>
      <c r="U40">
        <v>0.47630400000000001</v>
      </c>
      <c r="V40">
        <v>0</v>
      </c>
      <c r="W40">
        <v>17.433969000000001</v>
      </c>
      <c r="X40">
        <v>7.5312000000000004E-2</v>
      </c>
      <c r="Y40">
        <v>9.4733499999999999</v>
      </c>
      <c r="Z40">
        <v>0</v>
      </c>
      <c r="AA40">
        <v>0</v>
      </c>
      <c r="AB40">
        <v>6.7904429999999998</v>
      </c>
      <c r="AC40">
        <v>6.8494859999999997</v>
      </c>
      <c r="AD40">
        <v>0</v>
      </c>
      <c r="AE40">
        <v>2.8254030000000001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52.844521</v>
      </c>
      <c r="AL40">
        <v>10.151016</v>
      </c>
      <c r="AM40">
        <v>36.302478999999998</v>
      </c>
      <c r="AN40">
        <f t="shared" si="0"/>
        <v>0.4859417318700473</v>
      </c>
    </row>
    <row r="41" spans="1:40" x14ac:dyDescent="0.25">
      <c r="A41">
        <v>38</v>
      </c>
      <c r="B41" t="s">
        <v>43</v>
      </c>
      <c r="C41">
        <v>1305</v>
      </c>
      <c r="D41">
        <v>15000</v>
      </c>
      <c r="E41">
        <v>-10.152233000000001</v>
      </c>
      <c r="F41">
        <v>-1527326.4596609999</v>
      </c>
      <c r="G41">
        <v>-1135959.3206539999</v>
      </c>
      <c r="H41">
        <v>247.99109000000001</v>
      </c>
      <c r="I41">
        <v>122.46569</v>
      </c>
      <c r="J41">
        <v>29.958624</v>
      </c>
      <c r="K41">
        <v>3.338314</v>
      </c>
      <c r="L41" t="s">
        <v>44</v>
      </c>
      <c r="M41">
        <v>100.011302</v>
      </c>
      <c r="N41" s="2">
        <v>0.72907599999999995</v>
      </c>
      <c r="O41">
        <v>99.282227000000006</v>
      </c>
      <c r="P41">
        <v>0</v>
      </c>
      <c r="Q41">
        <v>0</v>
      </c>
      <c r="R41">
        <v>40.675820000000002</v>
      </c>
      <c r="S41">
        <v>1.0187219999999999</v>
      </c>
      <c r="T41">
        <v>14.445486000000001</v>
      </c>
      <c r="U41">
        <v>0.47558499999999998</v>
      </c>
      <c r="V41">
        <v>0</v>
      </c>
      <c r="W41">
        <v>17.478470000000002</v>
      </c>
      <c r="X41">
        <v>7.5261999999999996E-2</v>
      </c>
      <c r="Y41">
        <v>9.4949919999999999</v>
      </c>
      <c r="Z41">
        <v>0</v>
      </c>
      <c r="AA41">
        <v>0</v>
      </c>
      <c r="AB41">
        <v>6.7468719999999998</v>
      </c>
      <c r="AC41">
        <v>6.8245820000000004</v>
      </c>
      <c r="AD41">
        <v>0</v>
      </c>
      <c r="AE41">
        <v>2.764208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52.837829999999997</v>
      </c>
      <c r="AL41">
        <v>10.110621999999999</v>
      </c>
      <c r="AM41">
        <v>36.333775000000003</v>
      </c>
      <c r="AN41">
        <f t="shared" si="0"/>
        <v>0.48589922931274721</v>
      </c>
    </row>
    <row r="42" spans="1:40" x14ac:dyDescent="0.25">
      <c r="A42">
        <v>39</v>
      </c>
      <c r="B42" t="s">
        <v>43</v>
      </c>
      <c r="C42">
        <v>1305.5</v>
      </c>
      <c r="D42">
        <v>15000</v>
      </c>
      <c r="E42">
        <v>-10.147659000000001</v>
      </c>
      <c r="F42">
        <v>-1527450.5296400001</v>
      </c>
      <c r="G42">
        <v>-1135889.1287479999</v>
      </c>
      <c r="H42">
        <v>248.03560100000001</v>
      </c>
      <c r="I42">
        <v>122.47507</v>
      </c>
      <c r="J42">
        <v>29.960198999999999</v>
      </c>
      <c r="K42">
        <v>3.338139</v>
      </c>
      <c r="L42" t="s">
        <v>44</v>
      </c>
      <c r="M42">
        <v>100.011306</v>
      </c>
      <c r="N42" s="2">
        <v>0.74519100000000005</v>
      </c>
      <c r="O42">
        <v>99.266114000000002</v>
      </c>
      <c r="P42">
        <v>0</v>
      </c>
      <c r="Q42">
        <v>0</v>
      </c>
      <c r="R42">
        <v>40.735514000000002</v>
      </c>
      <c r="S42">
        <v>1.0208489999999999</v>
      </c>
      <c r="T42">
        <v>14.445379000000001</v>
      </c>
      <c r="U42">
        <v>0.474883</v>
      </c>
      <c r="V42">
        <v>0</v>
      </c>
      <c r="W42">
        <v>17.522843000000002</v>
      </c>
      <c r="X42">
        <v>7.5215000000000004E-2</v>
      </c>
      <c r="Y42">
        <v>9.5167409999999997</v>
      </c>
      <c r="Z42">
        <v>0</v>
      </c>
      <c r="AA42">
        <v>0</v>
      </c>
      <c r="AB42">
        <v>6.7048370000000004</v>
      </c>
      <c r="AC42">
        <v>6.799309</v>
      </c>
      <c r="AD42">
        <v>0</v>
      </c>
      <c r="AE42">
        <v>2.7044280000000001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52.831028000000003</v>
      </c>
      <c r="AL42">
        <v>10.071232</v>
      </c>
      <c r="AM42">
        <v>36.363857000000003</v>
      </c>
      <c r="AN42">
        <f t="shared" si="0"/>
        <v>0.48586130441160003</v>
      </c>
    </row>
    <row r="43" spans="1:40" x14ac:dyDescent="0.25">
      <c r="A43">
        <v>40</v>
      </c>
      <c r="B43" t="s">
        <v>43</v>
      </c>
      <c r="C43">
        <v>1306</v>
      </c>
      <c r="D43">
        <v>15000</v>
      </c>
      <c r="E43">
        <v>-10.143087</v>
      </c>
      <c r="F43">
        <v>-1527574.620511</v>
      </c>
      <c r="G43">
        <v>-1135818.804859</v>
      </c>
      <c r="H43">
        <v>248.08018000000001</v>
      </c>
      <c r="I43">
        <v>122.484551</v>
      </c>
      <c r="J43">
        <v>29.961784999999999</v>
      </c>
      <c r="K43">
        <v>3.3379620000000001</v>
      </c>
      <c r="L43" t="s">
        <v>44</v>
      </c>
      <c r="M43">
        <v>100.011308</v>
      </c>
      <c r="N43" s="2">
        <v>0.76163499999999995</v>
      </c>
      <c r="O43">
        <v>99.249673000000001</v>
      </c>
      <c r="P43">
        <v>0</v>
      </c>
      <c r="Q43">
        <v>0</v>
      </c>
      <c r="R43">
        <v>40.793250999999998</v>
      </c>
      <c r="S43">
        <v>1.0229170000000001</v>
      </c>
      <c r="T43">
        <v>14.444749</v>
      </c>
      <c r="U43">
        <v>0.47419800000000001</v>
      </c>
      <c r="V43">
        <v>0</v>
      </c>
      <c r="W43">
        <v>17.567093</v>
      </c>
      <c r="X43">
        <v>7.5170000000000001E-2</v>
      </c>
      <c r="Y43">
        <v>9.5385980000000004</v>
      </c>
      <c r="Z43">
        <v>0</v>
      </c>
      <c r="AA43">
        <v>0</v>
      </c>
      <c r="AB43">
        <v>6.6643109999999997</v>
      </c>
      <c r="AC43">
        <v>6.7736739999999998</v>
      </c>
      <c r="AD43">
        <v>0</v>
      </c>
      <c r="AE43">
        <v>2.6460400000000002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52.824112</v>
      </c>
      <c r="AL43">
        <v>10.032851000000001</v>
      </c>
      <c r="AM43">
        <v>36.392707999999999</v>
      </c>
      <c r="AN43">
        <f t="shared" si="0"/>
        <v>0.48582788181885583</v>
      </c>
    </row>
    <row r="44" spans="1:40" x14ac:dyDescent="0.25">
      <c r="A44">
        <v>41</v>
      </c>
      <c r="B44" t="s">
        <v>43</v>
      </c>
      <c r="C44">
        <v>1306.5</v>
      </c>
      <c r="D44">
        <v>15000</v>
      </c>
      <c r="E44">
        <v>-10.138519000000001</v>
      </c>
      <c r="F44">
        <v>-1527698.732324</v>
      </c>
      <c r="G44">
        <v>-1135748.347822</v>
      </c>
      <c r="H44">
        <v>248.12482800000001</v>
      </c>
      <c r="I44">
        <v>122.49413699999999</v>
      </c>
      <c r="J44">
        <v>29.963381999999999</v>
      </c>
      <c r="K44">
        <v>3.3377840000000001</v>
      </c>
      <c r="L44" t="s">
        <v>44</v>
      </c>
      <c r="M44">
        <v>100.01131100000001</v>
      </c>
      <c r="N44" s="2">
        <v>0.77841000000000005</v>
      </c>
      <c r="O44">
        <v>99.232901999999996</v>
      </c>
      <c r="P44">
        <v>0</v>
      </c>
      <c r="Q44">
        <v>0</v>
      </c>
      <c r="R44">
        <v>40.849063999999998</v>
      </c>
      <c r="S44">
        <v>1.0249250000000001</v>
      </c>
      <c r="T44">
        <v>14.443605</v>
      </c>
      <c r="U44">
        <v>0.473528</v>
      </c>
      <c r="V44">
        <v>0</v>
      </c>
      <c r="W44">
        <v>17.611222000000001</v>
      </c>
      <c r="X44">
        <v>7.5126999999999999E-2</v>
      </c>
      <c r="Y44">
        <v>9.5605619999999991</v>
      </c>
      <c r="Z44">
        <v>0</v>
      </c>
      <c r="AA44">
        <v>0</v>
      </c>
      <c r="AB44">
        <v>6.6252639999999996</v>
      </c>
      <c r="AC44">
        <v>6.7476839999999996</v>
      </c>
      <c r="AD44">
        <v>0</v>
      </c>
      <c r="AE44">
        <v>2.5890179999999998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52.817089000000003</v>
      </c>
      <c r="AL44">
        <v>9.9954850000000004</v>
      </c>
      <c r="AM44">
        <v>36.420326000000003</v>
      </c>
      <c r="AN44">
        <f t="shared" si="0"/>
        <v>0.48579890107711904</v>
      </c>
    </row>
    <row r="45" spans="1:40" x14ac:dyDescent="0.25">
      <c r="A45">
        <v>42</v>
      </c>
      <c r="B45" t="s">
        <v>43</v>
      </c>
      <c r="C45">
        <v>1307</v>
      </c>
      <c r="D45">
        <v>15000</v>
      </c>
      <c r="E45">
        <v>-10.133953</v>
      </c>
      <c r="F45">
        <v>-1527822.86513</v>
      </c>
      <c r="G45">
        <v>-1135677.75648</v>
      </c>
      <c r="H45">
        <v>248.169546</v>
      </c>
      <c r="I45">
        <v>122.503828</v>
      </c>
      <c r="J45">
        <v>29.964991000000001</v>
      </c>
      <c r="K45">
        <v>3.3376049999999999</v>
      </c>
      <c r="L45" t="s">
        <v>44</v>
      </c>
      <c r="M45">
        <v>100.011314</v>
      </c>
      <c r="N45" s="2">
        <v>0.79551799999999995</v>
      </c>
      <c r="O45">
        <v>99.215795999999997</v>
      </c>
      <c r="P45">
        <v>0</v>
      </c>
      <c r="Q45">
        <v>0</v>
      </c>
      <c r="R45">
        <v>40.902988000000001</v>
      </c>
      <c r="S45">
        <v>1.026875</v>
      </c>
      <c r="T45">
        <v>14.441955</v>
      </c>
      <c r="U45">
        <v>0.47287499999999999</v>
      </c>
      <c r="V45">
        <v>0</v>
      </c>
      <c r="W45">
        <v>17.655235000000001</v>
      </c>
      <c r="X45">
        <v>7.5086E-2</v>
      </c>
      <c r="Y45">
        <v>9.5826329999999995</v>
      </c>
      <c r="Z45">
        <v>0</v>
      </c>
      <c r="AA45">
        <v>0</v>
      </c>
      <c r="AB45">
        <v>6.5876669999999997</v>
      </c>
      <c r="AC45">
        <v>6.7213479999999999</v>
      </c>
      <c r="AD45">
        <v>0</v>
      </c>
      <c r="AE45">
        <v>2.533337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52.809952000000003</v>
      </c>
      <c r="AL45">
        <v>9.9591410000000007</v>
      </c>
      <c r="AM45">
        <v>36.446700999999997</v>
      </c>
      <c r="AN45">
        <f t="shared" si="0"/>
        <v>0.48577423711331663</v>
      </c>
    </row>
    <row r="46" spans="1:40" x14ac:dyDescent="0.25">
      <c r="A46">
        <v>43</v>
      </c>
      <c r="B46" t="s">
        <v>43</v>
      </c>
      <c r="C46">
        <v>1307.5</v>
      </c>
      <c r="D46">
        <v>15000</v>
      </c>
      <c r="E46">
        <v>-10.129391</v>
      </c>
      <c r="F46">
        <v>-1527947.018983</v>
      </c>
      <c r="G46">
        <v>-1135607.0296799999</v>
      </c>
      <c r="H46">
        <v>248.21433500000001</v>
      </c>
      <c r="I46">
        <v>122.51362399999999</v>
      </c>
      <c r="J46">
        <v>29.966609999999999</v>
      </c>
      <c r="K46">
        <v>3.3374250000000001</v>
      </c>
      <c r="L46" t="s">
        <v>44</v>
      </c>
      <c r="M46">
        <v>100.01131700000001</v>
      </c>
      <c r="N46" s="2">
        <v>0.81296500000000005</v>
      </c>
      <c r="O46">
        <v>99.198352</v>
      </c>
      <c r="P46">
        <v>0</v>
      </c>
      <c r="Q46">
        <v>0</v>
      </c>
      <c r="R46">
        <v>40.955058000000001</v>
      </c>
      <c r="S46">
        <v>1.028767</v>
      </c>
      <c r="T46">
        <v>14.439807999999999</v>
      </c>
      <c r="U46">
        <v>0.47223700000000002</v>
      </c>
      <c r="V46">
        <v>0</v>
      </c>
      <c r="W46">
        <v>17.699134999999998</v>
      </c>
      <c r="X46">
        <v>7.5048000000000004E-2</v>
      </c>
      <c r="Y46">
        <v>9.6048109999999998</v>
      </c>
      <c r="Z46">
        <v>0</v>
      </c>
      <c r="AA46">
        <v>0</v>
      </c>
      <c r="AB46">
        <v>6.5514900000000003</v>
      </c>
      <c r="AC46">
        <v>6.694674</v>
      </c>
      <c r="AD46">
        <v>0</v>
      </c>
      <c r="AE46">
        <v>2.4789720000000002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52.802703999999999</v>
      </c>
      <c r="AL46">
        <v>9.9238230000000005</v>
      </c>
      <c r="AM46">
        <v>36.471828000000002</v>
      </c>
      <c r="AN46">
        <f t="shared" si="0"/>
        <v>0.48575384316547832</v>
      </c>
    </row>
    <row r="47" spans="1:40" x14ac:dyDescent="0.25">
      <c r="A47">
        <v>44</v>
      </c>
      <c r="B47" t="s">
        <v>43</v>
      </c>
      <c r="C47">
        <v>1308</v>
      </c>
      <c r="D47">
        <v>15000</v>
      </c>
      <c r="E47">
        <v>-10.124831</v>
      </c>
      <c r="F47">
        <v>-1528071.1939360001</v>
      </c>
      <c r="G47">
        <v>-1135536.166273</v>
      </c>
      <c r="H47">
        <v>248.259196</v>
      </c>
      <c r="I47">
        <v>122.523528</v>
      </c>
      <c r="J47">
        <v>29.968240000000002</v>
      </c>
      <c r="K47">
        <v>3.3372440000000001</v>
      </c>
      <c r="L47" t="s">
        <v>44</v>
      </c>
      <c r="M47">
        <v>100.01132</v>
      </c>
      <c r="N47" s="2">
        <v>0.83075100000000002</v>
      </c>
      <c r="O47">
        <v>99.180567999999994</v>
      </c>
      <c r="P47">
        <v>0</v>
      </c>
      <c r="Q47">
        <v>0</v>
      </c>
      <c r="R47">
        <v>41.005310999999999</v>
      </c>
      <c r="S47">
        <v>1.0306010000000001</v>
      </c>
      <c r="T47">
        <v>14.437170999999999</v>
      </c>
      <c r="U47">
        <v>0.47161399999999998</v>
      </c>
      <c r="V47">
        <v>0</v>
      </c>
      <c r="W47">
        <v>17.742926000000001</v>
      </c>
      <c r="X47">
        <v>7.5010999999999994E-2</v>
      </c>
      <c r="Y47">
        <v>9.6270959999999999</v>
      </c>
      <c r="Z47">
        <v>0</v>
      </c>
      <c r="AA47">
        <v>0</v>
      </c>
      <c r="AB47">
        <v>6.516705</v>
      </c>
      <c r="AC47">
        <v>6.6676690000000001</v>
      </c>
      <c r="AD47">
        <v>0</v>
      </c>
      <c r="AE47">
        <v>2.4258959999999998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52.795338000000001</v>
      </c>
      <c r="AL47">
        <v>9.8895370000000007</v>
      </c>
      <c r="AM47">
        <v>36.495693000000003</v>
      </c>
      <c r="AN47">
        <f t="shared" si="0"/>
        <v>0.48573763434775352</v>
      </c>
    </row>
    <row r="48" spans="1:40" x14ac:dyDescent="0.25">
      <c r="A48">
        <v>45</v>
      </c>
      <c r="B48" t="s">
        <v>43</v>
      </c>
      <c r="C48">
        <v>1308.5</v>
      </c>
      <c r="D48">
        <v>15000</v>
      </c>
      <c r="E48">
        <v>-10.120274</v>
      </c>
      <c r="F48">
        <v>-1528195.390045</v>
      </c>
      <c r="G48">
        <v>-1135465.1651079999</v>
      </c>
      <c r="H48">
        <v>248.30412899999999</v>
      </c>
      <c r="I48">
        <v>122.53354</v>
      </c>
      <c r="J48">
        <v>29.969881000000001</v>
      </c>
      <c r="K48">
        <v>3.3370609999999998</v>
      </c>
      <c r="L48" t="s">
        <v>44</v>
      </c>
      <c r="M48">
        <v>100.01132200000001</v>
      </c>
      <c r="N48" s="2">
        <v>0.84888200000000003</v>
      </c>
      <c r="O48">
        <v>99.162440000000004</v>
      </c>
      <c r="P48">
        <v>0</v>
      </c>
      <c r="Q48">
        <v>0</v>
      </c>
      <c r="R48">
        <v>41.053783000000003</v>
      </c>
      <c r="S48">
        <v>1.0323770000000001</v>
      </c>
      <c r="T48">
        <v>14.434053</v>
      </c>
      <c r="U48">
        <v>0.47100700000000001</v>
      </c>
      <c r="V48">
        <v>0</v>
      </c>
      <c r="W48">
        <v>17.78661</v>
      </c>
      <c r="X48">
        <v>7.4976000000000001E-2</v>
      </c>
      <c r="Y48">
        <v>9.6494870000000006</v>
      </c>
      <c r="Z48">
        <v>0</v>
      </c>
      <c r="AA48">
        <v>0</v>
      </c>
      <c r="AB48">
        <v>6.4832809999999998</v>
      </c>
      <c r="AC48">
        <v>6.6403420000000004</v>
      </c>
      <c r="AD48">
        <v>0</v>
      </c>
      <c r="AE48">
        <v>2.3740839999999999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52.787860999999999</v>
      </c>
      <c r="AL48">
        <v>9.8562879999999993</v>
      </c>
      <c r="AM48">
        <v>36.518290999999998</v>
      </c>
      <c r="AN48">
        <f t="shared" si="0"/>
        <v>0.48572551571187561</v>
      </c>
    </row>
    <row r="49" spans="1:40" x14ac:dyDescent="0.25">
      <c r="A49">
        <v>46</v>
      </c>
      <c r="B49" t="s">
        <v>43</v>
      </c>
      <c r="C49">
        <v>1309</v>
      </c>
      <c r="D49">
        <v>15000</v>
      </c>
      <c r="E49">
        <v>-10.11572</v>
      </c>
      <c r="F49">
        <v>-1528319.6073650001</v>
      </c>
      <c r="G49">
        <v>-1135394.0250339999</v>
      </c>
      <c r="H49">
        <v>248.34913399999999</v>
      </c>
      <c r="I49">
        <v>122.543661</v>
      </c>
      <c r="J49">
        <v>29.971533000000001</v>
      </c>
      <c r="K49">
        <v>3.3368769999999999</v>
      </c>
      <c r="L49" t="s">
        <v>44</v>
      </c>
      <c r="M49">
        <v>100.011325</v>
      </c>
      <c r="N49" s="2">
        <v>0.86735899999999999</v>
      </c>
      <c r="O49">
        <v>99.143966000000006</v>
      </c>
      <c r="P49">
        <v>0</v>
      </c>
      <c r="Q49">
        <v>0</v>
      </c>
      <c r="R49">
        <v>41.10051</v>
      </c>
      <c r="S49">
        <v>1.034097</v>
      </c>
      <c r="T49">
        <v>14.430463</v>
      </c>
      <c r="U49">
        <v>0.47041300000000003</v>
      </c>
      <c r="V49">
        <v>0</v>
      </c>
      <c r="W49">
        <v>17.830189000000001</v>
      </c>
      <c r="X49">
        <v>7.4943999999999997E-2</v>
      </c>
      <c r="Y49">
        <v>9.6719830000000009</v>
      </c>
      <c r="Z49">
        <v>0</v>
      </c>
      <c r="AA49">
        <v>0</v>
      </c>
      <c r="AB49">
        <v>6.4511900000000004</v>
      </c>
      <c r="AC49">
        <v>6.6127010000000004</v>
      </c>
      <c r="AD49">
        <v>0</v>
      </c>
      <c r="AE49">
        <v>2.323509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52.780270000000002</v>
      </c>
      <c r="AL49">
        <v>9.8240809999999996</v>
      </c>
      <c r="AM49">
        <v>36.539616000000002</v>
      </c>
      <c r="AN49">
        <f t="shared" si="0"/>
        <v>0.48571744239810449</v>
      </c>
    </row>
    <row r="50" spans="1:40" x14ac:dyDescent="0.25">
      <c r="A50">
        <v>47</v>
      </c>
      <c r="B50" t="s">
        <v>43</v>
      </c>
      <c r="C50">
        <v>1309.5</v>
      </c>
      <c r="D50">
        <v>15000</v>
      </c>
      <c r="E50">
        <v>-10.111169</v>
      </c>
      <c r="F50">
        <v>-1528443.845951</v>
      </c>
      <c r="G50">
        <v>-1135322.744893</v>
      </c>
      <c r="H50">
        <v>248.39421300000001</v>
      </c>
      <c r="I50">
        <v>122.553893</v>
      </c>
      <c r="J50">
        <v>29.973196000000002</v>
      </c>
      <c r="K50">
        <v>3.3366920000000002</v>
      </c>
      <c r="L50" t="s">
        <v>44</v>
      </c>
      <c r="M50">
        <v>100.01132699999999</v>
      </c>
      <c r="N50" s="2">
        <v>0.88618600000000003</v>
      </c>
      <c r="O50">
        <v>99.125140999999999</v>
      </c>
      <c r="P50">
        <v>0</v>
      </c>
      <c r="Q50">
        <v>0</v>
      </c>
      <c r="R50">
        <v>41.145529000000003</v>
      </c>
      <c r="S50">
        <v>1.03576</v>
      </c>
      <c r="T50">
        <v>14.426409</v>
      </c>
      <c r="U50">
        <v>0.46983399999999997</v>
      </c>
      <c r="V50">
        <v>0</v>
      </c>
      <c r="W50">
        <v>17.873667999999999</v>
      </c>
      <c r="X50">
        <v>7.4912999999999993E-2</v>
      </c>
      <c r="Y50">
        <v>9.694585</v>
      </c>
      <c r="Z50">
        <v>0</v>
      </c>
      <c r="AA50">
        <v>0</v>
      </c>
      <c r="AB50">
        <v>6.4204020000000002</v>
      </c>
      <c r="AC50">
        <v>6.5847540000000002</v>
      </c>
      <c r="AD50">
        <v>0</v>
      </c>
      <c r="AE50">
        <v>2.2741449999999999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52.772559999999999</v>
      </c>
      <c r="AL50">
        <v>9.792923</v>
      </c>
      <c r="AM50">
        <v>36.559657999999999</v>
      </c>
      <c r="AN50">
        <f t="shared" si="0"/>
        <v>0.48571331903717002</v>
      </c>
    </row>
    <row r="51" spans="1:40" x14ac:dyDescent="0.25">
      <c r="A51">
        <v>48</v>
      </c>
      <c r="B51" t="s">
        <v>43</v>
      </c>
      <c r="C51">
        <v>1310</v>
      </c>
      <c r="D51">
        <v>15000</v>
      </c>
      <c r="E51">
        <v>-10.106621000000001</v>
      </c>
      <c r="F51">
        <v>-1528568.105862</v>
      </c>
      <c r="G51">
        <v>-1135251.3235190001</v>
      </c>
      <c r="H51">
        <v>248.43936600000001</v>
      </c>
      <c r="I51">
        <v>122.56423700000001</v>
      </c>
      <c r="J51">
        <v>29.974871</v>
      </c>
      <c r="K51">
        <v>3.336506</v>
      </c>
      <c r="L51" t="s">
        <v>44</v>
      </c>
      <c r="M51">
        <v>100.01133</v>
      </c>
      <c r="N51" s="2">
        <v>0.90536700000000003</v>
      </c>
      <c r="O51">
        <v>99.105963000000003</v>
      </c>
      <c r="P51">
        <v>0</v>
      </c>
      <c r="Q51">
        <v>0</v>
      </c>
      <c r="R51">
        <v>41.188876999999998</v>
      </c>
      <c r="S51">
        <v>1.0373680000000001</v>
      </c>
      <c r="T51">
        <v>14.421900000000001</v>
      </c>
      <c r="U51">
        <v>0.46926899999999999</v>
      </c>
      <c r="V51">
        <v>0</v>
      </c>
      <c r="W51">
        <v>17.917048000000001</v>
      </c>
      <c r="X51">
        <v>7.4884000000000006E-2</v>
      </c>
      <c r="Y51">
        <v>9.7172900000000002</v>
      </c>
      <c r="Z51">
        <v>0</v>
      </c>
      <c r="AA51">
        <v>0</v>
      </c>
      <c r="AB51">
        <v>6.3908880000000003</v>
      </c>
      <c r="AC51">
        <v>6.5565100000000003</v>
      </c>
      <c r="AD51">
        <v>0</v>
      </c>
      <c r="AE51">
        <v>2.2259669999999998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52.764732000000002</v>
      </c>
      <c r="AL51">
        <v>9.7628179999999993</v>
      </c>
      <c r="AM51">
        <v>36.578411000000003</v>
      </c>
      <c r="AN51">
        <f t="shared" si="0"/>
        <v>0.48571303952117961</v>
      </c>
    </row>
    <row r="52" spans="1:40" x14ac:dyDescent="0.25">
      <c r="A52">
        <v>49</v>
      </c>
      <c r="B52" t="s">
        <v>43</v>
      </c>
      <c r="C52">
        <v>1310.5</v>
      </c>
      <c r="D52">
        <v>15000</v>
      </c>
      <c r="E52">
        <v>-10.102074999999999</v>
      </c>
      <c r="F52">
        <v>-1528692.3871549999</v>
      </c>
      <c r="G52">
        <v>-1135179.7597380001</v>
      </c>
      <c r="H52">
        <v>248.48459399999999</v>
      </c>
      <c r="I52">
        <v>122.57469399999999</v>
      </c>
      <c r="J52">
        <v>29.976555999999999</v>
      </c>
      <c r="K52">
        <v>3.3363179999999999</v>
      </c>
      <c r="L52" t="s">
        <v>44</v>
      </c>
      <c r="M52">
        <v>100.011332</v>
      </c>
      <c r="N52" s="2">
        <v>0.92490399999999995</v>
      </c>
      <c r="O52">
        <v>99.086428999999995</v>
      </c>
      <c r="P52">
        <v>0</v>
      </c>
      <c r="Q52">
        <v>0</v>
      </c>
      <c r="R52">
        <v>41.230592000000001</v>
      </c>
      <c r="S52">
        <v>1.0389189999999999</v>
      </c>
      <c r="T52">
        <v>14.416944000000001</v>
      </c>
      <c r="U52">
        <v>0.46871699999999999</v>
      </c>
      <c r="V52">
        <v>0</v>
      </c>
      <c r="W52">
        <v>17.960329999999999</v>
      </c>
      <c r="X52">
        <v>7.4857000000000007E-2</v>
      </c>
      <c r="Y52">
        <v>9.7400990000000007</v>
      </c>
      <c r="Z52">
        <v>0</v>
      </c>
      <c r="AA52">
        <v>0</v>
      </c>
      <c r="AB52">
        <v>6.3626180000000003</v>
      </c>
      <c r="AC52">
        <v>6.5279759999999998</v>
      </c>
      <c r="AD52">
        <v>0</v>
      </c>
      <c r="AE52">
        <v>2.1789480000000001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52.756790000000002</v>
      </c>
      <c r="AL52">
        <v>9.7337720000000001</v>
      </c>
      <c r="AM52">
        <v>36.595863000000001</v>
      </c>
      <c r="AN52">
        <f t="shared" si="0"/>
        <v>0.48571660125186272</v>
      </c>
    </row>
    <row r="53" spans="1:40" x14ac:dyDescent="0.25">
      <c r="A53">
        <v>50</v>
      </c>
      <c r="B53" t="s">
        <v>43</v>
      </c>
      <c r="C53">
        <v>1311</v>
      </c>
      <c r="D53">
        <v>15000</v>
      </c>
      <c r="E53">
        <v>-10.097533</v>
      </c>
      <c r="F53">
        <v>-1528816.689888</v>
      </c>
      <c r="G53">
        <v>-1135108.0523620001</v>
      </c>
      <c r="H53">
        <v>248.529898</v>
      </c>
      <c r="I53">
        <v>122.58526500000001</v>
      </c>
      <c r="J53">
        <v>29.978252999999999</v>
      </c>
      <c r="K53">
        <v>3.3361290000000001</v>
      </c>
      <c r="L53" t="s">
        <v>44</v>
      </c>
      <c r="M53">
        <v>100.01133400000001</v>
      </c>
      <c r="N53" s="2">
        <v>0.94479999999999997</v>
      </c>
      <c r="O53">
        <v>99.066534000000004</v>
      </c>
      <c r="P53">
        <v>0</v>
      </c>
      <c r="Q53">
        <v>0</v>
      </c>
      <c r="R53">
        <v>41.270710000000001</v>
      </c>
      <c r="S53">
        <v>1.040416</v>
      </c>
      <c r="T53">
        <v>14.41155</v>
      </c>
      <c r="U53">
        <v>0.46817799999999998</v>
      </c>
      <c r="V53">
        <v>0</v>
      </c>
      <c r="W53">
        <v>18.003518</v>
      </c>
      <c r="X53">
        <v>7.4831999999999996E-2</v>
      </c>
      <c r="Y53">
        <v>9.7630090000000003</v>
      </c>
      <c r="Z53">
        <v>0</v>
      </c>
      <c r="AA53">
        <v>0</v>
      </c>
      <c r="AB53">
        <v>6.3355649999999999</v>
      </c>
      <c r="AC53">
        <v>6.499161</v>
      </c>
      <c r="AD53">
        <v>0</v>
      </c>
      <c r="AE53">
        <v>2.1330610000000001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52.748730000000002</v>
      </c>
      <c r="AL53">
        <v>9.7057909999999996</v>
      </c>
      <c r="AM53">
        <v>36.612015</v>
      </c>
      <c r="AN53">
        <f t="shared" si="0"/>
        <v>0.4857238463726975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/>
  </sheetViews>
  <sheetFormatPr defaultColWidth="11" defaultRowHeight="15.75" x14ac:dyDescent="0.25"/>
  <sheetData>
    <row r="1" spans="1:10" x14ac:dyDescent="0.25">
      <c r="A1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</row>
    <row r="3" spans="1:10" x14ac:dyDescent="0.25">
      <c r="A3">
        <v>0</v>
      </c>
      <c r="B3" t="s">
        <v>40</v>
      </c>
      <c r="C3" t="s">
        <v>50</v>
      </c>
      <c r="D3">
        <v>53.023654999999998</v>
      </c>
      <c r="E3" t="s">
        <v>41</v>
      </c>
      <c r="F3" t="s">
        <v>51</v>
      </c>
      <c r="G3">
        <v>12.269731999999999</v>
      </c>
      <c r="H3" t="s">
        <v>42</v>
      </c>
      <c r="I3" t="s">
        <v>52</v>
      </c>
      <c r="J3">
        <v>34.394015000000003</v>
      </c>
    </row>
    <row r="4" spans="1:10" x14ac:dyDescent="0.25">
      <c r="A4">
        <v>1</v>
      </c>
      <c r="B4" t="s">
        <v>40</v>
      </c>
      <c r="C4" t="s">
        <v>50</v>
      </c>
      <c r="D4">
        <v>53.020293000000002</v>
      </c>
      <c r="E4" t="s">
        <v>41</v>
      </c>
      <c r="F4" t="s">
        <v>51</v>
      </c>
      <c r="G4">
        <v>12.199097</v>
      </c>
      <c r="H4" t="s">
        <v>42</v>
      </c>
      <c r="I4" t="s">
        <v>52</v>
      </c>
      <c r="J4">
        <v>34.461562999999998</v>
      </c>
    </row>
    <row r="5" spans="1:10" x14ac:dyDescent="0.25">
      <c r="A5">
        <v>2</v>
      </c>
      <c r="B5" t="s">
        <v>40</v>
      </c>
      <c r="C5" t="s">
        <v>50</v>
      </c>
      <c r="D5">
        <v>53.016866</v>
      </c>
      <c r="E5" t="s">
        <v>41</v>
      </c>
      <c r="F5" t="s">
        <v>51</v>
      </c>
      <c r="G5">
        <v>12.129046000000001</v>
      </c>
      <c r="H5" t="s">
        <v>42</v>
      </c>
      <c r="I5" t="s">
        <v>52</v>
      </c>
      <c r="J5">
        <v>34.528419</v>
      </c>
    </row>
    <row r="6" spans="1:10" x14ac:dyDescent="0.25">
      <c r="A6">
        <v>3</v>
      </c>
      <c r="B6" t="s">
        <v>40</v>
      </c>
      <c r="C6" t="s">
        <v>50</v>
      </c>
      <c r="D6">
        <v>53.013371999999997</v>
      </c>
      <c r="E6" t="s">
        <v>41</v>
      </c>
      <c r="F6" t="s">
        <v>51</v>
      </c>
      <c r="G6">
        <v>12.059590999999999</v>
      </c>
      <c r="H6" t="s">
        <v>42</v>
      </c>
      <c r="I6" t="s">
        <v>52</v>
      </c>
      <c r="J6">
        <v>34.594563999999998</v>
      </c>
    </row>
    <row r="7" spans="1:10" x14ac:dyDescent="0.25">
      <c r="A7">
        <v>4</v>
      </c>
      <c r="B7" t="s">
        <v>40</v>
      </c>
      <c r="C7" t="s">
        <v>50</v>
      </c>
      <c r="D7">
        <v>53.009808999999997</v>
      </c>
      <c r="E7" t="s">
        <v>41</v>
      </c>
      <c r="F7" t="s">
        <v>51</v>
      </c>
      <c r="G7">
        <v>11.990748999999999</v>
      </c>
      <c r="H7" t="s">
        <v>42</v>
      </c>
      <c r="I7" t="s">
        <v>52</v>
      </c>
      <c r="J7">
        <v>34.659981000000002</v>
      </c>
    </row>
    <row r="8" spans="1:10" x14ac:dyDescent="0.25">
      <c r="A8">
        <v>5</v>
      </c>
      <c r="B8" t="s">
        <v>40</v>
      </c>
      <c r="C8" t="s">
        <v>50</v>
      </c>
      <c r="D8">
        <v>53.006176000000004</v>
      </c>
      <c r="E8" t="s">
        <v>41</v>
      </c>
      <c r="F8" t="s">
        <v>51</v>
      </c>
      <c r="G8">
        <v>11.922532</v>
      </c>
      <c r="H8" t="s">
        <v>42</v>
      </c>
      <c r="I8" t="s">
        <v>53</v>
      </c>
      <c r="J8">
        <v>34.724653000000004</v>
      </c>
    </row>
    <row r="9" spans="1:10" x14ac:dyDescent="0.25">
      <c r="A9">
        <v>6</v>
      </c>
      <c r="B9" t="s">
        <v>40</v>
      </c>
      <c r="C9" t="s">
        <v>50</v>
      </c>
      <c r="D9">
        <v>53.002471</v>
      </c>
      <c r="E9" t="s">
        <v>41</v>
      </c>
      <c r="F9" t="s">
        <v>51</v>
      </c>
      <c r="G9">
        <v>11.854957000000001</v>
      </c>
      <c r="H9" t="s">
        <v>42</v>
      </c>
      <c r="I9" t="s">
        <v>53</v>
      </c>
      <c r="J9">
        <v>34.788563000000003</v>
      </c>
    </row>
    <row r="10" spans="1:10" x14ac:dyDescent="0.25">
      <c r="A10">
        <v>7</v>
      </c>
      <c r="B10" t="s">
        <v>40</v>
      </c>
      <c r="C10" t="s">
        <v>50</v>
      </c>
      <c r="D10">
        <v>52.998693000000003</v>
      </c>
      <c r="E10" t="s">
        <v>41</v>
      </c>
      <c r="F10" t="s">
        <v>51</v>
      </c>
      <c r="G10">
        <v>11.788036999999999</v>
      </c>
      <c r="H10" t="s">
        <v>42</v>
      </c>
      <c r="I10" t="s">
        <v>53</v>
      </c>
      <c r="J10">
        <v>34.851692999999997</v>
      </c>
    </row>
    <row r="11" spans="1:10" x14ac:dyDescent="0.25">
      <c r="A11">
        <v>8</v>
      </c>
      <c r="B11" t="s">
        <v>40</v>
      </c>
      <c r="C11" t="s">
        <v>50</v>
      </c>
      <c r="D11">
        <v>52.994840000000003</v>
      </c>
      <c r="E11" t="s">
        <v>41</v>
      </c>
      <c r="F11" t="s">
        <v>51</v>
      </c>
      <c r="G11">
        <v>11.721787000000001</v>
      </c>
      <c r="H11" t="s">
        <v>42</v>
      </c>
      <c r="I11" t="s">
        <v>53</v>
      </c>
      <c r="J11">
        <v>34.914026</v>
      </c>
    </row>
    <row r="12" spans="1:10" x14ac:dyDescent="0.25">
      <c r="A12">
        <v>9</v>
      </c>
      <c r="B12" t="s">
        <v>40</v>
      </c>
      <c r="C12" t="s">
        <v>50</v>
      </c>
      <c r="D12">
        <v>52.990910999999997</v>
      </c>
      <c r="E12" t="s">
        <v>41</v>
      </c>
      <c r="F12" t="s">
        <v>51</v>
      </c>
      <c r="G12">
        <v>11.656221</v>
      </c>
      <c r="H12" t="s">
        <v>42</v>
      </c>
      <c r="I12" t="s">
        <v>53</v>
      </c>
      <c r="J12">
        <v>34.975543999999999</v>
      </c>
    </row>
    <row r="13" spans="1:10" x14ac:dyDescent="0.25">
      <c r="A13">
        <v>10</v>
      </c>
      <c r="B13" t="s">
        <v>40</v>
      </c>
      <c r="C13" t="s">
        <v>50</v>
      </c>
      <c r="D13">
        <v>52.986904000000003</v>
      </c>
      <c r="E13" t="s">
        <v>41</v>
      </c>
      <c r="F13" t="s">
        <v>51</v>
      </c>
      <c r="G13">
        <v>11.591354000000001</v>
      </c>
      <c r="H13" t="s">
        <v>42</v>
      </c>
      <c r="I13" t="s">
        <v>53</v>
      </c>
      <c r="J13">
        <v>35.036230000000003</v>
      </c>
    </row>
    <row r="14" spans="1:10" x14ac:dyDescent="0.25">
      <c r="A14">
        <v>11</v>
      </c>
      <c r="B14" t="s">
        <v>40</v>
      </c>
      <c r="C14" t="s">
        <v>50</v>
      </c>
      <c r="D14">
        <v>52.982818999999999</v>
      </c>
      <c r="E14" t="s">
        <v>41</v>
      </c>
      <c r="F14" t="s">
        <v>54</v>
      </c>
      <c r="G14">
        <v>11.527200000000001</v>
      </c>
      <c r="H14" t="s">
        <v>42</v>
      </c>
      <c r="I14" t="s">
        <v>53</v>
      </c>
      <c r="J14">
        <v>35.096066999999998</v>
      </c>
    </row>
    <row r="15" spans="1:10" x14ac:dyDescent="0.25">
      <c r="A15">
        <v>12</v>
      </c>
      <c r="B15" t="s">
        <v>40</v>
      </c>
      <c r="C15" t="s">
        <v>50</v>
      </c>
      <c r="D15">
        <v>52.978651999999997</v>
      </c>
      <c r="E15" t="s">
        <v>41</v>
      </c>
      <c r="F15" t="s">
        <v>55</v>
      </c>
      <c r="G15">
        <v>11.463773</v>
      </c>
      <c r="H15" t="s">
        <v>42</v>
      </c>
      <c r="I15" t="s">
        <v>53</v>
      </c>
      <c r="J15">
        <v>35.155036000000003</v>
      </c>
    </row>
    <row r="16" spans="1:10" x14ac:dyDescent="0.25">
      <c r="A16">
        <v>13</v>
      </c>
      <c r="B16" t="s">
        <v>40</v>
      </c>
      <c r="C16" t="s">
        <v>50</v>
      </c>
      <c r="D16">
        <v>52.974404</v>
      </c>
      <c r="E16" t="s">
        <v>41</v>
      </c>
      <c r="F16" t="s">
        <v>55</v>
      </c>
      <c r="G16">
        <v>11.401088</v>
      </c>
      <c r="H16" t="s">
        <v>42</v>
      </c>
      <c r="I16" t="s">
        <v>53</v>
      </c>
      <c r="J16">
        <v>35.213123000000003</v>
      </c>
    </row>
    <row r="17" spans="1:10" x14ac:dyDescent="0.25">
      <c r="A17">
        <v>14</v>
      </c>
      <c r="B17" t="s">
        <v>40</v>
      </c>
      <c r="C17" t="s">
        <v>50</v>
      </c>
      <c r="D17">
        <v>52.970072000000002</v>
      </c>
      <c r="E17" t="s">
        <v>41</v>
      </c>
      <c r="F17" t="s">
        <v>55</v>
      </c>
      <c r="G17">
        <v>11.339157999999999</v>
      </c>
      <c r="H17" t="s">
        <v>42</v>
      </c>
      <c r="I17" t="s">
        <v>53</v>
      </c>
      <c r="J17">
        <v>35.270308</v>
      </c>
    </row>
    <row r="18" spans="1:10" x14ac:dyDescent="0.25">
      <c r="A18">
        <v>15</v>
      </c>
      <c r="B18" t="s">
        <v>40</v>
      </c>
      <c r="C18" t="s">
        <v>50</v>
      </c>
      <c r="D18">
        <v>52.965656000000003</v>
      </c>
      <c r="E18" t="s">
        <v>41</v>
      </c>
      <c r="F18" t="s">
        <v>55</v>
      </c>
      <c r="G18">
        <v>11.277996</v>
      </c>
      <c r="H18" t="s">
        <v>42</v>
      </c>
      <c r="I18" t="s">
        <v>56</v>
      </c>
      <c r="J18">
        <v>35.326577</v>
      </c>
    </row>
    <row r="19" spans="1:10" x14ac:dyDescent="0.25">
      <c r="A19">
        <v>16</v>
      </c>
      <c r="B19" t="s">
        <v>40</v>
      </c>
      <c r="C19" t="s">
        <v>50</v>
      </c>
      <c r="D19">
        <v>52.961153000000003</v>
      </c>
      <c r="E19" t="s">
        <v>41</v>
      </c>
      <c r="F19" t="s">
        <v>55</v>
      </c>
      <c r="G19">
        <v>11.217617000000001</v>
      </c>
      <c r="H19" t="s">
        <v>42</v>
      </c>
      <c r="I19" t="s">
        <v>57</v>
      </c>
      <c r="J19">
        <v>35.381911000000002</v>
      </c>
    </row>
    <row r="20" spans="1:10" x14ac:dyDescent="0.25">
      <c r="A20">
        <v>17</v>
      </c>
      <c r="B20" t="s">
        <v>40</v>
      </c>
      <c r="C20" t="s">
        <v>50</v>
      </c>
      <c r="D20">
        <v>52.956563000000003</v>
      </c>
      <c r="E20" t="s">
        <v>41</v>
      </c>
      <c r="F20" t="s">
        <v>55</v>
      </c>
      <c r="G20">
        <v>11.158034000000001</v>
      </c>
      <c r="H20" t="s">
        <v>42</v>
      </c>
      <c r="I20" t="s">
        <v>57</v>
      </c>
      <c r="J20">
        <v>35.436295999999999</v>
      </c>
    </row>
    <row r="21" spans="1:10" x14ac:dyDescent="0.25">
      <c r="A21">
        <v>18</v>
      </c>
      <c r="B21" t="s">
        <v>40</v>
      </c>
      <c r="C21" t="s">
        <v>50</v>
      </c>
      <c r="D21">
        <v>52.951883000000002</v>
      </c>
      <c r="E21" t="s">
        <v>41</v>
      </c>
      <c r="F21" t="s">
        <v>55</v>
      </c>
      <c r="G21">
        <v>11.099259</v>
      </c>
      <c r="H21" t="s">
        <v>42</v>
      </c>
      <c r="I21" t="s">
        <v>57</v>
      </c>
      <c r="J21">
        <v>35.489714999999997</v>
      </c>
    </row>
    <row r="22" spans="1:10" x14ac:dyDescent="0.25">
      <c r="A22">
        <v>19</v>
      </c>
      <c r="B22" t="s">
        <v>40</v>
      </c>
      <c r="C22" t="s">
        <v>50</v>
      </c>
      <c r="D22">
        <v>52.947113999999999</v>
      </c>
      <c r="E22" t="s">
        <v>41</v>
      </c>
      <c r="F22" t="s">
        <v>55</v>
      </c>
      <c r="G22">
        <v>11.041306000000001</v>
      </c>
      <c r="H22" t="s">
        <v>42</v>
      </c>
      <c r="I22" t="s">
        <v>57</v>
      </c>
      <c r="J22">
        <v>35.542152000000002</v>
      </c>
    </row>
    <row r="23" spans="1:10" x14ac:dyDescent="0.25">
      <c r="A23">
        <v>20</v>
      </c>
      <c r="B23" t="s">
        <v>40</v>
      </c>
      <c r="C23" t="s">
        <v>50</v>
      </c>
      <c r="D23">
        <v>52.942253000000001</v>
      </c>
      <c r="E23" t="s">
        <v>41</v>
      </c>
      <c r="F23" t="s">
        <v>55</v>
      </c>
      <c r="G23">
        <v>10.984185999999999</v>
      </c>
      <c r="H23" t="s">
        <v>42</v>
      </c>
      <c r="I23" t="s">
        <v>57</v>
      </c>
      <c r="J23">
        <v>35.593592000000001</v>
      </c>
    </row>
    <row r="24" spans="1:10" x14ac:dyDescent="0.25">
      <c r="A24">
        <v>21</v>
      </c>
      <c r="B24" t="s">
        <v>40</v>
      </c>
      <c r="C24" t="s">
        <v>50</v>
      </c>
      <c r="D24">
        <v>52.937299000000003</v>
      </c>
      <c r="E24" t="s">
        <v>41</v>
      </c>
      <c r="F24" t="s">
        <v>55</v>
      </c>
      <c r="G24">
        <v>10.927911999999999</v>
      </c>
      <c r="H24" t="s">
        <v>42</v>
      </c>
      <c r="I24" t="s">
        <v>57</v>
      </c>
      <c r="J24">
        <v>35.644019999999998</v>
      </c>
    </row>
    <row r="25" spans="1:10" x14ac:dyDescent="0.25">
      <c r="A25">
        <v>22</v>
      </c>
      <c r="B25" t="s">
        <v>40</v>
      </c>
      <c r="C25" t="s">
        <v>50</v>
      </c>
      <c r="D25">
        <v>52.932251000000001</v>
      </c>
      <c r="E25" t="s">
        <v>41</v>
      </c>
      <c r="F25" t="s">
        <v>55</v>
      </c>
      <c r="G25">
        <v>10.872495000000001</v>
      </c>
      <c r="H25" t="s">
        <v>42</v>
      </c>
      <c r="I25" t="s">
        <v>58</v>
      </c>
      <c r="J25">
        <v>35.693421999999998</v>
      </c>
    </row>
    <row r="26" spans="1:10" x14ac:dyDescent="0.25">
      <c r="A26">
        <v>23</v>
      </c>
      <c r="B26" t="s">
        <v>40</v>
      </c>
      <c r="C26" t="s">
        <v>50</v>
      </c>
      <c r="D26">
        <v>52.927107999999997</v>
      </c>
      <c r="E26" t="s">
        <v>41</v>
      </c>
      <c r="F26" t="s">
        <v>55</v>
      </c>
      <c r="G26">
        <v>10.817947</v>
      </c>
      <c r="H26" t="s">
        <v>42</v>
      </c>
      <c r="I26" t="s">
        <v>58</v>
      </c>
      <c r="J26">
        <v>35.741782999999998</v>
      </c>
    </row>
    <row r="27" spans="1:10" x14ac:dyDescent="0.25">
      <c r="A27">
        <v>24</v>
      </c>
      <c r="B27" t="s">
        <v>40</v>
      </c>
      <c r="C27" t="s">
        <v>50</v>
      </c>
      <c r="D27">
        <v>52.921868000000003</v>
      </c>
      <c r="E27" t="s">
        <v>41</v>
      </c>
      <c r="F27" t="s">
        <v>55</v>
      </c>
      <c r="G27">
        <v>10.764279</v>
      </c>
      <c r="H27" t="s">
        <v>42</v>
      </c>
      <c r="I27" t="s">
        <v>58</v>
      </c>
      <c r="J27">
        <v>35.789088999999997</v>
      </c>
    </row>
    <row r="28" spans="1:10" x14ac:dyDescent="0.25">
      <c r="A28">
        <v>25</v>
      </c>
      <c r="B28" t="s">
        <v>40</v>
      </c>
      <c r="C28" t="s">
        <v>50</v>
      </c>
      <c r="D28">
        <v>52.916531999999997</v>
      </c>
      <c r="E28" t="s">
        <v>41</v>
      </c>
      <c r="F28" t="s">
        <v>55</v>
      </c>
      <c r="G28">
        <v>10.711501999999999</v>
      </c>
      <c r="H28" t="s">
        <v>42</v>
      </c>
      <c r="I28" t="s">
        <v>58</v>
      </c>
      <c r="J28">
        <v>35.835326999999999</v>
      </c>
    </row>
    <row r="29" spans="1:10" x14ac:dyDescent="0.25">
      <c r="A29">
        <v>26</v>
      </c>
      <c r="B29" t="s">
        <v>40</v>
      </c>
      <c r="C29" t="s">
        <v>50</v>
      </c>
      <c r="D29">
        <v>52.911096000000001</v>
      </c>
      <c r="E29" t="s">
        <v>41</v>
      </c>
      <c r="F29" t="s">
        <v>55</v>
      </c>
      <c r="G29">
        <v>10.659625</v>
      </c>
      <c r="H29" t="s">
        <v>42</v>
      </c>
      <c r="I29" t="s">
        <v>58</v>
      </c>
      <c r="J29">
        <v>35.880484000000003</v>
      </c>
    </row>
    <row r="30" spans="1:10" x14ac:dyDescent="0.25">
      <c r="A30">
        <v>27</v>
      </c>
      <c r="B30" t="s">
        <v>40</v>
      </c>
      <c r="C30" t="s">
        <v>50</v>
      </c>
      <c r="D30">
        <v>52.905560999999999</v>
      </c>
      <c r="E30" t="s">
        <v>41</v>
      </c>
      <c r="F30" t="s">
        <v>55</v>
      </c>
      <c r="G30">
        <v>10.608658999999999</v>
      </c>
      <c r="H30" t="s">
        <v>42</v>
      </c>
      <c r="I30" t="s">
        <v>58</v>
      </c>
      <c r="J30">
        <v>35.924545999999999</v>
      </c>
    </row>
    <row r="31" spans="1:10" x14ac:dyDescent="0.25">
      <c r="A31">
        <v>28</v>
      </c>
      <c r="B31" t="s">
        <v>40</v>
      </c>
      <c r="C31" t="s">
        <v>50</v>
      </c>
      <c r="D31">
        <v>52.899926000000001</v>
      </c>
      <c r="E31" t="s">
        <v>41</v>
      </c>
      <c r="F31" t="s">
        <v>55</v>
      </c>
      <c r="G31">
        <v>10.558612999999999</v>
      </c>
      <c r="H31" t="s">
        <v>42</v>
      </c>
      <c r="I31" t="s">
        <v>58</v>
      </c>
      <c r="J31">
        <v>35.967502000000003</v>
      </c>
    </row>
    <row r="32" spans="1:10" x14ac:dyDescent="0.25">
      <c r="A32">
        <v>29</v>
      </c>
      <c r="B32" t="s">
        <v>40</v>
      </c>
      <c r="C32" t="s">
        <v>50</v>
      </c>
      <c r="D32">
        <v>52.894188</v>
      </c>
      <c r="E32" t="s">
        <v>41</v>
      </c>
      <c r="F32" t="s">
        <v>55</v>
      </c>
      <c r="G32">
        <v>10.509497</v>
      </c>
      <c r="H32" t="s">
        <v>42</v>
      </c>
      <c r="I32" t="s">
        <v>58</v>
      </c>
      <c r="J32">
        <v>36.009340000000002</v>
      </c>
    </row>
    <row r="33" spans="1:10" x14ac:dyDescent="0.25">
      <c r="A33">
        <v>30</v>
      </c>
      <c r="B33" t="s">
        <v>40</v>
      </c>
      <c r="C33" t="s">
        <v>50</v>
      </c>
      <c r="D33">
        <v>52.888348000000001</v>
      </c>
      <c r="E33" t="s">
        <v>41</v>
      </c>
      <c r="F33" t="s">
        <v>55</v>
      </c>
      <c r="G33">
        <v>10.461319</v>
      </c>
      <c r="H33" t="s">
        <v>42</v>
      </c>
      <c r="I33" t="s">
        <v>58</v>
      </c>
      <c r="J33">
        <v>36.050047999999997</v>
      </c>
    </row>
    <row r="34" spans="1:10" x14ac:dyDescent="0.25">
      <c r="A34">
        <v>31</v>
      </c>
      <c r="B34" t="s">
        <v>40</v>
      </c>
      <c r="C34" t="s">
        <v>50</v>
      </c>
      <c r="D34">
        <v>52.882404999999999</v>
      </c>
      <c r="E34" t="s">
        <v>41</v>
      </c>
      <c r="F34" t="s">
        <v>55</v>
      </c>
      <c r="G34">
        <v>10.414088</v>
      </c>
      <c r="H34" t="s">
        <v>42</v>
      </c>
      <c r="I34" t="s">
        <v>58</v>
      </c>
      <c r="J34">
        <v>36.089615000000002</v>
      </c>
    </row>
    <row r="35" spans="1:10" x14ac:dyDescent="0.25">
      <c r="A35">
        <v>32</v>
      </c>
      <c r="B35" t="s">
        <v>40</v>
      </c>
      <c r="C35" t="s">
        <v>50</v>
      </c>
      <c r="D35">
        <v>52.876356999999999</v>
      </c>
      <c r="E35" t="s">
        <v>41</v>
      </c>
      <c r="F35" t="s">
        <v>55</v>
      </c>
      <c r="G35">
        <v>10.367812000000001</v>
      </c>
      <c r="H35" t="s">
        <v>42</v>
      </c>
      <c r="I35" t="s">
        <v>58</v>
      </c>
      <c r="J35">
        <v>36.128030000000003</v>
      </c>
    </row>
    <row r="36" spans="1:10" x14ac:dyDescent="0.25">
      <c r="A36">
        <v>33</v>
      </c>
      <c r="B36" t="s">
        <v>40</v>
      </c>
      <c r="C36" t="s">
        <v>50</v>
      </c>
      <c r="D36">
        <v>52.870204000000001</v>
      </c>
      <c r="E36" t="s">
        <v>41</v>
      </c>
      <c r="F36" t="s">
        <v>55</v>
      </c>
      <c r="G36">
        <v>10.322498</v>
      </c>
      <c r="H36" t="s">
        <v>42</v>
      </c>
      <c r="I36" t="s">
        <v>59</v>
      </c>
      <c r="J36">
        <v>36.165283000000002</v>
      </c>
    </row>
    <row r="37" spans="1:10" x14ac:dyDescent="0.25">
      <c r="A37">
        <v>34</v>
      </c>
      <c r="B37" t="s">
        <v>40</v>
      </c>
      <c r="C37" t="s">
        <v>50</v>
      </c>
      <c r="D37">
        <v>52.863943999999996</v>
      </c>
      <c r="E37" t="s">
        <v>41</v>
      </c>
      <c r="F37" t="s">
        <v>60</v>
      </c>
      <c r="G37">
        <v>10.278155</v>
      </c>
      <c r="H37" t="s">
        <v>42</v>
      </c>
      <c r="I37" t="s">
        <v>61</v>
      </c>
      <c r="J37">
        <v>36.201363999999998</v>
      </c>
    </row>
    <row r="38" spans="1:10" x14ac:dyDescent="0.25">
      <c r="A38">
        <v>35</v>
      </c>
      <c r="B38" t="s">
        <v>40</v>
      </c>
      <c r="C38" t="s">
        <v>50</v>
      </c>
      <c r="D38">
        <v>52.857577999999997</v>
      </c>
      <c r="E38" t="s">
        <v>41</v>
      </c>
      <c r="F38" t="s">
        <v>60</v>
      </c>
      <c r="G38">
        <v>10.234788999999999</v>
      </c>
      <c r="H38" t="s">
        <v>42</v>
      </c>
      <c r="I38" t="s">
        <v>61</v>
      </c>
      <c r="J38">
        <v>36.236263000000001</v>
      </c>
    </row>
    <row r="39" spans="1:10" x14ac:dyDescent="0.25">
      <c r="A39">
        <v>36</v>
      </c>
      <c r="B39" t="s">
        <v>40</v>
      </c>
      <c r="C39" t="s">
        <v>50</v>
      </c>
      <c r="D39">
        <v>52.851103999999999</v>
      </c>
      <c r="E39" t="s">
        <v>41</v>
      </c>
      <c r="F39" t="s">
        <v>60</v>
      </c>
      <c r="G39">
        <v>10.192406999999999</v>
      </c>
      <c r="H39" t="s">
        <v>42</v>
      </c>
      <c r="I39" t="s">
        <v>61</v>
      </c>
      <c r="J39">
        <v>36.269970999999998</v>
      </c>
    </row>
    <row r="40" spans="1:10" x14ac:dyDescent="0.25">
      <c r="A40">
        <v>37</v>
      </c>
      <c r="B40" t="s">
        <v>40</v>
      </c>
      <c r="C40" t="s">
        <v>50</v>
      </c>
      <c r="D40">
        <v>52.844521</v>
      </c>
      <c r="E40" t="s">
        <v>41</v>
      </c>
      <c r="F40" t="s">
        <v>60</v>
      </c>
      <c r="G40">
        <v>10.151016</v>
      </c>
      <c r="H40" t="s">
        <v>42</v>
      </c>
      <c r="I40" t="s">
        <v>61</v>
      </c>
      <c r="J40">
        <v>36.302478000000001</v>
      </c>
    </row>
    <row r="41" spans="1:10" x14ac:dyDescent="0.25">
      <c r="A41">
        <v>38</v>
      </c>
      <c r="B41" t="s">
        <v>40</v>
      </c>
      <c r="C41" t="s">
        <v>50</v>
      </c>
      <c r="D41">
        <v>52.837828999999999</v>
      </c>
      <c r="E41" t="s">
        <v>41</v>
      </c>
      <c r="F41" t="s">
        <v>60</v>
      </c>
      <c r="G41">
        <v>10.110621999999999</v>
      </c>
      <c r="H41" t="s">
        <v>42</v>
      </c>
      <c r="I41" t="s">
        <v>61</v>
      </c>
      <c r="J41">
        <v>36.333776</v>
      </c>
    </row>
    <row r="42" spans="1:10" x14ac:dyDescent="0.25">
      <c r="A42">
        <v>39</v>
      </c>
      <c r="B42" t="s">
        <v>40</v>
      </c>
      <c r="C42" t="s">
        <v>50</v>
      </c>
      <c r="D42">
        <v>52.831026999999999</v>
      </c>
      <c r="E42" t="s">
        <v>41</v>
      </c>
      <c r="F42" t="s">
        <v>60</v>
      </c>
      <c r="G42">
        <v>10.071232</v>
      </c>
      <c r="H42" t="s">
        <v>42</v>
      </c>
      <c r="I42" t="s">
        <v>61</v>
      </c>
      <c r="J42">
        <v>36.363855999999998</v>
      </c>
    </row>
    <row r="43" spans="1:10" x14ac:dyDescent="0.25">
      <c r="A43">
        <v>40</v>
      </c>
      <c r="B43" t="s">
        <v>40</v>
      </c>
      <c r="C43" t="s">
        <v>50</v>
      </c>
      <c r="D43">
        <v>52.824114000000002</v>
      </c>
      <c r="E43" t="s">
        <v>41</v>
      </c>
      <c r="F43" t="s">
        <v>60</v>
      </c>
      <c r="G43">
        <v>10.032851000000001</v>
      </c>
      <c r="H43" t="s">
        <v>42</v>
      </c>
      <c r="I43" t="s">
        <v>62</v>
      </c>
      <c r="J43">
        <v>36.392709000000004</v>
      </c>
    </row>
    <row r="44" spans="1:10" x14ac:dyDescent="0.25">
      <c r="A44">
        <v>41</v>
      </c>
      <c r="B44" t="s">
        <v>40</v>
      </c>
      <c r="C44" t="s">
        <v>50</v>
      </c>
      <c r="D44">
        <v>52.817089000000003</v>
      </c>
      <c r="E44" t="s">
        <v>41</v>
      </c>
      <c r="F44" t="s">
        <v>63</v>
      </c>
      <c r="G44">
        <v>9.9954859999999996</v>
      </c>
      <c r="H44" t="s">
        <v>42</v>
      </c>
      <c r="I44" t="s">
        <v>62</v>
      </c>
      <c r="J44">
        <v>36.420327</v>
      </c>
    </row>
    <row r="45" spans="1:10" x14ac:dyDescent="0.25">
      <c r="A45">
        <v>42</v>
      </c>
      <c r="B45" t="s">
        <v>40</v>
      </c>
      <c r="C45" t="s">
        <v>50</v>
      </c>
      <c r="D45">
        <v>52.809952000000003</v>
      </c>
      <c r="E45" t="s">
        <v>41</v>
      </c>
      <c r="F45" t="s">
        <v>63</v>
      </c>
      <c r="G45">
        <v>9.9591410000000007</v>
      </c>
      <c r="H45" t="s">
        <v>42</v>
      </c>
      <c r="I45" t="s">
        <v>62</v>
      </c>
      <c r="J45">
        <v>36.446702999999999</v>
      </c>
    </row>
    <row r="46" spans="1:10" x14ac:dyDescent="0.25">
      <c r="A46">
        <v>43</v>
      </c>
      <c r="B46" t="s">
        <v>40</v>
      </c>
      <c r="C46" t="s">
        <v>50</v>
      </c>
      <c r="D46">
        <v>52.802701999999996</v>
      </c>
      <c r="E46" t="s">
        <v>41</v>
      </c>
      <c r="F46" t="s">
        <v>63</v>
      </c>
      <c r="G46">
        <v>9.9238230000000005</v>
      </c>
      <c r="H46" t="s">
        <v>42</v>
      </c>
      <c r="I46" t="s">
        <v>62</v>
      </c>
      <c r="J46">
        <v>36.471826999999998</v>
      </c>
    </row>
    <row r="47" spans="1:10" x14ac:dyDescent="0.25">
      <c r="A47">
        <v>44</v>
      </c>
      <c r="B47" t="s">
        <v>40</v>
      </c>
      <c r="C47" t="s">
        <v>50</v>
      </c>
      <c r="D47">
        <v>52.795338999999998</v>
      </c>
      <c r="E47" t="s">
        <v>41</v>
      </c>
      <c r="F47" t="s">
        <v>63</v>
      </c>
      <c r="G47">
        <v>9.8895370000000007</v>
      </c>
      <c r="H47" t="s">
        <v>42</v>
      </c>
      <c r="I47" t="s">
        <v>62</v>
      </c>
      <c r="J47">
        <v>36.495693000000003</v>
      </c>
    </row>
    <row r="48" spans="1:10" x14ac:dyDescent="0.25">
      <c r="A48">
        <v>45</v>
      </c>
      <c r="B48" t="s">
        <v>40</v>
      </c>
      <c r="C48" t="s">
        <v>50</v>
      </c>
      <c r="D48">
        <v>52.787860999999999</v>
      </c>
      <c r="E48" t="s">
        <v>41</v>
      </c>
      <c r="F48" t="s">
        <v>63</v>
      </c>
      <c r="G48">
        <v>9.8562879999999993</v>
      </c>
      <c r="H48" t="s">
        <v>42</v>
      </c>
      <c r="I48" t="s">
        <v>62</v>
      </c>
      <c r="J48">
        <v>36.518292000000002</v>
      </c>
    </row>
    <row r="49" spans="1:10" x14ac:dyDescent="0.25">
      <c r="A49">
        <v>46</v>
      </c>
      <c r="B49" t="s">
        <v>40</v>
      </c>
      <c r="C49" t="s">
        <v>50</v>
      </c>
      <c r="D49">
        <v>52.780268</v>
      </c>
      <c r="E49" t="s">
        <v>41</v>
      </c>
      <c r="F49" t="s">
        <v>63</v>
      </c>
      <c r="G49">
        <v>9.8240809999999996</v>
      </c>
      <c r="H49" t="s">
        <v>42</v>
      </c>
      <c r="I49" t="s">
        <v>62</v>
      </c>
      <c r="J49">
        <v>36.539616000000002</v>
      </c>
    </row>
    <row r="50" spans="1:10" x14ac:dyDescent="0.25">
      <c r="A50">
        <v>47</v>
      </c>
      <c r="B50" t="s">
        <v>40</v>
      </c>
      <c r="C50" t="s">
        <v>50</v>
      </c>
      <c r="D50">
        <v>52.772559000000001</v>
      </c>
      <c r="E50" t="s">
        <v>41</v>
      </c>
      <c r="F50" t="s">
        <v>63</v>
      </c>
      <c r="G50">
        <v>9.792923</v>
      </c>
      <c r="H50" t="s">
        <v>42</v>
      </c>
      <c r="I50" t="s">
        <v>62</v>
      </c>
      <c r="J50">
        <v>36.559659000000003</v>
      </c>
    </row>
    <row r="51" spans="1:10" x14ac:dyDescent="0.25">
      <c r="A51">
        <v>48</v>
      </c>
      <c r="B51" t="s">
        <v>40</v>
      </c>
      <c r="C51" t="s">
        <v>50</v>
      </c>
      <c r="D51">
        <v>52.764733999999997</v>
      </c>
      <c r="E51" t="s">
        <v>41</v>
      </c>
      <c r="F51" t="s">
        <v>63</v>
      </c>
      <c r="G51">
        <v>9.7628179999999993</v>
      </c>
      <c r="H51" t="s">
        <v>42</v>
      </c>
      <c r="I51" t="s">
        <v>62</v>
      </c>
      <c r="J51">
        <v>36.578411000000003</v>
      </c>
    </row>
    <row r="52" spans="1:10" x14ac:dyDescent="0.25">
      <c r="A52">
        <v>49</v>
      </c>
      <c r="B52" t="s">
        <v>40</v>
      </c>
      <c r="C52" t="s">
        <v>50</v>
      </c>
      <c r="D52">
        <v>52.756791</v>
      </c>
      <c r="E52" t="s">
        <v>41</v>
      </c>
      <c r="F52" t="s">
        <v>63</v>
      </c>
      <c r="G52">
        <v>9.7337720000000001</v>
      </c>
      <c r="H52" t="s">
        <v>42</v>
      </c>
      <c r="I52" t="s">
        <v>62</v>
      </c>
      <c r="J52">
        <v>36.595865000000003</v>
      </c>
    </row>
    <row r="53" spans="1:10" x14ac:dyDescent="0.25">
      <c r="A53">
        <v>50</v>
      </c>
      <c r="B53" t="s">
        <v>40</v>
      </c>
      <c r="C53" t="s">
        <v>50</v>
      </c>
      <c r="D53">
        <v>52.748730999999999</v>
      </c>
      <c r="E53" t="s">
        <v>41</v>
      </c>
      <c r="F53" t="s">
        <v>63</v>
      </c>
      <c r="G53">
        <v>9.7057900000000004</v>
      </c>
      <c r="H53" t="s">
        <v>42</v>
      </c>
      <c r="I53" t="s">
        <v>62</v>
      </c>
      <c r="J53">
        <v>36.612012999999997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easyMelts</dc:creator>
  <cp:lastModifiedBy>Xinru Zhang</cp:lastModifiedBy>
  <dcterms:created xsi:type="dcterms:W3CDTF">2019-08-16T00:34:14Z</dcterms:created>
  <dcterms:modified xsi:type="dcterms:W3CDTF">2025-09-01T07:21:01Z</dcterms:modified>
</cp:coreProperties>
</file>