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DD95FDF8-7548-43E9-8FBE-D83277C72D37}" xr6:coauthVersionLast="47" xr6:coauthVersionMax="47" xr10:uidLastSave="{00000000-0000-0000-0000-000000000000}"/>
  <bookViews>
    <workbookView xWindow="-120" yWindow="-120" windowWidth="29040" windowHeight="15720" xr2:uid="{FF49B81A-127A-B44C-A44B-FF0F3EF8FCF9}"/>
  </bookViews>
  <sheets>
    <sheet name="Data" sheetId="1" r:id="rId1"/>
    <sheet name="Phas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98" i="1" l="1"/>
  <c r="S98" i="1"/>
  <c r="U98" i="1"/>
  <c r="V98" i="1"/>
  <c r="W98" i="1"/>
  <c r="X98" i="1"/>
  <c r="Y98" i="1"/>
  <c r="Z98" i="1"/>
  <c r="AA98" i="1"/>
  <c r="Q98" i="1"/>
  <c r="R152" i="1"/>
  <c r="S152" i="1"/>
  <c r="U152" i="1"/>
  <c r="V152" i="1"/>
  <c r="W152" i="1"/>
  <c r="X152" i="1"/>
  <c r="Y152" i="1"/>
  <c r="Q152" i="1"/>
  <c r="Q193" i="1"/>
  <c r="R193" i="1"/>
  <c r="S193" i="1"/>
  <c r="T193" i="1"/>
  <c r="U193" i="1"/>
  <c r="V193" i="1"/>
  <c r="W193" i="1"/>
  <c r="X193" i="1"/>
  <c r="Y193" i="1"/>
  <c r="Z193" i="1"/>
  <c r="AA193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4" i="1"/>
</calcChain>
</file>

<file path=xl/sharedStrings.xml><?xml version="1.0" encoding="utf-8"?>
<sst xmlns="http://schemas.openxmlformats.org/spreadsheetml/2006/main" count="1798" uniqueCount="251">
  <si>
    <t>System properties (no fractionated)</t>
  </si>
  <si>
    <t>Masses</t>
  </si>
  <si>
    <t>Liquid composition wt%</t>
  </si>
  <si>
    <t>Solids in eq with liquid</t>
  </si>
  <si>
    <t>Index</t>
  </si>
  <si>
    <t>Mode</t>
  </si>
  <si>
    <t>T (C)</t>
  </si>
  <si>
    <t>P (bar)</t>
  </si>
  <si>
    <t>log fO2</t>
  </si>
  <si>
    <t>G (J)</t>
  </si>
  <si>
    <t>H (J)</t>
  </si>
  <si>
    <t>S (J/K)</t>
  </si>
  <si>
    <t>Cp (J)</t>
  </si>
  <si>
    <t>V (cm3)</t>
  </si>
  <si>
    <t>density (g/cm3)</t>
  </si>
  <si>
    <t>viscosity (log poise)</t>
  </si>
  <si>
    <t>m (total)</t>
  </si>
  <si>
    <t>m (melt)</t>
  </si>
  <si>
    <t>m (solid)</t>
  </si>
  <si>
    <t>SiO2</t>
  </si>
  <si>
    <t>TiO2</t>
  </si>
  <si>
    <t>Al2O3</t>
  </si>
  <si>
    <t>Fe2O3</t>
  </si>
  <si>
    <t>FeO</t>
  </si>
  <si>
    <t>MnO</t>
  </si>
  <si>
    <t>MgO</t>
  </si>
  <si>
    <t>CaO</t>
  </si>
  <si>
    <t>Na2O</t>
  </si>
  <si>
    <t>K2O</t>
  </si>
  <si>
    <t>P2O5</t>
  </si>
  <si>
    <t>olivine</t>
  </si>
  <si>
    <t>garnet</t>
  </si>
  <si>
    <t>orthopyroxene</t>
  </si>
  <si>
    <t>clinopyroxene</t>
  </si>
  <si>
    <t>Isothermal</t>
  </si>
  <si>
    <t>Vsol&gt;Vliq</t>
  </si>
  <si>
    <t>Solid and fluid phases in equilibrium with the melt (and to be fractionated before next equilibration step if fractionation is active)</t>
  </si>
  <si>
    <t>Step</t>
  </si>
  <si>
    <t>Label</t>
  </si>
  <si>
    <t>Formula</t>
  </si>
  <si>
    <t>Mass</t>
  </si>
  <si>
    <t>(Ca0.00Mg0.73Fe''0.26Mn0.01Co0.00Ni0.00)2SiO4</t>
  </si>
  <si>
    <t>(Ca0.13Fe''0.34Mg0.53)3Al2Si3O12</t>
  </si>
  <si>
    <t>opx Na0.03Ca0.05Fe''0.40Mg1.44Fe'''0.00Ti0.01Al0.14Si1.93O6</t>
  </si>
  <si>
    <t>cpx Na0.20Ca0.55Fe''0.21Mg0.75Fe'''0.01Ti0.02Al0.37Si1.89O6</t>
  </si>
  <si>
    <t>cpx Na0.20Ca0.55Fe''0.21Mg0.76Fe'''0.01Ti0.02Al0.37Si1.89O6</t>
  </si>
  <si>
    <t>cpx Na0.19Ca0.55Fe''0.21Mg0.76Fe'''0.01Ti0.02Al0.37Si1.89O6</t>
  </si>
  <si>
    <t>cpx Na0.19Ca0.54Fe''0.22Mg0.76Fe'''0.01Ti0.02Al0.37Si1.89O6</t>
  </si>
  <si>
    <t>opx Na0.03Ca0.05Fe''0.40Mg1.44Fe'''0.00Ti0.01Al0.15Si1.93O6</t>
  </si>
  <si>
    <t>cpx Na0.19Ca0.54Fe''0.22Mg0.77Fe'''0.01Ti0.02Al0.37Si1.89O6</t>
  </si>
  <si>
    <t>(Ca0.13Fe''0.34Mg0.54)3Al2Si3O12</t>
  </si>
  <si>
    <t>opx Na0.02Ca0.05Fe''0.40Mg1.44Fe'''0.00Ti0.01Al0.15Si1.93O6</t>
  </si>
  <si>
    <t>cpx Na0.19Ca0.54Fe''0.22Mg0.77Fe'''0.01Ti0.02Al0.36Si1.89O6</t>
  </si>
  <si>
    <t>(Ca0.13Fe''0.33Mg0.54)3Al2Si3O12</t>
  </si>
  <si>
    <t>cpx Na0.19Ca0.54Fe''0.22Mg0.78Fe'''0.01Ti0.02Al0.36Si1.89O6</t>
  </si>
  <si>
    <t>cpx Na0.19Ca0.53Fe''0.22Mg0.78Fe'''0.01Ti0.02Al0.36Si1.89O6</t>
  </si>
  <si>
    <t>cpx Na0.18Ca0.53Fe''0.22Mg0.78Fe'''0.01Ti0.02Al0.36Si1.89O6</t>
  </si>
  <si>
    <t>cpx Na0.18Ca0.53Fe''0.23Mg0.78Fe'''0.01Ti0.02Al0.36Si1.89O6</t>
  </si>
  <si>
    <t>cpx Na0.18Ca0.53Fe''0.23Mg0.79Fe'''0.01Ti0.02Al0.36Si1.89O6</t>
  </si>
  <si>
    <t>cpx Na0.18Ca0.52Fe''0.23Mg0.79Fe'''0.01Ti0.02Al0.36Si1.89O6</t>
  </si>
  <si>
    <t>cpx Na0.18Ca0.52Fe''0.23Mg0.80Fe'''0.01Ti0.02Al0.36Si1.89O6</t>
  </si>
  <si>
    <t>opx Na0.02Ca0.05Fe''0.40Mg1.43Fe'''0.00Ti0.01Al0.15Si1.93O6</t>
  </si>
  <si>
    <t>cpx Na0.17Ca0.52Fe''0.23Mg0.80Fe'''0.01Ti0.02Al0.36Si1.89O6</t>
  </si>
  <si>
    <t>cpx Na0.17Ca0.52Fe''0.24Mg0.80Fe'''0.01Ti0.02Al0.36Si1.89O6</t>
  </si>
  <si>
    <t>opx Na0.02Ca0.05Fe''0.40Mg1.43Fe'''0.00Ti0.01Al0.16Si1.93O6</t>
  </si>
  <si>
    <t>cpx Na0.17Ca0.51Fe''0.24Mg0.81Fe'''0.01Ti0.02Al0.36Si1.89O6</t>
  </si>
  <si>
    <t>cpx Na0.17Ca0.51Fe''0.24Mg0.82Fe'''0.01Ti0.02Al0.36Si1.89O6</t>
  </si>
  <si>
    <t>opx Na0.02Ca0.06Fe''0.39Mg1.43Fe'''0.00Ti0.01Al0.16Si1.93O6</t>
  </si>
  <si>
    <t>cpx Na0.17Ca0.50Fe''0.24Mg0.82Fe'''0.01Ti0.02Al0.35Si1.89O6</t>
  </si>
  <si>
    <t>(Ca0.13Fe''0.32Mg0.54)3Al2Si3O12</t>
  </si>
  <si>
    <t>cpx Na0.17Ca0.50Fe''0.25Mg0.82Fe'''0.01Ti0.02Al0.35Si1.88O6</t>
  </si>
  <si>
    <t>cpx Na0.16Ca0.50Fe''0.25Mg0.83Fe'''0.01Ti0.02Al0.35Si1.88O6</t>
  </si>
  <si>
    <t>opx Na0.02Ca0.06Fe''0.39Mg1.43Fe'''0.00Ti0.01Al0.16Si1.92O6</t>
  </si>
  <si>
    <t>cpx Na0.16Ca0.49Fe''0.25Mg0.83Fe'''0.01Ti0.02Al0.35Si1.88O6</t>
  </si>
  <si>
    <t>cpx Na0.16Ca0.49Fe''0.25Mg0.84Fe'''0.01Ti0.02Al0.35Si1.88O6</t>
  </si>
  <si>
    <t>cpx Na0.16Ca0.49Fe''0.25Mg0.84Fe'''0.01Ti0.01Al0.35Si1.88O6</t>
  </si>
  <si>
    <t>(Ca0.14Fe''0.32Mg0.54)3Al2Si3O12</t>
  </si>
  <si>
    <t>cpx Na0.16Ca0.49Fe''0.26Mg0.85Fe'''0.01Ti0.01Al0.35Si1.88O6</t>
  </si>
  <si>
    <t>cpx Na0.15Ca0.48Fe''0.26Mg0.85Fe'''0.01Ti0.01Al0.35Si1.88O6</t>
  </si>
  <si>
    <t>cpx Na0.15Ca0.48Fe''0.26Mg0.86Fe'''0.01Ti0.01Al0.34Si1.88O6</t>
  </si>
  <si>
    <t>cpx Na0.15Ca0.47Fe''0.26Mg0.86Fe'''0.01Ti0.01Al0.34Si1.88O6</t>
  </si>
  <si>
    <t>cpx Na0.15Ca0.47Fe''0.27Mg0.87Fe'''0.01Ti0.01Al0.34Si1.88O6</t>
  </si>
  <si>
    <t>cpx Na0.15Ca0.46Fe''0.27Mg0.87Fe'''0.01Ti0.01Al0.34Si1.88O6</t>
  </si>
  <si>
    <t>(Ca0.14Fe''0.32Mg0.55)3Al2Si3O12</t>
  </si>
  <si>
    <t>cpx Na0.14Ca0.46Fe''0.27Mg0.88Fe'''0.01Ti0.01Al0.34Si1.88O6</t>
  </si>
  <si>
    <t>cpx Na0.14Ca0.45Fe''0.28Mg0.89Fe'''0.01Ti0.01Al0.33Si1.88O6</t>
  </si>
  <si>
    <t>cpx Na0.14Ca0.44Fe''0.28Mg0.90Fe'''0.01Ti0.01Al0.33Si1.88O6</t>
  </si>
  <si>
    <t>cpx Na0.13Ca0.44Fe''0.29Mg0.91Fe'''0.01Ti0.01Al0.33Si1.88O6</t>
  </si>
  <si>
    <t>(Ca0.00Mg0.74Fe''0.26Mn0.01Co0.00Ni0.00)2SiO4</t>
  </si>
  <si>
    <t>opx Na0.02Ca0.06Fe''0.39Mg1.43Fe'''0.00Ti0.01Al0.17Si1.92O6</t>
  </si>
  <si>
    <t>cpx Na0.13Ca0.42Fe''0.29Mg0.92Fe'''0.01Ti0.01Al0.32Si1.89O6</t>
  </si>
  <si>
    <t>(Ca0.00Mg0.74Fe''0.25Mn0.01Co0.00Ni0.00)2SiO4</t>
  </si>
  <si>
    <t>cpx Na0.13Ca0.41Fe''0.30Mg0.94Fe'''0.01Ti0.01Al0.32Si1.89O6</t>
  </si>
  <si>
    <t>(Ca0.14Fe''0.31Mg0.55)3Al2Si3O12</t>
  </si>
  <si>
    <t>cpx Na0.12Ca0.39Fe''0.31Mg0.96Fe'''0.01Ti0.01Al0.31Si1.89O6</t>
  </si>
  <si>
    <t>cpx Na0.11Ca0.37Fe''0.32Mg0.99Fe'''0.01Ti0.01Al0.30Si1.89O6</t>
  </si>
  <si>
    <t>cpx Na0.11Ca0.35Fe''0.33Mg1.01Fe'''0.01Ti0.01Al0.30Si1.89O6</t>
  </si>
  <si>
    <t>cpx Na0.10Ca0.33Fe''0.34Mg1.02Fe'''0.01Ti0.01Al0.29Si1.89O6</t>
  </si>
  <si>
    <t>cpx Na0.10Ca0.32Fe''0.34Mg1.04Fe'''0.01Ti0.01Al0.29Si1.89O6</t>
  </si>
  <si>
    <t>cpx Na0.10Ca0.32Fe''0.35Mg1.05Fe'''0.01Ti0.01Al0.29Si1.89O6</t>
  </si>
  <si>
    <t>cpx Na0.09Ca0.31Fe''0.35Mg1.05Fe'''0.01Ti0.01Al0.28Si1.89O6</t>
  </si>
  <si>
    <t>cpx Na0.09Ca0.30Fe''0.35Mg1.06Fe'''0.01Ti0.01Al0.28Si1.89O6</t>
  </si>
  <si>
    <t>cpx Na0.09Ca0.30Fe''0.35Mg1.07Fe'''0.01Ti0.01Al0.28Si1.89O6</t>
  </si>
  <si>
    <t>cpx Na0.09Ca0.29Fe''0.36Mg1.08Fe'''0.01Ti0.01Al0.28Si1.89O6</t>
  </si>
  <si>
    <t>opx Na0.02Ca0.06Fe''0.39Mg1.44Fe'''0.00Ti0.01Al0.17Si1.92O6</t>
  </si>
  <si>
    <t>cpx Na0.08Ca0.28Fe''0.36Mg1.09Fe'''0.01Ti0.01Al0.28Si1.89O6</t>
  </si>
  <si>
    <t>opx Na0.02Ca0.06Fe''0.38Mg1.44Fe'''0.00Ti0.01Al0.17Si1.92O6</t>
  </si>
  <si>
    <t>cpx Na0.08Ca0.27Fe''0.36Mg1.10Fe'''0.01Ti0.01Al0.27Si1.89O6</t>
  </si>
  <si>
    <t>cpx Na0.08Ca0.27Fe''0.37Mg1.10Fe'''0.01Ti0.01Al0.27Si1.89O6</t>
  </si>
  <si>
    <t>(Ca0.14Fe''0.30Mg0.55)3Al2Si3O12</t>
  </si>
  <si>
    <t>cpx Na0.08Ca0.27Fe''0.37Mg1.11Fe'''0.01Ti0.01Al0.27Si1.89O6</t>
  </si>
  <si>
    <t>cpx Na0.08Ca0.26Fe''0.37Mg1.11Fe'''0.01Ti0.01Al0.27Si1.89O6</t>
  </si>
  <si>
    <t>opx Na0.02Ca0.06Fe''0.38Mg1.44Fe'''0.00Ti0.01Al0.17Si1.91O6</t>
  </si>
  <si>
    <t>cpx Na0.08Ca0.26Fe''0.37Mg1.12Fe'''0.01Ti0.01Al0.27Si1.89O6</t>
  </si>
  <si>
    <t>(Ca0.14Fe''0.30Mg0.56)3Al2Si3O12</t>
  </si>
  <si>
    <t>opx Na0.02Ca0.06Fe''0.38Mg1.44Fe'''0.00Ti0.01Al0.18Si1.91O6</t>
  </si>
  <si>
    <t>cpx Na0.07Ca0.26Fe''0.37Mg1.12Fe'''0.01Ti0.01Al0.27Si1.89O6</t>
  </si>
  <si>
    <t>cpx Na0.07Ca0.25Fe''0.37Mg1.13Fe'''0.01Ti0.01Al0.27Si1.89O6</t>
  </si>
  <si>
    <t>cpx Na0.07Ca0.25Fe''0.38Mg1.13Fe'''0.01Ti0.01Al0.27Si1.89O6</t>
  </si>
  <si>
    <t>cpx Na0.07Ca0.25Fe''0.38Mg1.14Fe'''0.01Ti0.01Al0.27Si1.89O6</t>
  </si>
  <si>
    <t>cpx Na0.07Ca0.24Fe''0.38Mg1.14Fe'''0.01Ti0.01Al0.27Si1.89O6</t>
  </si>
  <si>
    <t>cpx Na0.06Ca0.24Fe''0.38Mg1.15Fe'''0.01Ti0.01Al0.27Si1.89O6</t>
  </si>
  <si>
    <t>cpx Na0.06Ca0.24Fe''0.38Mg1.15Fe'''0.01Ti0.01Al0.26Si1.89O6</t>
  </si>
  <si>
    <t>cpx Na0.06Ca0.23Fe''0.38Mg1.16Fe'''0.01Ti0.01Al0.26Si1.89O6</t>
  </si>
  <si>
    <t>cpx Na0.06Ca0.23Fe''0.38Mg1.17Fe'''0.01Ti0.01Al0.26Si1.89O6</t>
  </si>
  <si>
    <t>(Ca0.14Fe''0.29Mg0.56)3Al2Si3O12</t>
  </si>
  <si>
    <t>cpx Na0.06Ca0.23Fe''0.39Mg1.17Fe'''0.01Ti0.01Al0.26Si1.89O6</t>
  </si>
  <si>
    <t>cpx Na0.05Ca0.22Fe''0.39Mg1.17Fe'''0.01Ti0.01Al0.26Si1.89O6</t>
  </si>
  <si>
    <t>cpx Na0.05Ca0.22Fe''0.39Mg1.18Fe'''0.01Ti0.01Al0.26Si1.89O6</t>
  </si>
  <si>
    <t>opx Na0.02Ca0.07Fe''0.38Mg1.44Fe'''0.00Ti0.01Al0.19Si1.91O6</t>
  </si>
  <si>
    <t>cpx Na0.05Ca0.22Fe''0.39Mg1.18Fe'''0.01Ti0.01Al0.26Si1.88O6</t>
  </si>
  <si>
    <t>(Ca0.14Fe''0.29Mg0.57)3Al2Si3O12</t>
  </si>
  <si>
    <t>opx Na0.02Ca0.07Fe''0.38Mg1.44Fe'''0.00Ti0.00Al0.19Si1.91O6</t>
  </si>
  <si>
    <t>cpx Na0.05Ca0.22Fe''0.39Mg1.19Fe'''0.01Ti0.01Al0.26Si1.88O6</t>
  </si>
  <si>
    <t>opx Na0.01Ca0.07Fe''0.38Mg1.44Fe'''0.00Ti0.00Al0.19Si1.91O6</t>
  </si>
  <si>
    <t>cpx Na0.05Ca0.21Fe''0.39Mg1.19Fe'''0.01Ti0.01Al0.26Si1.88O6</t>
  </si>
  <si>
    <t>opx Na0.01Ca0.07Fe''0.37Mg1.44Fe'''0.00Ti0.00Al0.19Si1.91O6</t>
  </si>
  <si>
    <t>cpx Na0.05Ca0.21Fe''0.39Mg1.20Fe'''0.01Ti0.01Al0.26Si1.88O6</t>
  </si>
  <si>
    <t>cpx Na0.04Ca0.21Fe''0.39Mg1.20Fe'''0.01Ti0.01Al0.25Si1.88O6</t>
  </si>
  <si>
    <t>opx Na0.01Ca0.07Fe''0.37Mg1.44Fe'''0.00Ti0.00Al0.18Si1.91O6</t>
  </si>
  <si>
    <t>cpx Na0.04Ca0.21Fe''0.39Mg1.20Fe'''0.01Ti0.01Al0.25Si1.89O6</t>
  </si>
  <si>
    <t>cpx Na0.04Ca0.21Fe''0.39Mg1.21Fe'''0.01Ti0.01Al0.25Si1.89O6</t>
  </si>
  <si>
    <t>opx Na0.01Ca0.07Fe''0.37Mg1.45Fe'''0.00Ti0.00Al0.18Si1.91O6</t>
  </si>
  <si>
    <t>(Ca0.00Mg0.75Fe''0.24Mn0.01Co0.00Ni0.00)2SiO4</t>
  </si>
  <si>
    <t>cpx Na0.04Ca0.21Fe''0.39Mg1.22Fe'''0.01Ti0.01Al0.24Si1.89O6</t>
  </si>
  <si>
    <t>cpx Na0.04Ca0.21Fe''0.39Mg1.23Fe'''0.01Ti0.01Al0.24Si1.89O6</t>
  </si>
  <si>
    <t>cpx Na0.03Ca0.21Fe''0.39Mg1.23Fe'''0.01Ti0.01Al0.24Si1.89O6</t>
  </si>
  <si>
    <t>cpx Na0.03Ca0.20Fe''0.39Mg1.23Fe'''0.01Ti0.01Al0.23Si1.89O6</t>
  </si>
  <si>
    <t>opx Na0.01Ca0.07Fe''0.37Mg1.45Fe'''0.00Ti0.00Al0.17Si1.91O6</t>
  </si>
  <si>
    <t>cpx Na0.03Ca0.20Fe''0.39Mg1.24Fe'''0.01Ti0.01Al0.23Si1.89O6</t>
  </si>
  <si>
    <t>opx Na0.01Ca0.07Fe''0.37Mg1.46Fe'''0.00Ti0.00Al0.17Si1.91O6</t>
  </si>
  <si>
    <t>cpx Na0.03Ca0.20Fe''0.39Mg1.25Fe'''0.01Ti0.01Al0.23Si1.89O6</t>
  </si>
  <si>
    <t>cpx Na0.03Ca0.20Fe''0.39Mg1.25Fe'''0.01Ti0.01Al0.22Si1.89O6</t>
  </si>
  <si>
    <t>opx Na0.01Ca0.07Fe''0.37Mg1.46Fe'''0.00Ti0.00Al0.17Si1.92O6</t>
  </si>
  <si>
    <t>cpx Na0.03Ca0.20Fe''0.39Mg1.25Fe'''0.01Ti0.01Al0.22Si1.90O6</t>
  </si>
  <si>
    <t>opx Na0.01Ca0.08Fe''0.37Mg1.46Fe'''0.00Ti0.00Al0.16Si1.92O6</t>
  </si>
  <si>
    <t>cpx Na0.03Ca0.20Fe''0.39Mg1.26Fe'''0.01Ti0.01Al0.22Si1.90O6</t>
  </si>
  <si>
    <t>cpx Na0.03Ca0.20Fe''0.39Mg1.26Fe'''0.01Ti0.00Al0.22Si1.90O6</t>
  </si>
  <si>
    <t>cpx Na0.03Ca0.20Fe''0.39Mg1.26Fe'''0.01Ti0.00Al0.21Si1.90O6</t>
  </si>
  <si>
    <t>opx Na0.01Ca0.08Fe''0.36Mg1.46Fe'''0.00Ti0.00Al0.16Si1.92O6</t>
  </si>
  <si>
    <t>cpx Na0.02Ca0.20Fe''0.39Mg1.27Fe'''0.01Ti0.00Al0.21Si1.90O6</t>
  </si>
  <si>
    <t>opx Na0.01Ca0.08Fe''0.36Mg1.47Fe'''0.00Ti0.00Al0.16Si1.92O6</t>
  </si>
  <si>
    <t>opx Na0.01Ca0.08Fe''0.36Mg1.47Fe'''0.00Ti0.00Al0.15Si1.92O6</t>
  </si>
  <si>
    <t>cpx Na0.02Ca0.20Fe''0.39Mg1.27Fe'''0.01Ti0.00Al0.20Si1.90O6</t>
  </si>
  <si>
    <t>cpx Na0.02Ca0.20Fe''0.39Mg1.28Fe'''0.01Ti0.00Al0.20Si1.90O6</t>
  </si>
  <si>
    <t>cpx Na0.02Ca0.20Fe''0.38Mg1.28Fe'''0.01Ti0.00Al0.20Si1.90O6</t>
  </si>
  <si>
    <t>cpx Na0.02Ca0.20Fe''0.38Mg1.28Fe'''0.01Ti0.00Al0.20Si1.91O6</t>
  </si>
  <si>
    <t>opx Na0.01Ca0.08Fe''0.36Mg1.47Fe'''0.00Ti0.00Al0.15Si1.93O6</t>
  </si>
  <si>
    <t>cpx Na0.02Ca0.20Fe''0.38Mg1.28Fe'''0.01Ti0.00Al0.19Si1.91O6</t>
  </si>
  <si>
    <t>cpx Na0.02Ca0.21Fe''0.38Mg1.29Fe'''0.01Ti0.00Al0.19Si1.91O6</t>
  </si>
  <si>
    <t>(Ca0.00Mg0.75Fe''0.23Mn0.01Co0.00Ni0.00)2SiO4</t>
  </si>
  <si>
    <t>opx Na0.01Ca0.08Fe''0.36Mg1.47Fe'''0.00Ti0.00Al0.14Si1.93O6</t>
  </si>
  <si>
    <t>(Ca0.00Mg0.76Fe''0.23Mn0.01Co0.00Ni0.00)2SiO4</t>
  </si>
  <si>
    <t>opx Na0.01Ca0.08Fe''0.36Mg1.48Fe'''0.00Ti0.00Al0.14Si1.93O6</t>
  </si>
  <si>
    <t>(Ca0.01Mg0.76Fe''0.23Mn0.01Co0.00Ni0.00)2SiO4</t>
  </si>
  <si>
    <t>cpx Na0.02Ca0.21Fe''0.38Mg1.29Fe'''0.01Ti0.00Al0.18Si1.91O6</t>
  </si>
  <si>
    <t>opx Na0.01Ca0.09Fe''0.36Mg1.48Fe'''0.00Ti0.00Al0.14Si1.93O6</t>
  </si>
  <si>
    <t>cpx Na0.02Ca0.21Fe''0.38Mg1.30Fe'''0.01Ti0.00Al0.18Si1.91O6</t>
  </si>
  <si>
    <t>opx Na0.01Ca0.09Fe''0.35Mg1.48Fe'''0.00Ti0.00Al0.13Si1.93O6</t>
  </si>
  <si>
    <t>cpx Na0.02Ca0.21Fe''0.38Mg1.30Fe'''0.01Ti0.00Al0.17Si1.92O6</t>
  </si>
  <si>
    <t>opx Na0.01Ca0.09Fe''0.35Mg1.49Fe'''0.00Ti0.00Al0.13Si1.93O6</t>
  </si>
  <si>
    <t>cpx Na0.02Ca0.21Fe''0.37Mg1.31Fe'''0.01Ti0.00Al0.17Si1.92O6</t>
  </si>
  <si>
    <t>opx Na0.01Ca0.09Fe''0.35Mg1.49Fe'''0.00Ti0.00Al0.13Si1.94O6</t>
  </si>
  <si>
    <t>cpx Na0.01Ca0.21Fe''0.37Mg1.31Fe'''0.01Ti0.00Al0.17Si1.92O6</t>
  </si>
  <si>
    <t>opx Na0.01Ca0.09Fe''0.35Mg1.49Fe'''0.00Ti0.00Al0.12Si1.94O6</t>
  </si>
  <si>
    <t>cpx Na0.01Ca0.21Fe''0.37Mg1.31Fe'''0.01Ti0.00Al0.16Si1.92O6</t>
  </si>
  <si>
    <t>opx Na0.01Ca0.09Fe''0.35Mg1.50Fe'''0.00Ti0.00Al0.12Si1.94O6</t>
  </si>
  <si>
    <t>opx Na0.00Ca0.09Fe''0.34Mg1.50Fe'''0.00Ti0.00Al0.12Si1.94O6</t>
  </si>
  <si>
    <t>(Ca0.01Mg0.76Fe''0.22Mn0.01Co0.00Ni0.00)2SiO4</t>
  </si>
  <si>
    <t>(Ca0.01Mg0.77Fe''0.22Mn0.01Co0.00Ni0.00)2SiO4</t>
  </si>
  <si>
    <t>opx Na0.00Ca0.09Fe''0.34Mg1.50Fe'''0.00Ti0.00Al0.11Si1.94O6</t>
  </si>
  <si>
    <t>opx Na0.00Ca0.09Fe''0.34Mg1.51Fe'''0.00Ti0.00Al0.11Si1.94O6</t>
  </si>
  <si>
    <t>opx Na0.00Ca0.08Fe''0.34Mg1.51Fe'''0.00Ti0.00Al0.11Si1.94O6</t>
  </si>
  <si>
    <t>opx Na0.00Ca0.08Fe''0.34Mg1.52Fe'''0.00Ti0.00Al0.11Si1.94O6</t>
  </si>
  <si>
    <t>opx Na0.00Ca0.08Fe''0.34Mg1.52Fe'''0.00Ti0.00Al0.11Si1.95O6</t>
  </si>
  <si>
    <t>opx Na0.00Ca0.08Fe''0.33Mg1.53Fe'''0.00Ti0.00Al0.11Si1.95O6</t>
  </si>
  <si>
    <t>opx Na0.00Ca0.08Fe''0.33Mg1.53Fe'''0.00Ti0.00Al0.10Si1.95O6</t>
  </si>
  <si>
    <t>(Ca0.00Mg0.78Fe''0.21Mn0.01Co0.00Ni0.00)2SiO4</t>
  </si>
  <si>
    <t>opx Na0.00Ca0.08Fe''0.33Mg1.54Fe'''0.00Ti0.00Al0.10Si1.95O6</t>
  </si>
  <si>
    <t>opx Na0.00Ca0.07Fe''0.32Mg1.55Fe'''0.00Ti0.00Al0.10Si1.95O6</t>
  </si>
  <si>
    <t>opx Na0.00Ca0.07Fe''0.32Mg1.55Fe'''0.00Ti0.00Al0.09Si1.95O6</t>
  </si>
  <si>
    <t>opx Na0.00Ca0.07Fe''0.32Mg1.56Fe'''0.00Ti0.00Al0.09Si1.95O6</t>
  </si>
  <si>
    <t>(Ca0.00Mg0.79Fe''0.20Mn0.01Co0.00Ni0.00)2SiO4</t>
  </si>
  <si>
    <t>opx Na0.00Ca0.07Fe''0.31Mg1.57Fe'''0.00Ti0.00Al0.09Si1.96O6</t>
  </si>
  <si>
    <t>opx Na0.00Ca0.07Fe''0.31Mg1.57Fe'''0.00Ti0.00Al0.08Si1.96O6</t>
  </si>
  <si>
    <t>opx Na0.00Ca0.07Fe''0.31Mg1.58Fe'''0.00Ti0.00Al0.08Si1.96O6</t>
  </si>
  <si>
    <t>opx Na0.00Ca0.07Fe''0.30Mg1.59Fe'''0.00Ti0.00Al0.08Si1.96O6</t>
  </si>
  <si>
    <t>(Ca0.00Mg0.79Fe''0.19Mn0.01Co0.00Ni0.00)2SiO4</t>
  </si>
  <si>
    <t>(Ca0.00Mg0.80Fe''0.19Mn0.01Co0.00Ni0.00)2SiO4</t>
  </si>
  <si>
    <t>opx Na0.00Ca0.06Fe''0.30Mg1.59Fe'''0.00Ti0.00Al0.08Si1.96O6</t>
  </si>
  <si>
    <t>opx Na0.00Ca0.06Fe''0.30Mg1.60Fe'''0.00Ti0.00Al0.08Si1.96O6</t>
  </si>
  <si>
    <t>opx Na0.00Ca0.06Fe''0.29Mg1.60Fe'''0.00Ti0.00Al0.07Si1.96O6</t>
  </si>
  <si>
    <t>opx Na0.00Ca0.06Fe''0.29Mg1.61Fe'''0.00Ti0.00Al0.07Si1.96O6</t>
  </si>
  <si>
    <t>(Ca0.00Mg0.80Fe''0.18Mn0.01Co0.00Ni0.00)2SiO4</t>
  </si>
  <si>
    <t>(Ca0.00Mg0.81Fe''0.18Mn0.01Co0.00Ni0.00)2SiO4</t>
  </si>
  <si>
    <t>opx Na0.00Ca0.06Fe''0.28Mg1.62Fe'''0.00Ti0.00Al0.07Si1.96O6</t>
  </si>
  <si>
    <t>opx Na0.00Ca0.06Fe''0.28Mg1.62Fe'''0.00Ti0.00Al0.07Si1.97O6</t>
  </si>
  <si>
    <t>opx Na0.00Ca0.06Fe''0.28Mg1.63Fe'''0.00Ti0.00Al0.07Si1.97O6</t>
  </si>
  <si>
    <t>opx Na0.00Ca0.06Fe''0.27Mg1.63Fe'''0.00Ti0.00Al0.06Si1.97O6</t>
  </si>
  <si>
    <t>(Ca0.00Mg0.81Fe''0.17Mn0.01Co0.00Ni0.00)2SiO4</t>
  </si>
  <si>
    <t>opx Na0.00Ca0.06Fe''0.27Mg1.64Fe'''0.00Ti0.00Al0.06Si1.97O6</t>
  </si>
  <si>
    <t>(Ca0.00Mg0.82Fe''0.17Mn0.01Co0.00Ni0.00)2SiO4</t>
  </si>
  <si>
    <t>opx Na0.00Ca0.05Fe''0.27Mg1.64Fe'''0.00Ti0.00Al0.06Si1.97O6</t>
  </si>
  <si>
    <t>opx Na0.00Ca0.05Fe''0.26Mg1.65Fe'''0.00Ti0.00Al0.06Si1.97O6</t>
  </si>
  <si>
    <t>opx Na0.00Ca0.05Fe''0.26Mg1.66Fe'''0.00Ti0.00Al0.06Si1.97O6</t>
  </si>
  <si>
    <t>(Ca0.00Mg0.82Fe''0.16Mn0.01Co0.00Ni0.00)2SiO4</t>
  </si>
  <si>
    <t>(Ca0.00Mg0.83Fe''0.16Mn0.01Co0.00Ni0.00)2SiO4</t>
  </si>
  <si>
    <t>opx Na0.00Ca0.05Fe''0.25Mg1.66Fe'''0.00Ti0.00Al0.06Si1.97O6</t>
  </si>
  <si>
    <t>opx Na0.00Ca0.05Fe''0.25Mg1.67Fe'''0.00Ti0.00Al0.06Si1.97O6</t>
  </si>
  <si>
    <t>opx Na0.00Ca0.05Fe''0.25Mg1.67Fe'''0.00Ti0.00Al0.05Si1.97O6</t>
  </si>
  <si>
    <t>opx Na0.00Ca0.05Fe''0.25Mg1.68Fe'''0.00Ti0.00Al0.05Si1.97O6</t>
  </si>
  <si>
    <t>opx Na0.00Ca0.05Fe''0.24Mg1.68Fe'''0.00Ti0.00Al0.05Si1.97O6</t>
  </si>
  <si>
    <t>(Ca0.00Mg0.84Fe''0.15Mn0.01Co0.00Ni0.00)2SiO4</t>
  </si>
  <si>
    <t>opx Na0.00Ca0.05Fe''0.24Mg1.69Fe'''0.00Ti0.00Al0.05Si1.97O6</t>
  </si>
  <si>
    <t>opx Na0.00Ca0.05Fe''0.23Mg1.69Fe'''0.00Ti0.00Al0.05Si1.97O6</t>
  </si>
  <si>
    <t>opx Na0.00Ca0.05Fe''0.23Mg1.70Fe'''0.00Ti0.00Al0.05Si1.97O6</t>
  </si>
  <si>
    <t>opx Na0.00Ca0.05Fe''0.23Mg1.70Fe'''0.00Ti0.00Al0.05Si1.98O6</t>
  </si>
  <si>
    <t>(Ca0.00Mg0.85Fe''0.14Mn0.01Co0.00Ni0.00)2SiO4</t>
  </si>
  <si>
    <t>opx Na0.00Ca0.05Fe''0.22Mg1.70Fe'''0.00Ti0.00Al0.05Si1.98O6</t>
  </si>
  <si>
    <t>opx Na0.00Ca0.04Fe''0.22Mg1.71Fe'''0.00Ti0.00Al0.05Si1.98O6</t>
  </si>
  <si>
    <t>(Ca0.00Mg0.86Fe''0.13Mn0.01Co0.00Ni0.00)2SiO4</t>
  </si>
  <si>
    <t>(Ca0.00Mg0.86Fe''0.12Mn0.01Co0.00Ni0.00)2SiO4</t>
  </si>
  <si>
    <t>(Ca0.00Mg0.87Fe''0.12Mn0.01Co0.00Ni0.00)2SiO4</t>
  </si>
  <si>
    <t>(Ca0.00Mg0.87Fe''0.11Mn0.01Co0.00Ni0.00)2SiO4</t>
  </si>
  <si>
    <t>DW 85</t>
    <phoneticPr fontId="1" type="noConversion"/>
  </si>
  <si>
    <t>Mg#</t>
    <phoneticPr fontId="1" type="noConversion"/>
  </si>
  <si>
    <t>LAR 06319 LIKE MELT</t>
    <phoneticPr fontId="1" type="noConversion"/>
  </si>
  <si>
    <t>EMM PM1 MELT</t>
    <phoneticPr fontId="1" type="noConversion"/>
  </si>
  <si>
    <t>DMM PM1 MELT</t>
    <phoneticPr fontId="1" type="noConversion"/>
  </si>
  <si>
    <t>DMM PM1 RESIDUES</t>
    <phoneticPr fontId="1" type="noConversion"/>
  </si>
  <si>
    <t>EMM PM1 RESIDUES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</si>
</sst>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FF0000"/>
      <name val="等线"/>
      <family val="2"/>
      <scheme val="minor"/>
    </font>
    <font>
      <sz val="12"/>
      <color rgb="FFFF0000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2" borderId="0" xfId="0" applyFont="1" applyFill="1"/>
    <xf numFmtId="2" fontId="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G235"/>
  <sheetViews>
    <sheetView tabSelected="1" topLeftCell="V128" workbookViewId="0">
      <selection activeCell="AK143" sqref="AK143"/>
    </sheetView>
  </sheetViews>
  <sheetFormatPr defaultColWidth="11" defaultRowHeight="15.75" x14ac:dyDescent="0.25"/>
  <cols>
    <col min="14" max="14" width="11" style="2"/>
  </cols>
  <sheetData>
    <row r="1" spans="1:32" x14ac:dyDescent="0.25">
      <c r="O1" s="1" t="s">
        <v>244</v>
      </c>
      <c r="P1" s="1"/>
      <c r="Q1" s="1">
        <v>44.4</v>
      </c>
      <c r="R1" s="1">
        <v>0.14000000000000001</v>
      </c>
      <c r="S1" s="1">
        <v>3.02</v>
      </c>
      <c r="T1" s="1"/>
      <c r="U1" s="1">
        <v>17.899999999999999</v>
      </c>
      <c r="V1" s="1">
        <v>0.46</v>
      </c>
      <c r="W1" s="1">
        <v>30.2</v>
      </c>
      <c r="X1" s="1">
        <v>2.4500000000000002</v>
      </c>
      <c r="Y1" s="1">
        <v>0.5</v>
      </c>
      <c r="Z1" s="1">
        <v>0.01</v>
      </c>
      <c r="AA1" s="1">
        <v>0.16</v>
      </c>
    </row>
    <row r="2" spans="1:32" x14ac:dyDescent="0.25">
      <c r="B2" t="s">
        <v>0</v>
      </c>
      <c r="M2" t="s">
        <v>1</v>
      </c>
      <c r="Q2" t="s">
        <v>2</v>
      </c>
      <c r="AB2" t="s">
        <v>3</v>
      </c>
    </row>
    <row r="3" spans="1:32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s="2" t="s">
        <v>17</v>
      </c>
      <c r="O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245</v>
      </c>
    </row>
    <row r="4" spans="1:32" x14ac:dyDescent="0.25">
      <c r="A4">
        <v>0</v>
      </c>
      <c r="B4" t="s">
        <v>34</v>
      </c>
      <c r="C4">
        <v>1100</v>
      </c>
      <c r="D4">
        <v>15000</v>
      </c>
      <c r="E4">
        <v>-12.308339999999999</v>
      </c>
      <c r="F4">
        <v>-1478043.505047</v>
      </c>
      <c r="G4">
        <v>-1162139.7984160001</v>
      </c>
      <c r="H4">
        <v>230.057682</v>
      </c>
      <c r="I4">
        <v>120.325667</v>
      </c>
      <c r="J4">
        <v>29.498204999999999</v>
      </c>
      <c r="K4">
        <v>3.3903349999999999</v>
      </c>
      <c r="L4" t="s">
        <v>35</v>
      </c>
      <c r="M4">
        <v>100.00878400000001</v>
      </c>
      <c r="N4" s="2">
        <v>0.68772599999999995</v>
      </c>
      <c r="O4">
        <v>99.321059000000005</v>
      </c>
      <c r="Q4">
        <v>19.983732</v>
      </c>
      <c r="R4">
        <v>0.48315900000000001</v>
      </c>
      <c r="S4">
        <v>10.168113</v>
      </c>
      <c r="T4">
        <v>0.43534099999999998</v>
      </c>
      <c r="U4">
        <v>3.1065520000000002</v>
      </c>
      <c r="V4">
        <v>9.7864000000000007E-2</v>
      </c>
      <c r="W4">
        <v>2.6582370000000002</v>
      </c>
      <c r="X4">
        <v>27.853787000000001</v>
      </c>
      <c r="Y4">
        <v>10.304755999999999</v>
      </c>
      <c r="Z4">
        <v>1.465203</v>
      </c>
      <c r="AA4">
        <v>23.443255000000001</v>
      </c>
      <c r="AB4">
        <v>52.788670000000003</v>
      </c>
      <c r="AC4">
        <v>4.1386520000000004</v>
      </c>
      <c r="AD4">
        <v>31.070761000000001</v>
      </c>
      <c r="AE4">
        <v>11.322975</v>
      </c>
      <c r="AF4">
        <f>(W4/40.31)/((W4/40.31)+((U4+T4*0.9)/71.85))</f>
        <v>0.5752612920922181</v>
      </c>
    </row>
    <row r="5" spans="1:32" x14ac:dyDescent="0.25">
      <c r="A5">
        <v>1</v>
      </c>
      <c r="B5" t="s">
        <v>34</v>
      </c>
      <c r="C5">
        <v>1102</v>
      </c>
      <c r="D5">
        <v>15000</v>
      </c>
      <c r="E5">
        <v>-12.284198999999999</v>
      </c>
      <c r="F5">
        <v>-1478504.433988</v>
      </c>
      <c r="G5">
        <v>-1161890.0592720001</v>
      </c>
      <c r="H5">
        <v>230.23988299999999</v>
      </c>
      <c r="I5">
        <v>120.350573</v>
      </c>
      <c r="J5">
        <v>29.501898000000001</v>
      </c>
      <c r="K5">
        <v>3.3899110000000001</v>
      </c>
      <c r="L5" t="s">
        <v>35</v>
      </c>
      <c r="M5">
        <v>100.008816</v>
      </c>
      <c r="N5" s="2">
        <v>0.69345299999999999</v>
      </c>
      <c r="O5">
        <v>99.315363000000005</v>
      </c>
      <c r="Q5">
        <v>20.190337</v>
      </c>
      <c r="R5">
        <v>0.489292</v>
      </c>
      <c r="S5">
        <v>10.23508</v>
      </c>
      <c r="T5">
        <v>0.440222</v>
      </c>
      <c r="U5">
        <v>3.181762</v>
      </c>
      <c r="V5">
        <v>9.7707000000000002E-2</v>
      </c>
      <c r="W5">
        <v>2.6906500000000002</v>
      </c>
      <c r="X5">
        <v>27.627514999999999</v>
      </c>
      <c r="Y5">
        <v>10.344704</v>
      </c>
      <c r="Z5">
        <v>1.4531019999999999</v>
      </c>
      <c r="AA5">
        <v>23.24963</v>
      </c>
      <c r="AB5">
        <v>52.783935999999997</v>
      </c>
      <c r="AC5">
        <v>4.1096750000000002</v>
      </c>
      <c r="AD5">
        <v>31.082228000000001</v>
      </c>
      <c r="AE5">
        <v>11.339525</v>
      </c>
      <c r="AF5">
        <f>(W5/40.31)/((W5/40.31)+((U5+T5*0.9)/71.85))</f>
        <v>0.57272321105082036</v>
      </c>
    </row>
    <row r="6" spans="1:32" x14ac:dyDescent="0.25">
      <c r="A6">
        <v>2</v>
      </c>
      <c r="B6" t="s">
        <v>34</v>
      </c>
      <c r="C6">
        <v>1104</v>
      </c>
      <c r="D6">
        <v>15000</v>
      </c>
      <c r="E6">
        <v>-12.260128999999999</v>
      </c>
      <c r="F6">
        <v>-1478965.7276920001</v>
      </c>
      <c r="G6">
        <v>-1161640.1443930001</v>
      </c>
      <c r="H6">
        <v>230.42194599999999</v>
      </c>
      <c r="I6">
        <v>120.37548</v>
      </c>
      <c r="J6">
        <v>29.505607000000001</v>
      </c>
      <c r="K6">
        <v>3.3894860000000002</v>
      </c>
      <c r="L6" t="s">
        <v>35</v>
      </c>
      <c r="M6">
        <v>100.008848</v>
      </c>
      <c r="N6" s="2">
        <v>0.69935700000000001</v>
      </c>
      <c r="O6">
        <v>99.309490999999994</v>
      </c>
      <c r="Q6">
        <v>20.400247</v>
      </c>
      <c r="R6">
        <v>0.49549799999999999</v>
      </c>
      <c r="S6">
        <v>10.302584</v>
      </c>
      <c r="T6">
        <v>0.44506299999999999</v>
      </c>
      <c r="U6">
        <v>3.2586870000000001</v>
      </c>
      <c r="V6">
        <v>9.7544000000000006E-2</v>
      </c>
      <c r="W6">
        <v>2.7235290000000001</v>
      </c>
      <c r="X6">
        <v>27.398288999999998</v>
      </c>
      <c r="Y6">
        <v>10.384347</v>
      </c>
      <c r="Z6">
        <v>1.440836</v>
      </c>
      <c r="AA6">
        <v>23.053376</v>
      </c>
      <c r="AB6">
        <v>52.779086999999997</v>
      </c>
      <c r="AC6">
        <v>4.08066</v>
      </c>
      <c r="AD6">
        <v>31.093278999999999</v>
      </c>
      <c r="AE6">
        <v>11.356467</v>
      </c>
      <c r="AF6">
        <f>(W6/40.31)/((W6/40.31)+((U6+T6*0.9)/71.85))</f>
        <v>0.5701965254294461</v>
      </c>
    </row>
    <row r="7" spans="1:32" x14ac:dyDescent="0.25">
      <c r="A7">
        <v>3</v>
      </c>
      <c r="B7" t="s">
        <v>34</v>
      </c>
      <c r="C7">
        <v>1106</v>
      </c>
      <c r="D7">
        <v>15000</v>
      </c>
      <c r="E7">
        <v>-12.236128000000001</v>
      </c>
      <c r="F7">
        <v>-1479427.38576</v>
      </c>
      <c r="G7">
        <v>-1161390.049722</v>
      </c>
      <c r="H7">
        <v>230.60387600000001</v>
      </c>
      <c r="I7">
        <v>120.400391</v>
      </c>
      <c r="J7">
        <v>29.509331</v>
      </c>
      <c r="K7">
        <v>3.3890600000000002</v>
      </c>
      <c r="L7" t="s">
        <v>35</v>
      </c>
      <c r="M7">
        <v>100.00887899999999</v>
      </c>
      <c r="N7" s="2">
        <v>0.70544200000000001</v>
      </c>
      <c r="O7">
        <v>99.303437000000002</v>
      </c>
      <c r="Q7">
        <v>20.613455999999999</v>
      </c>
      <c r="R7">
        <v>0.50177700000000003</v>
      </c>
      <c r="S7">
        <v>10.370611</v>
      </c>
      <c r="T7">
        <v>0.44985999999999998</v>
      </c>
      <c r="U7">
        <v>3.337342</v>
      </c>
      <c r="V7">
        <v>9.7375000000000003E-2</v>
      </c>
      <c r="W7">
        <v>2.7568769999999998</v>
      </c>
      <c r="X7">
        <v>27.166129999999999</v>
      </c>
      <c r="Y7">
        <v>10.423658</v>
      </c>
      <c r="Z7">
        <v>1.428407</v>
      </c>
      <c r="AA7">
        <v>22.854507000000002</v>
      </c>
      <c r="AB7">
        <v>52.774120000000003</v>
      </c>
      <c r="AC7">
        <v>4.051609</v>
      </c>
      <c r="AD7">
        <v>31.103888999999999</v>
      </c>
      <c r="AE7">
        <v>11.373817000000001</v>
      </c>
      <c r="AF7">
        <f>(W7/40.31)/((W7/40.31)+((U7+T7*0.9)/71.85))</f>
        <v>0.56768239983067281</v>
      </c>
    </row>
    <row r="8" spans="1:32" x14ac:dyDescent="0.25">
      <c r="A8">
        <v>4</v>
      </c>
      <c r="B8" t="s">
        <v>34</v>
      </c>
      <c r="C8">
        <v>1108</v>
      </c>
      <c r="D8">
        <v>15000</v>
      </c>
      <c r="E8">
        <v>-12.212197</v>
      </c>
      <c r="F8">
        <v>-1479889.4077959999</v>
      </c>
      <c r="G8">
        <v>-1161139.7710450001</v>
      </c>
      <c r="H8">
        <v>230.785676</v>
      </c>
      <c r="I8">
        <v>120.425307</v>
      </c>
      <c r="J8">
        <v>29.513071</v>
      </c>
      <c r="K8">
        <v>3.3886310000000002</v>
      </c>
      <c r="L8" t="s">
        <v>35</v>
      </c>
      <c r="M8">
        <v>100.008911</v>
      </c>
      <c r="N8" s="2">
        <v>0.71171600000000002</v>
      </c>
      <c r="O8">
        <v>99.297195000000002</v>
      </c>
      <c r="Q8">
        <v>20.829948999999999</v>
      </c>
      <c r="R8">
        <v>0.50812800000000002</v>
      </c>
      <c r="S8">
        <v>10.439144000000001</v>
      </c>
      <c r="T8">
        <v>0.45460699999999998</v>
      </c>
      <c r="U8">
        <v>3.4177409999999999</v>
      </c>
      <c r="V8">
        <v>9.7199999999999995E-2</v>
      </c>
      <c r="W8">
        <v>2.790699</v>
      </c>
      <c r="X8">
        <v>26.931069000000001</v>
      </c>
      <c r="Y8">
        <v>10.462607</v>
      </c>
      <c r="Z8">
        <v>1.415815</v>
      </c>
      <c r="AA8">
        <v>22.653041000000002</v>
      </c>
      <c r="AB8">
        <v>52.769038999999999</v>
      </c>
      <c r="AC8">
        <v>4.0225229999999996</v>
      </c>
      <c r="AD8">
        <v>31.114038000000001</v>
      </c>
      <c r="AE8">
        <v>11.391594</v>
      </c>
      <c r="AF8">
        <f>(W8/40.31)/((W8/40.31)+((U8+T8*0.9)/71.85))</f>
        <v>0.56518227762361706</v>
      </c>
    </row>
    <row r="9" spans="1:32" x14ac:dyDescent="0.25">
      <c r="A9">
        <v>5</v>
      </c>
      <c r="B9" t="s">
        <v>34</v>
      </c>
      <c r="C9">
        <v>1110</v>
      </c>
      <c r="D9">
        <v>15000</v>
      </c>
      <c r="E9">
        <v>-12.188336</v>
      </c>
      <c r="F9">
        <v>-1480351.7934049999</v>
      </c>
      <c r="G9">
        <v>-1160889.3039909999</v>
      </c>
      <c r="H9">
        <v>230.96734900000001</v>
      </c>
      <c r="I9">
        <v>120.450231</v>
      </c>
      <c r="J9">
        <v>29.516828</v>
      </c>
      <c r="K9">
        <v>3.388201</v>
      </c>
      <c r="L9" t="s">
        <v>35</v>
      </c>
      <c r="M9">
        <v>100.008942</v>
      </c>
      <c r="N9" s="2">
        <v>0.71818499999999996</v>
      </c>
      <c r="O9">
        <v>99.290756999999999</v>
      </c>
      <c r="Q9">
        <v>21.049710000000001</v>
      </c>
      <c r="R9">
        <v>0.51454900000000003</v>
      </c>
      <c r="S9">
        <v>10.508167</v>
      </c>
      <c r="T9">
        <v>0.45929900000000001</v>
      </c>
      <c r="U9">
        <v>3.4998969999999998</v>
      </c>
      <c r="V9">
        <v>9.7018999999999994E-2</v>
      </c>
      <c r="W9">
        <v>2.8249970000000002</v>
      </c>
      <c r="X9">
        <v>26.693138999999999</v>
      </c>
      <c r="Y9">
        <v>10.501162000000001</v>
      </c>
      <c r="Z9">
        <v>1.403062</v>
      </c>
      <c r="AA9">
        <v>22.448998</v>
      </c>
      <c r="AB9">
        <v>52.763835999999998</v>
      </c>
      <c r="AC9">
        <v>3.9934050000000001</v>
      </c>
      <c r="AD9">
        <v>31.123701000000001</v>
      </c>
      <c r="AE9">
        <v>11.409814000000001</v>
      </c>
      <c r="AF9">
        <f>(W9/40.31)/((W9/40.31)+((U9+T9*0.9)/71.85))</f>
        <v>0.56269725018553007</v>
      </c>
    </row>
    <row r="10" spans="1:32" x14ac:dyDescent="0.25">
      <c r="A10">
        <v>6</v>
      </c>
      <c r="B10" t="s">
        <v>34</v>
      </c>
      <c r="C10">
        <v>1112</v>
      </c>
      <c r="D10">
        <v>15000</v>
      </c>
      <c r="E10">
        <v>-12.164543</v>
      </c>
      <c r="F10">
        <v>-1480814.542196</v>
      </c>
      <c r="G10">
        <v>-1160638.644019</v>
      </c>
      <c r="H10">
        <v>231.1489</v>
      </c>
      <c r="I10">
        <v>120.47516400000001</v>
      </c>
      <c r="J10">
        <v>29.520602</v>
      </c>
      <c r="K10">
        <v>3.387769</v>
      </c>
      <c r="L10" t="s">
        <v>35</v>
      </c>
      <c r="M10">
        <v>100.00897399999999</v>
      </c>
      <c r="N10" s="2">
        <v>0.72485599999999994</v>
      </c>
      <c r="O10">
        <v>99.284118000000007</v>
      </c>
      <c r="Q10">
        <v>21.272711999999999</v>
      </c>
      <c r="R10">
        <v>0.52104099999999998</v>
      </c>
      <c r="S10">
        <v>10.577661000000001</v>
      </c>
      <c r="T10">
        <v>0.46393099999999998</v>
      </c>
      <c r="U10">
        <v>3.5838190000000001</v>
      </c>
      <c r="V10">
        <v>9.6832000000000001E-2</v>
      </c>
      <c r="W10">
        <v>2.859775</v>
      </c>
      <c r="X10">
        <v>26.452380999999999</v>
      </c>
      <c r="Y10">
        <v>10.539289999999999</v>
      </c>
      <c r="Z10">
        <v>1.39015</v>
      </c>
      <c r="AA10">
        <v>22.242405999999999</v>
      </c>
      <c r="AB10">
        <v>52.758510999999999</v>
      </c>
      <c r="AC10">
        <v>3.9642559999999998</v>
      </c>
      <c r="AD10">
        <v>31.132853000000001</v>
      </c>
      <c r="AE10">
        <v>11.428499</v>
      </c>
      <c r="AF10">
        <f>(W10/40.31)/((W10/40.31)+((U10+T10*0.9)/71.85))</f>
        <v>0.56022874509796661</v>
      </c>
    </row>
    <row r="11" spans="1:32" x14ac:dyDescent="0.25">
      <c r="A11">
        <v>7</v>
      </c>
      <c r="B11" t="s">
        <v>34</v>
      </c>
      <c r="C11">
        <v>1114</v>
      </c>
      <c r="D11">
        <v>15000</v>
      </c>
      <c r="E11">
        <v>-12.140819</v>
      </c>
      <c r="F11">
        <v>-1481277.6537810001</v>
      </c>
      <c r="G11">
        <v>-1160387.786416</v>
      </c>
      <c r="H11">
        <v>231.33033</v>
      </c>
      <c r="I11">
        <v>120.500108</v>
      </c>
      <c r="J11">
        <v>29.524393</v>
      </c>
      <c r="K11">
        <v>3.3873350000000002</v>
      </c>
      <c r="L11" t="s">
        <v>35</v>
      </c>
      <c r="M11">
        <v>100.009005</v>
      </c>
      <c r="N11" s="2">
        <v>0.73173500000000002</v>
      </c>
      <c r="O11">
        <v>99.277270999999999</v>
      </c>
      <c r="Q11">
        <v>21.498926999999998</v>
      </c>
      <c r="R11">
        <v>0.52760200000000002</v>
      </c>
      <c r="S11">
        <v>10.647607000000001</v>
      </c>
      <c r="T11">
        <v>0.468497</v>
      </c>
      <c r="U11">
        <v>3.6695169999999999</v>
      </c>
      <c r="V11">
        <v>9.6640000000000004E-2</v>
      </c>
      <c r="W11">
        <v>2.8950369999999999</v>
      </c>
      <c r="X11">
        <v>26.208841</v>
      </c>
      <c r="Y11">
        <v>10.576957999999999</v>
      </c>
      <c r="Z11">
        <v>1.377081</v>
      </c>
      <c r="AA11">
        <v>22.033294999999999</v>
      </c>
      <c r="AB11">
        <v>52.753056000000001</v>
      </c>
      <c r="AC11">
        <v>3.9350770000000002</v>
      </c>
      <c r="AD11">
        <v>31.141466000000001</v>
      </c>
      <c r="AE11">
        <v>11.44767</v>
      </c>
      <c r="AF11">
        <f>(W11/40.31)/((W11/40.31)+((U11+T11*0.9)/71.85))</f>
        <v>0.55777807700746374</v>
      </c>
    </row>
    <row r="12" spans="1:32" x14ac:dyDescent="0.25">
      <c r="A12">
        <v>8</v>
      </c>
      <c r="B12" t="s">
        <v>34</v>
      </c>
      <c r="C12">
        <v>1116</v>
      </c>
      <c r="D12">
        <v>15000</v>
      </c>
      <c r="E12">
        <v>-12.117163</v>
      </c>
      <c r="F12">
        <v>-1481741.127777</v>
      </c>
      <c r="G12">
        <v>-1160136.7262860001</v>
      </c>
      <c r="H12">
        <v>231.51164499999999</v>
      </c>
      <c r="I12">
        <v>120.525065</v>
      </c>
      <c r="J12">
        <v>29.528202</v>
      </c>
      <c r="K12">
        <v>3.3868990000000001</v>
      </c>
      <c r="L12" t="s">
        <v>35</v>
      </c>
      <c r="M12">
        <v>100.00903700000001</v>
      </c>
      <c r="N12" s="2">
        <v>0.73882999999999999</v>
      </c>
      <c r="O12">
        <v>99.270206999999999</v>
      </c>
      <c r="Q12">
        <v>21.728314999999998</v>
      </c>
      <c r="R12">
        <v>0.53422999999999998</v>
      </c>
      <c r="S12">
        <v>10.717981999999999</v>
      </c>
      <c r="T12">
        <v>0.47299099999999999</v>
      </c>
      <c r="U12">
        <v>3.756996</v>
      </c>
      <c r="V12">
        <v>9.6440999999999999E-2</v>
      </c>
      <c r="W12">
        <v>2.9307840000000001</v>
      </c>
      <c r="X12">
        <v>25.962572999999999</v>
      </c>
      <c r="Y12">
        <v>10.614129</v>
      </c>
      <c r="Z12">
        <v>1.363856</v>
      </c>
      <c r="AA12">
        <v>21.821702999999999</v>
      </c>
      <c r="AB12">
        <v>52.747475000000001</v>
      </c>
      <c r="AC12">
        <v>3.9058709999999999</v>
      </c>
      <c r="AD12">
        <v>31.149511</v>
      </c>
      <c r="AE12">
        <v>11.467351000000001</v>
      </c>
      <c r="AF12">
        <f>(W12/40.31)/((W12/40.31)+((U12+T12*0.9)/71.85))</f>
        <v>0.55534650128001306</v>
      </c>
    </row>
    <row r="13" spans="1:32" x14ac:dyDescent="0.25">
      <c r="A13">
        <v>9</v>
      </c>
      <c r="B13" t="s">
        <v>34</v>
      </c>
      <c r="C13">
        <v>1118</v>
      </c>
      <c r="D13">
        <v>15000</v>
      </c>
      <c r="E13">
        <v>-12.093575</v>
      </c>
      <c r="F13">
        <v>-1482204.9638040001</v>
      </c>
      <c r="G13">
        <v>-1159885.458542</v>
      </c>
      <c r="H13">
        <v>231.692848</v>
      </c>
      <c r="I13">
        <v>120.550037</v>
      </c>
      <c r="J13">
        <v>29.532029000000001</v>
      </c>
      <c r="K13">
        <v>3.3864610000000002</v>
      </c>
      <c r="L13" t="s">
        <v>35</v>
      </c>
      <c r="M13">
        <v>100.009068</v>
      </c>
      <c r="N13" s="2">
        <v>0.74614800000000003</v>
      </c>
      <c r="O13">
        <v>99.262919999999994</v>
      </c>
      <c r="Q13">
        <v>21.960832</v>
      </c>
      <c r="R13">
        <v>0.54092300000000004</v>
      </c>
      <c r="S13">
        <v>10.788765</v>
      </c>
      <c r="T13">
        <v>0.477408</v>
      </c>
      <c r="U13">
        <v>3.8462589999999999</v>
      </c>
      <c r="V13">
        <v>9.6238000000000004E-2</v>
      </c>
      <c r="W13">
        <v>2.9670209999999999</v>
      </c>
      <c r="X13">
        <v>25.713636000000001</v>
      </c>
      <c r="Y13">
        <v>10.650767</v>
      </c>
      <c r="Z13">
        <v>1.3504799999999999</v>
      </c>
      <c r="AA13">
        <v>21.607672000000001</v>
      </c>
      <c r="AB13">
        <v>52.741756000000002</v>
      </c>
      <c r="AC13">
        <v>3.8766379999999998</v>
      </c>
      <c r="AD13">
        <v>31.156956000000001</v>
      </c>
      <c r="AE13">
        <v>11.487569000000001</v>
      </c>
      <c r="AF13">
        <f>(W13/40.31)/((W13/40.31)+((U13+T13*0.9)/71.85))</f>
        <v>0.55293555981127285</v>
      </c>
    </row>
    <row r="14" spans="1:32" x14ac:dyDescent="0.25">
      <c r="A14">
        <v>10</v>
      </c>
      <c r="B14" t="s">
        <v>34</v>
      </c>
      <c r="C14">
        <v>1120</v>
      </c>
      <c r="D14">
        <v>15000</v>
      </c>
      <c r="E14">
        <v>-12.070055</v>
      </c>
      <c r="F14">
        <v>-1482669.1614900001</v>
      </c>
      <c r="G14">
        <v>-1159633.977898</v>
      </c>
      <c r="H14">
        <v>231.873943</v>
      </c>
      <c r="I14">
        <v>120.57502700000001</v>
      </c>
      <c r="J14">
        <v>29.535875000000001</v>
      </c>
      <c r="K14">
        <v>3.3860209999999999</v>
      </c>
      <c r="L14" t="s">
        <v>35</v>
      </c>
      <c r="M14">
        <v>100.0091</v>
      </c>
      <c r="N14" s="2">
        <v>0.75369699999999995</v>
      </c>
      <c r="O14">
        <v>99.255402000000004</v>
      </c>
      <c r="Q14">
        <v>22.196425999999999</v>
      </c>
      <c r="R14">
        <v>0.54768099999999997</v>
      </c>
      <c r="S14">
        <v>10.85993</v>
      </c>
      <c r="T14">
        <v>0.481742</v>
      </c>
      <c r="U14">
        <v>3.9373089999999999</v>
      </c>
      <c r="V14">
        <v>9.6029000000000003E-2</v>
      </c>
      <c r="W14">
        <v>3.0037500000000001</v>
      </c>
      <c r="X14">
        <v>25.462098000000001</v>
      </c>
      <c r="Y14">
        <v>10.686832000000001</v>
      </c>
      <c r="Z14">
        <v>1.3369530000000001</v>
      </c>
      <c r="AA14">
        <v>21.391249999999999</v>
      </c>
      <c r="AB14">
        <v>52.735905000000002</v>
      </c>
      <c r="AC14">
        <v>3.8473799999999998</v>
      </c>
      <c r="AD14">
        <v>31.163767</v>
      </c>
      <c r="AE14">
        <v>11.508350999999999</v>
      </c>
      <c r="AF14">
        <f>(W14/40.31)/((W14/40.31)+((U14+T14*0.9)/71.85))</f>
        <v>0.55054647346764474</v>
      </c>
    </row>
    <row r="15" spans="1:32" x14ac:dyDescent="0.25">
      <c r="A15">
        <v>11</v>
      </c>
      <c r="B15" t="s">
        <v>34</v>
      </c>
      <c r="C15">
        <v>1122</v>
      </c>
      <c r="D15">
        <v>15000</v>
      </c>
      <c r="E15">
        <v>-12.046602</v>
      </c>
      <c r="F15">
        <v>-1483133.720466</v>
      </c>
      <c r="G15">
        <v>-1159382.278859</v>
      </c>
      <c r="H15">
        <v>232.054934</v>
      </c>
      <c r="I15">
        <v>120.600036</v>
      </c>
      <c r="J15">
        <v>29.539739999999998</v>
      </c>
      <c r="K15">
        <v>3.3855789999999999</v>
      </c>
      <c r="L15" t="s">
        <v>35</v>
      </c>
      <c r="M15">
        <v>100.009131</v>
      </c>
      <c r="N15" s="2">
        <v>0.76148499999999997</v>
      </c>
      <c r="O15">
        <v>99.247646000000003</v>
      </c>
      <c r="Q15">
        <v>22.435039</v>
      </c>
      <c r="R15">
        <v>0.55450100000000002</v>
      </c>
      <c r="S15">
        <v>10.931450999999999</v>
      </c>
      <c r="T15">
        <v>0.48598999999999998</v>
      </c>
      <c r="U15">
        <v>4.0301450000000001</v>
      </c>
      <c r="V15">
        <v>9.5814999999999997E-2</v>
      </c>
      <c r="W15">
        <v>3.0409739999999998</v>
      </c>
      <c r="X15">
        <v>25.208030999999998</v>
      </c>
      <c r="Y15">
        <v>10.722284</v>
      </c>
      <c r="Z15">
        <v>1.3232809999999999</v>
      </c>
      <c r="AA15">
        <v>21.172488999999999</v>
      </c>
      <c r="AB15">
        <v>52.729911999999999</v>
      </c>
      <c r="AC15">
        <v>3.8180990000000001</v>
      </c>
      <c r="AD15">
        <v>31.169906999999998</v>
      </c>
      <c r="AE15">
        <v>11.529730000000001</v>
      </c>
      <c r="AF15">
        <f>(W15/40.31)/((W15/40.31)+((U15+T15*0.9)/71.85))</f>
        <v>0.54818050483839731</v>
      </c>
    </row>
    <row r="16" spans="1:32" x14ac:dyDescent="0.25">
      <c r="A16">
        <v>12</v>
      </c>
      <c r="B16" t="s">
        <v>34</v>
      </c>
      <c r="C16">
        <v>1124</v>
      </c>
      <c r="D16">
        <v>15000</v>
      </c>
      <c r="E16">
        <v>-12.023216</v>
      </c>
      <c r="F16">
        <v>-1483598.6403709999</v>
      </c>
      <c r="G16">
        <v>-1159130.355711</v>
      </c>
      <c r="H16">
        <v>232.235826</v>
      </c>
      <c r="I16">
        <v>120.625067</v>
      </c>
      <c r="J16">
        <v>29.543624999999999</v>
      </c>
      <c r="K16">
        <v>3.385135</v>
      </c>
      <c r="L16" t="s">
        <v>35</v>
      </c>
      <c r="M16">
        <v>100.009163</v>
      </c>
      <c r="N16" s="2">
        <v>0.76951899999999995</v>
      </c>
      <c r="O16">
        <v>99.239643999999998</v>
      </c>
      <c r="Q16">
        <v>22.676601999999999</v>
      </c>
      <c r="R16">
        <v>0.56138200000000005</v>
      </c>
      <c r="S16">
        <v>11.003301</v>
      </c>
      <c r="T16">
        <v>0.49014400000000002</v>
      </c>
      <c r="U16">
        <v>4.1247629999999997</v>
      </c>
      <c r="V16">
        <v>9.5596E-2</v>
      </c>
      <c r="W16">
        <v>3.0786950000000002</v>
      </c>
      <c r="X16">
        <v>24.951518</v>
      </c>
      <c r="Y16">
        <v>10.757083</v>
      </c>
      <c r="Z16">
        <v>1.309466</v>
      </c>
      <c r="AA16">
        <v>20.951449</v>
      </c>
      <c r="AB16">
        <v>52.723773999999999</v>
      </c>
      <c r="AC16">
        <v>3.7887949999999999</v>
      </c>
      <c r="AD16">
        <v>31.175335</v>
      </c>
      <c r="AE16">
        <v>11.551739</v>
      </c>
      <c r="AF16">
        <f>(W16/40.31)/((W16/40.31)+((U16+T16*0.9)/71.85))</f>
        <v>0.54583912776887777</v>
      </c>
    </row>
    <row r="17" spans="1:32" x14ac:dyDescent="0.25">
      <c r="A17">
        <v>13</v>
      </c>
      <c r="B17" t="s">
        <v>34</v>
      </c>
      <c r="C17">
        <v>1126</v>
      </c>
      <c r="D17">
        <v>15000</v>
      </c>
      <c r="E17">
        <v>-11.999897000000001</v>
      </c>
      <c r="F17">
        <v>-1484063.9208529999</v>
      </c>
      <c r="G17">
        <v>-1158878.2025049999</v>
      </c>
      <c r="H17">
        <v>232.41662299999999</v>
      </c>
      <c r="I17">
        <v>120.650122</v>
      </c>
      <c r="J17">
        <v>29.547529999999998</v>
      </c>
      <c r="K17">
        <v>3.3846889999999998</v>
      </c>
      <c r="L17" t="s">
        <v>35</v>
      </c>
      <c r="M17">
        <v>100.00919399999999</v>
      </c>
      <c r="N17" s="2">
        <v>0.77780700000000003</v>
      </c>
      <c r="O17">
        <v>99.231386999999998</v>
      </c>
      <c r="Q17">
        <v>22.921040999999999</v>
      </c>
      <c r="R17">
        <v>0.56832099999999997</v>
      </c>
      <c r="S17">
        <v>11.07545</v>
      </c>
      <c r="T17">
        <v>0.494201</v>
      </c>
      <c r="U17">
        <v>4.221158</v>
      </c>
      <c r="V17">
        <v>9.5372999999999999E-2</v>
      </c>
      <c r="W17">
        <v>3.1169169999999999</v>
      </c>
      <c r="X17">
        <v>24.692647999999998</v>
      </c>
      <c r="Y17">
        <v>10.791183999999999</v>
      </c>
      <c r="Z17">
        <v>1.295512</v>
      </c>
      <c r="AA17">
        <v>20.728196000000001</v>
      </c>
      <c r="AB17">
        <v>52.717495</v>
      </c>
      <c r="AC17">
        <v>3.7594699999999999</v>
      </c>
      <c r="AD17">
        <v>31.180008000000001</v>
      </c>
      <c r="AE17">
        <v>11.574415</v>
      </c>
      <c r="AF17">
        <f>(W17/40.31)/((W17/40.31)+((U17+T17*0.9)/71.85))</f>
        <v>0.54352365011485315</v>
      </c>
    </row>
    <row r="18" spans="1:32" x14ac:dyDescent="0.25">
      <c r="A18">
        <v>14</v>
      </c>
      <c r="B18" t="s">
        <v>34</v>
      </c>
      <c r="C18">
        <v>1128</v>
      </c>
      <c r="D18">
        <v>15000</v>
      </c>
      <c r="E18">
        <v>-11.976645</v>
      </c>
      <c r="F18">
        <v>-1484529.5615670001</v>
      </c>
      <c r="G18">
        <v>-1158625.813049</v>
      </c>
      <c r="H18">
        <v>232.59733</v>
      </c>
      <c r="I18">
        <v>120.675203</v>
      </c>
      <c r="J18">
        <v>29.551456000000002</v>
      </c>
      <c r="K18">
        <v>3.3842400000000001</v>
      </c>
      <c r="L18" t="s">
        <v>35</v>
      </c>
      <c r="M18">
        <v>100.009225</v>
      </c>
      <c r="N18" s="2">
        <v>0.786358</v>
      </c>
      <c r="O18">
        <v>99.222866999999994</v>
      </c>
      <c r="Q18">
        <v>23.168272000000002</v>
      </c>
      <c r="R18">
        <v>0.57531600000000005</v>
      </c>
      <c r="S18">
        <v>11.147868000000001</v>
      </c>
      <c r="T18">
        <v>0.49815599999999999</v>
      </c>
      <c r="U18">
        <v>4.3193210000000004</v>
      </c>
      <c r="V18">
        <v>9.5144999999999993E-2</v>
      </c>
      <c r="W18">
        <v>3.1556410000000001</v>
      </c>
      <c r="X18">
        <v>24.431515000000001</v>
      </c>
      <c r="Y18">
        <v>10.824541999999999</v>
      </c>
      <c r="Z18">
        <v>1.281425</v>
      </c>
      <c r="AA18">
        <v>20.502799</v>
      </c>
      <c r="AB18">
        <v>52.711063000000003</v>
      </c>
      <c r="AC18">
        <v>3.730124</v>
      </c>
      <c r="AD18">
        <v>31.183879999999998</v>
      </c>
      <c r="AE18">
        <v>11.597801</v>
      </c>
      <c r="AF18">
        <f>(W18/40.31)/((W18/40.31)+((U18+T18*0.9)/71.85))</f>
        <v>0.54123532260569951</v>
      </c>
    </row>
    <row r="19" spans="1:32" x14ac:dyDescent="0.25">
      <c r="A19">
        <v>15</v>
      </c>
      <c r="B19" t="s">
        <v>34</v>
      </c>
      <c r="C19">
        <v>1130</v>
      </c>
      <c r="D19">
        <v>15000</v>
      </c>
      <c r="E19">
        <v>-11.953459000000001</v>
      </c>
      <c r="F19">
        <v>-1484995.5621770001</v>
      </c>
      <c r="G19">
        <v>-1158373.180889</v>
      </c>
      <c r="H19">
        <v>232.777951</v>
      </c>
      <c r="I19">
        <v>120.70031299999999</v>
      </c>
      <c r="J19">
        <v>29.555402999999998</v>
      </c>
      <c r="K19">
        <v>3.3837890000000002</v>
      </c>
      <c r="L19" t="s">
        <v>35</v>
      </c>
      <c r="M19">
        <v>100.00925599999999</v>
      </c>
      <c r="N19" s="2">
        <v>0.79517899999999997</v>
      </c>
      <c r="O19">
        <v>99.214077000000003</v>
      </c>
      <c r="Q19">
        <v>23.418203999999999</v>
      </c>
      <c r="R19">
        <v>0.58236500000000002</v>
      </c>
      <c r="S19">
        <v>11.220522000000001</v>
      </c>
      <c r="T19">
        <v>0.50200299999999998</v>
      </c>
      <c r="U19">
        <v>4.4192419999999997</v>
      </c>
      <c r="V19">
        <v>9.4912999999999997E-2</v>
      </c>
      <c r="W19">
        <v>3.194871</v>
      </c>
      <c r="X19">
        <v>24.168225</v>
      </c>
      <c r="Y19">
        <v>10.85711</v>
      </c>
      <c r="Z19">
        <v>1.267209</v>
      </c>
      <c r="AA19">
        <v>20.275337</v>
      </c>
      <c r="AB19">
        <v>52.704478999999999</v>
      </c>
      <c r="AC19">
        <v>3.700758</v>
      </c>
      <c r="AD19">
        <v>31.186896999999998</v>
      </c>
      <c r="AE19">
        <v>11.621941</v>
      </c>
      <c r="AF19">
        <f>(W19/40.31)/((W19/40.31)+((U19+T19*0.9)/71.85))</f>
        <v>0.53897559613006341</v>
      </c>
    </row>
    <row r="20" spans="1:32" x14ac:dyDescent="0.25">
      <c r="A20">
        <v>16</v>
      </c>
      <c r="B20" t="s">
        <v>34</v>
      </c>
      <c r="C20">
        <v>1132</v>
      </c>
      <c r="D20">
        <v>15000</v>
      </c>
      <c r="E20">
        <v>-11.930339</v>
      </c>
      <c r="F20">
        <v>-1485461.92236</v>
      </c>
      <c r="G20">
        <v>-1158120.299293</v>
      </c>
      <c r="H20">
        <v>232.95849100000001</v>
      </c>
      <c r="I20">
        <v>120.725454</v>
      </c>
      <c r="J20">
        <v>29.559372</v>
      </c>
      <c r="K20">
        <v>3.3833359999999999</v>
      </c>
      <c r="L20" t="s">
        <v>35</v>
      </c>
      <c r="M20">
        <v>100.009287</v>
      </c>
      <c r="N20" s="2">
        <v>0.80428100000000002</v>
      </c>
      <c r="O20">
        <v>99.205005999999997</v>
      </c>
      <c r="Q20">
        <v>23.670735000000001</v>
      </c>
      <c r="R20">
        <v>0.58946500000000002</v>
      </c>
      <c r="S20">
        <v>11.293376</v>
      </c>
      <c r="T20">
        <v>0.50573900000000005</v>
      </c>
      <c r="U20">
        <v>4.5209089999999996</v>
      </c>
      <c r="V20">
        <v>9.4675999999999996E-2</v>
      </c>
      <c r="W20">
        <v>3.23461</v>
      </c>
      <c r="X20">
        <v>23.902888000000001</v>
      </c>
      <c r="Y20">
        <v>10.888840999999999</v>
      </c>
      <c r="Z20">
        <v>1.2528680000000001</v>
      </c>
      <c r="AA20">
        <v>20.045893</v>
      </c>
      <c r="AB20">
        <v>52.697741999999998</v>
      </c>
      <c r="AC20">
        <v>3.671373</v>
      </c>
      <c r="AD20">
        <v>31.189005000000002</v>
      </c>
      <c r="AE20">
        <v>11.646886</v>
      </c>
      <c r="AF20">
        <f>(W20/40.31)/((W20/40.31)+((U20+T20*0.9)/71.85))</f>
        <v>0.53674566883945618</v>
      </c>
    </row>
    <row r="21" spans="1:32" x14ac:dyDescent="0.25">
      <c r="A21">
        <v>17</v>
      </c>
      <c r="B21" t="s">
        <v>34</v>
      </c>
      <c r="C21">
        <v>1134</v>
      </c>
      <c r="D21">
        <v>15000</v>
      </c>
      <c r="E21">
        <v>-11.907285</v>
      </c>
      <c r="F21">
        <v>-1485928.6418029999</v>
      </c>
      <c r="G21">
        <v>-1157867.161231</v>
      </c>
      <c r="H21">
        <v>233.13895500000001</v>
      </c>
      <c r="I21">
        <v>120.75062800000001</v>
      </c>
      <c r="J21">
        <v>29.563364</v>
      </c>
      <c r="K21">
        <v>3.3828800000000001</v>
      </c>
      <c r="L21" t="s">
        <v>35</v>
      </c>
      <c r="M21">
        <v>100.00931799999999</v>
      </c>
      <c r="N21" s="2">
        <v>0.81367100000000003</v>
      </c>
      <c r="O21">
        <v>99.195646999999994</v>
      </c>
      <c r="Q21">
        <v>23.925757000000001</v>
      </c>
      <c r="R21">
        <v>0.59661299999999995</v>
      </c>
      <c r="S21">
        <v>11.366396</v>
      </c>
      <c r="T21">
        <v>0.50935900000000001</v>
      </c>
      <c r="U21">
        <v>4.6243040000000004</v>
      </c>
      <c r="V21">
        <v>9.4436999999999993E-2</v>
      </c>
      <c r="W21">
        <v>3.2748590000000002</v>
      </c>
      <c r="X21">
        <v>23.635624</v>
      </c>
      <c r="Y21">
        <v>10.919684</v>
      </c>
      <c r="Z21">
        <v>1.23841</v>
      </c>
      <c r="AA21">
        <v>19.814557000000001</v>
      </c>
      <c r="AB21">
        <v>52.690845000000003</v>
      </c>
      <c r="AC21">
        <v>3.6419679999999999</v>
      </c>
      <c r="AD21">
        <v>31.190142000000002</v>
      </c>
      <c r="AE21">
        <v>11.672692</v>
      </c>
      <c r="AF21">
        <f>(W21/40.31)/((W21/40.31)+((U21+T21*0.9)/71.85))</f>
        <v>0.53454684263854668</v>
      </c>
    </row>
    <row r="22" spans="1:32" x14ac:dyDescent="0.25">
      <c r="A22">
        <v>18</v>
      </c>
      <c r="B22" t="s">
        <v>34</v>
      </c>
      <c r="C22">
        <v>1136</v>
      </c>
      <c r="D22">
        <v>15000</v>
      </c>
      <c r="E22">
        <v>-11.884297</v>
      </c>
      <c r="F22">
        <v>-1486395.7202049999</v>
      </c>
      <c r="G22">
        <v>-1157613.759354</v>
      </c>
      <c r="H22">
        <v>233.31934899999999</v>
      </c>
      <c r="I22">
        <v>120.775839</v>
      </c>
      <c r="J22">
        <v>29.56738</v>
      </c>
      <c r="K22">
        <v>3.382422</v>
      </c>
      <c r="L22" t="s">
        <v>35</v>
      </c>
      <c r="M22">
        <v>100.009349</v>
      </c>
      <c r="N22" s="2">
        <v>0.82335800000000003</v>
      </c>
      <c r="O22">
        <v>99.185990000000004</v>
      </c>
      <c r="Q22">
        <v>24.183152</v>
      </c>
      <c r="R22">
        <v>0.60380699999999998</v>
      </c>
      <c r="S22">
        <v>11.439541999999999</v>
      </c>
      <c r="T22">
        <v>0.51285899999999995</v>
      </c>
      <c r="U22">
        <v>4.7294109999999998</v>
      </c>
      <c r="V22">
        <v>9.4192999999999999E-2</v>
      </c>
      <c r="W22">
        <v>3.315623</v>
      </c>
      <c r="X22">
        <v>23.36656</v>
      </c>
      <c r="Y22">
        <v>10.949588</v>
      </c>
      <c r="Z22">
        <v>1.2238389999999999</v>
      </c>
      <c r="AA22">
        <v>19.581424999999999</v>
      </c>
      <c r="AB22">
        <v>52.683784000000003</v>
      </c>
      <c r="AC22">
        <v>3.6125419999999999</v>
      </c>
      <c r="AD22">
        <v>31.190241</v>
      </c>
      <c r="AE22">
        <v>11.699422</v>
      </c>
      <c r="AF22">
        <f>(W22/40.31)/((W22/40.31)+((U22+T22*0.9)/71.85))</f>
        <v>0.53238043849631311</v>
      </c>
    </row>
    <row r="23" spans="1:32" x14ac:dyDescent="0.25">
      <c r="A23">
        <v>19</v>
      </c>
      <c r="B23" t="s">
        <v>34</v>
      </c>
      <c r="C23">
        <v>1138</v>
      </c>
      <c r="D23">
        <v>15000</v>
      </c>
      <c r="E23">
        <v>-11.861373</v>
      </c>
      <c r="F23">
        <v>-1486863.1572829999</v>
      </c>
      <c r="G23">
        <v>-1157360.0859660001</v>
      </c>
      <c r="H23">
        <v>233.49967899999999</v>
      </c>
      <c r="I23">
        <v>120.80108799999999</v>
      </c>
      <c r="J23">
        <v>29.571418999999999</v>
      </c>
      <c r="K23">
        <v>3.381961</v>
      </c>
      <c r="L23" t="s">
        <v>35</v>
      </c>
      <c r="M23">
        <v>100.009379</v>
      </c>
      <c r="N23" s="2">
        <v>0.83335199999999998</v>
      </c>
      <c r="O23">
        <v>99.176027000000005</v>
      </c>
      <c r="Q23">
        <v>24.442791</v>
      </c>
      <c r="R23">
        <v>0.611043</v>
      </c>
      <c r="S23">
        <v>11.512776000000001</v>
      </c>
      <c r="T23">
        <v>0.516235</v>
      </c>
      <c r="U23">
        <v>4.8362090000000002</v>
      </c>
      <c r="V23">
        <v>9.3946000000000002E-2</v>
      </c>
      <c r="W23">
        <v>3.3569040000000001</v>
      </c>
      <c r="X23">
        <v>23.095832999999999</v>
      </c>
      <c r="Y23">
        <v>10.9785</v>
      </c>
      <c r="Z23">
        <v>1.209163</v>
      </c>
      <c r="AA23">
        <v>19.346599999999999</v>
      </c>
      <c r="AB23">
        <v>52.676563000000002</v>
      </c>
      <c r="AC23">
        <v>3.5830959999999998</v>
      </c>
      <c r="AD23">
        <v>31.189223999999999</v>
      </c>
      <c r="AE23">
        <v>11.727143999999999</v>
      </c>
      <c r="AF23">
        <f>(W23/40.31)/((W23/40.31)+((U23+T23*0.9)/71.85))</f>
        <v>0.53024765386217065</v>
      </c>
    </row>
    <row r="24" spans="1:32" x14ac:dyDescent="0.25">
      <c r="A24">
        <v>20</v>
      </c>
      <c r="B24" t="s">
        <v>34</v>
      </c>
      <c r="C24">
        <v>1140</v>
      </c>
      <c r="D24">
        <v>15000</v>
      </c>
      <c r="E24">
        <v>-11.838514</v>
      </c>
      <c r="F24">
        <v>-1487330.9527680001</v>
      </c>
      <c r="G24">
        <v>-1157106.1329969999</v>
      </c>
      <c r="H24">
        <v>233.67994899999999</v>
      </c>
      <c r="I24">
        <v>120.826379</v>
      </c>
      <c r="J24">
        <v>29.575482000000001</v>
      </c>
      <c r="K24">
        <v>3.381497</v>
      </c>
      <c r="L24" t="s">
        <v>35</v>
      </c>
      <c r="M24">
        <v>100.00941</v>
      </c>
      <c r="N24" s="2">
        <v>0.84366099999999999</v>
      </c>
      <c r="O24">
        <v>99.165747999999994</v>
      </c>
      <c r="Q24">
        <v>24.704537999999999</v>
      </c>
      <c r="R24">
        <v>0.61831899999999995</v>
      </c>
      <c r="S24">
        <v>11.586057</v>
      </c>
      <c r="T24">
        <v>0.51948499999999997</v>
      </c>
      <c r="U24">
        <v>4.9446750000000002</v>
      </c>
      <c r="V24">
        <v>9.3697000000000003E-2</v>
      </c>
      <c r="W24">
        <v>3.3987039999999999</v>
      </c>
      <c r="X24">
        <v>22.823584</v>
      </c>
      <c r="Y24">
        <v>11.006363</v>
      </c>
      <c r="Z24">
        <v>1.1943870000000001</v>
      </c>
      <c r="AA24">
        <v>19.110192000000001</v>
      </c>
      <c r="AB24">
        <v>52.669170000000001</v>
      </c>
      <c r="AC24">
        <v>3.5536279999999998</v>
      </c>
      <c r="AD24">
        <v>31.187014000000001</v>
      </c>
      <c r="AE24">
        <v>11.755936</v>
      </c>
      <c r="AF24">
        <f>(W24/40.31)/((W24/40.31)+((U24+T24*0.9)/71.85))</f>
        <v>0.52814955957838661</v>
      </c>
    </row>
    <row r="25" spans="1:32" x14ac:dyDescent="0.25">
      <c r="A25">
        <v>21</v>
      </c>
      <c r="B25" t="s">
        <v>34</v>
      </c>
      <c r="C25">
        <v>1142</v>
      </c>
      <c r="D25">
        <v>15000</v>
      </c>
      <c r="E25">
        <v>-11.815720000000001</v>
      </c>
      <c r="F25">
        <v>-1487799.106407</v>
      </c>
      <c r="G25">
        <v>-1156851.891966</v>
      </c>
      <c r="H25">
        <v>233.86016599999999</v>
      </c>
      <c r="I25">
        <v>120.851713</v>
      </c>
      <c r="J25">
        <v>29.579571000000001</v>
      </c>
      <c r="K25">
        <v>3.3810310000000001</v>
      </c>
      <c r="L25" t="s">
        <v>35</v>
      </c>
      <c r="M25">
        <v>100.00944</v>
      </c>
      <c r="N25" s="2">
        <v>0.85429500000000003</v>
      </c>
      <c r="O25">
        <v>99.155145000000005</v>
      </c>
      <c r="Q25">
        <v>24.968246000000001</v>
      </c>
      <c r="R25">
        <v>0.62563000000000002</v>
      </c>
      <c r="S25">
        <v>11.65934</v>
      </c>
      <c r="T25">
        <v>0.52260499999999999</v>
      </c>
      <c r="U25">
        <v>5.0547839999999997</v>
      </c>
      <c r="V25">
        <v>9.3443999999999999E-2</v>
      </c>
      <c r="W25">
        <v>3.4410280000000002</v>
      </c>
      <c r="X25">
        <v>22.549966000000001</v>
      </c>
      <c r="Y25">
        <v>11.033123</v>
      </c>
      <c r="Z25">
        <v>1.1795199999999999</v>
      </c>
      <c r="AA25">
        <v>18.872316000000001</v>
      </c>
      <c r="AB25">
        <v>52.661605999999999</v>
      </c>
      <c r="AC25">
        <v>3.5241359999999999</v>
      </c>
      <c r="AD25">
        <v>31.183516999999998</v>
      </c>
      <c r="AE25">
        <v>11.785885</v>
      </c>
      <c r="AF25">
        <f>(W25/40.31)/((W25/40.31)+((U25+T25*0.9)/71.85))</f>
        <v>0.52608748780358028</v>
      </c>
    </row>
    <row r="26" spans="1:32" x14ac:dyDescent="0.25">
      <c r="A26">
        <v>22</v>
      </c>
      <c r="B26" t="s">
        <v>34</v>
      </c>
      <c r="C26">
        <v>1144</v>
      </c>
      <c r="D26">
        <v>15000</v>
      </c>
      <c r="E26">
        <v>-11.792991000000001</v>
      </c>
      <c r="F26">
        <v>-1488267.617971</v>
      </c>
      <c r="G26">
        <v>-1156597.3539400001</v>
      </c>
      <c r="H26">
        <v>234.04033699999999</v>
      </c>
      <c r="I26">
        <v>120.877093</v>
      </c>
      <c r="J26">
        <v>29.583686</v>
      </c>
      <c r="K26">
        <v>3.3805619999999998</v>
      </c>
      <c r="L26" t="s">
        <v>35</v>
      </c>
      <c r="M26">
        <v>100.00946999999999</v>
      </c>
      <c r="N26" s="2">
        <v>0.865263</v>
      </c>
      <c r="O26">
        <v>99.144206999999994</v>
      </c>
      <c r="Q26">
        <v>25.233758999999999</v>
      </c>
      <c r="R26">
        <v>0.63297400000000004</v>
      </c>
      <c r="S26">
        <v>11.73258</v>
      </c>
      <c r="T26">
        <v>0.52559299999999998</v>
      </c>
      <c r="U26">
        <v>5.1665080000000003</v>
      </c>
      <c r="V26">
        <v>9.3188999999999994E-2</v>
      </c>
      <c r="W26">
        <v>3.4838779999999998</v>
      </c>
      <c r="X26">
        <v>22.275137000000001</v>
      </c>
      <c r="Y26">
        <v>11.058719</v>
      </c>
      <c r="Z26">
        <v>1.164568</v>
      </c>
      <c r="AA26">
        <v>18.633094</v>
      </c>
      <c r="AB26">
        <v>52.653869999999998</v>
      </c>
      <c r="AC26">
        <v>3.494618</v>
      </c>
      <c r="AD26">
        <v>31.178633000000001</v>
      </c>
      <c r="AE26">
        <v>11.817087000000001</v>
      </c>
      <c r="AF26">
        <f>(W26/40.31)/((W26/40.31)+((U26+T26*0.9)/71.85))</f>
        <v>0.52406246614868912</v>
      </c>
    </row>
    <row r="27" spans="1:32" x14ac:dyDescent="0.25">
      <c r="A27">
        <v>23</v>
      </c>
      <c r="B27" t="s">
        <v>34</v>
      </c>
      <c r="C27">
        <v>1146</v>
      </c>
      <c r="D27">
        <v>15000</v>
      </c>
      <c r="E27">
        <v>-11.770325</v>
      </c>
      <c r="F27">
        <v>-1488736.487247</v>
      </c>
      <c r="G27">
        <v>-1156342.5094860001</v>
      </c>
      <c r="H27">
        <v>234.22046800000001</v>
      </c>
      <c r="I27">
        <v>120.902522</v>
      </c>
      <c r="J27">
        <v>29.587827999999998</v>
      </c>
      <c r="K27">
        <v>3.3800889999999999</v>
      </c>
      <c r="L27" t="s">
        <v>35</v>
      </c>
      <c r="M27">
        <v>100.0095</v>
      </c>
      <c r="N27" s="2">
        <v>0.87657399999999996</v>
      </c>
      <c r="O27">
        <v>99.132925999999998</v>
      </c>
      <c r="Q27">
        <v>25.500910999999999</v>
      </c>
      <c r="R27">
        <v>0.64034800000000003</v>
      </c>
      <c r="S27">
        <v>11.805732000000001</v>
      </c>
      <c r="T27">
        <v>0.52844599999999997</v>
      </c>
      <c r="U27">
        <v>5.2798170000000004</v>
      </c>
      <c r="V27">
        <v>9.2932000000000001E-2</v>
      </c>
      <c r="W27">
        <v>3.5272579999999998</v>
      </c>
      <c r="X27">
        <v>21.999265999999999</v>
      </c>
      <c r="Y27">
        <v>11.083093</v>
      </c>
      <c r="Z27">
        <v>1.1495409999999999</v>
      </c>
      <c r="AA27">
        <v>18.392655999999999</v>
      </c>
      <c r="AB27">
        <v>52.645954000000003</v>
      </c>
      <c r="AC27">
        <v>3.4650720000000002</v>
      </c>
      <c r="AD27">
        <v>31.172245</v>
      </c>
      <c r="AE27">
        <v>11.849653</v>
      </c>
      <c r="AF27">
        <f>(W27/40.31)/((W27/40.31)+((U27+T27*0.9)/71.85))</f>
        <v>0.52207566198787037</v>
      </c>
    </row>
    <row r="28" spans="1:32" x14ac:dyDescent="0.25">
      <c r="A28">
        <v>24</v>
      </c>
      <c r="B28" t="s">
        <v>34</v>
      </c>
      <c r="C28">
        <v>1148</v>
      </c>
      <c r="D28">
        <v>15000</v>
      </c>
      <c r="E28">
        <v>-11.747723000000001</v>
      </c>
      <c r="F28">
        <v>-1489205.7140500001</v>
      </c>
      <c r="G28">
        <v>-1156087.348611</v>
      </c>
      <c r="H28">
        <v>234.400567</v>
      </c>
      <c r="I28">
        <v>120.928003</v>
      </c>
      <c r="J28">
        <v>29.591996999999999</v>
      </c>
      <c r="K28">
        <v>3.3796140000000001</v>
      </c>
      <c r="L28" t="s">
        <v>35</v>
      </c>
      <c r="M28">
        <v>100.00953</v>
      </c>
      <c r="N28" s="2">
        <v>0.88823799999999997</v>
      </c>
      <c r="O28">
        <v>99.121291999999997</v>
      </c>
      <c r="Q28">
        <v>25.769527</v>
      </c>
      <c r="R28">
        <v>0.64774600000000004</v>
      </c>
      <c r="S28">
        <v>11.878747000000001</v>
      </c>
      <c r="T28">
        <v>0.53116200000000002</v>
      </c>
      <c r="U28">
        <v>5.3946800000000001</v>
      </c>
      <c r="V28">
        <v>9.2673000000000005E-2</v>
      </c>
      <c r="W28">
        <v>3.5711719999999998</v>
      </c>
      <c r="X28">
        <v>21.722528000000001</v>
      </c>
      <c r="Y28">
        <v>11.106182</v>
      </c>
      <c r="Z28">
        <v>1.1344460000000001</v>
      </c>
      <c r="AA28">
        <v>18.151136999999999</v>
      </c>
      <c r="AB28">
        <v>52.637858999999999</v>
      </c>
      <c r="AC28">
        <v>3.435492</v>
      </c>
      <c r="AD28">
        <v>31.164231999999998</v>
      </c>
      <c r="AE28">
        <v>11.883706999999999</v>
      </c>
      <c r="AF28">
        <f>(W28/40.31)/((W28/40.31)+((U28+T28*0.9)/71.85))</f>
        <v>0.52012811180719687</v>
      </c>
    </row>
    <row r="29" spans="1:32" x14ac:dyDescent="0.25">
      <c r="A29">
        <v>25</v>
      </c>
      <c r="B29" t="s">
        <v>34</v>
      </c>
      <c r="C29">
        <v>1150</v>
      </c>
      <c r="D29">
        <v>15000</v>
      </c>
      <c r="E29">
        <v>-11.725185</v>
      </c>
      <c r="F29">
        <v>-1489675.298219</v>
      </c>
      <c r="G29">
        <v>-1155831.860694</v>
      </c>
      <c r="H29">
        <v>234.58063999999999</v>
      </c>
      <c r="I29">
        <v>120.953537</v>
      </c>
      <c r="J29">
        <v>29.596195000000002</v>
      </c>
      <c r="K29">
        <v>3.3791359999999999</v>
      </c>
      <c r="L29" t="s">
        <v>35</v>
      </c>
      <c r="M29">
        <v>100.00955999999999</v>
      </c>
      <c r="N29" s="2">
        <v>0.90026399999999995</v>
      </c>
      <c r="O29">
        <v>99.109296999999998</v>
      </c>
      <c r="Q29">
        <v>26.039418999999999</v>
      </c>
      <c r="R29">
        <v>0.65516700000000005</v>
      </c>
      <c r="S29">
        <v>11.951573</v>
      </c>
      <c r="T29">
        <v>0.53373899999999996</v>
      </c>
      <c r="U29">
        <v>5.511063</v>
      </c>
      <c r="V29">
        <v>9.2411999999999994E-2</v>
      </c>
      <c r="W29">
        <v>3.6156239999999999</v>
      </c>
      <c r="X29">
        <v>21.445105999999999</v>
      </c>
      <c r="Y29">
        <v>11.127924</v>
      </c>
      <c r="Z29">
        <v>1.1192930000000001</v>
      </c>
      <c r="AA29">
        <v>17.90868</v>
      </c>
      <c r="AB29">
        <v>52.629584999999999</v>
      </c>
      <c r="AC29">
        <v>3.405875</v>
      </c>
      <c r="AD29">
        <v>31.154447999999999</v>
      </c>
      <c r="AE29">
        <v>11.91939</v>
      </c>
      <c r="AF29">
        <f>(W29/40.31)/((W29/40.31)+((U29+T29*0.9)/71.85))</f>
        <v>0.51822085093909209</v>
      </c>
    </row>
    <row r="30" spans="1:32" x14ac:dyDescent="0.25">
      <c r="A30">
        <v>26</v>
      </c>
      <c r="B30" t="s">
        <v>34</v>
      </c>
      <c r="C30">
        <v>1152</v>
      </c>
      <c r="D30">
        <v>15000</v>
      </c>
      <c r="E30">
        <v>-11.70271</v>
      </c>
      <c r="F30">
        <v>-1490145.2396219999</v>
      </c>
      <c r="G30">
        <v>-1155576.034397</v>
      </c>
      <c r="H30">
        <v>234.760696</v>
      </c>
      <c r="I30">
        <v>120.979129</v>
      </c>
      <c r="J30">
        <v>29.600421999999998</v>
      </c>
      <c r="K30">
        <v>3.378654</v>
      </c>
      <c r="L30" t="s">
        <v>35</v>
      </c>
      <c r="M30">
        <v>100.00959</v>
      </c>
      <c r="N30" s="2">
        <v>0.91266000000000003</v>
      </c>
      <c r="O30">
        <v>99.09693</v>
      </c>
      <c r="Q30">
        <v>26.310392</v>
      </c>
      <c r="R30">
        <v>0.662605</v>
      </c>
      <c r="S30">
        <v>12.024158999999999</v>
      </c>
      <c r="T30">
        <v>0.53617700000000001</v>
      </c>
      <c r="U30">
        <v>5.6289290000000003</v>
      </c>
      <c r="V30">
        <v>9.2149999999999996E-2</v>
      </c>
      <c r="W30">
        <v>3.6606190000000001</v>
      </c>
      <c r="X30">
        <v>21.167193999999999</v>
      </c>
      <c r="Y30">
        <v>11.148251</v>
      </c>
      <c r="Z30">
        <v>1.10409</v>
      </c>
      <c r="AA30">
        <v>17.665434999999999</v>
      </c>
      <c r="AB30">
        <v>52.621124000000002</v>
      </c>
      <c r="AC30">
        <v>3.3762150000000002</v>
      </c>
      <c r="AD30">
        <v>31.142731000000001</v>
      </c>
      <c r="AE30">
        <v>11.956861</v>
      </c>
      <c r="AF30">
        <f>(W30/40.31)/((W30/40.31)+((U30+T30*0.9)/71.85))</f>
        <v>0.51635490497136716</v>
      </c>
    </row>
    <row r="31" spans="1:32" x14ac:dyDescent="0.25">
      <c r="A31">
        <v>27</v>
      </c>
      <c r="B31" t="s">
        <v>34</v>
      </c>
      <c r="C31">
        <v>1154</v>
      </c>
      <c r="D31">
        <v>15000</v>
      </c>
      <c r="E31">
        <v>-11.680296999999999</v>
      </c>
      <c r="F31">
        <v>-1490615.538159</v>
      </c>
      <c r="G31">
        <v>-1155319.8575639999</v>
      </c>
      <c r="H31">
        <v>234.940742</v>
      </c>
      <c r="I31">
        <v>121.00478</v>
      </c>
      <c r="J31">
        <v>29.604679000000001</v>
      </c>
      <c r="K31">
        <v>3.3781690000000002</v>
      </c>
      <c r="L31" t="s">
        <v>35</v>
      </c>
      <c r="M31">
        <v>100.009619</v>
      </c>
      <c r="N31" s="2">
        <v>0.92543600000000004</v>
      </c>
      <c r="O31">
        <v>99.084182999999996</v>
      </c>
      <c r="Q31">
        <v>26.582238</v>
      </c>
      <c r="R31">
        <v>0.67005599999999998</v>
      </c>
      <c r="S31">
        <v>12.096449</v>
      </c>
      <c r="T31">
        <v>0.53847500000000004</v>
      </c>
      <c r="U31">
        <v>5.74824</v>
      </c>
      <c r="V31">
        <v>9.1886999999999996E-2</v>
      </c>
      <c r="W31">
        <v>3.7061600000000001</v>
      </c>
      <c r="X31">
        <v>20.88899</v>
      </c>
      <c r="Y31">
        <v>11.167099</v>
      </c>
      <c r="Z31">
        <v>1.0888469999999999</v>
      </c>
      <c r="AA31">
        <v>17.421558000000001</v>
      </c>
      <c r="AB31">
        <v>52.612476000000001</v>
      </c>
      <c r="AC31">
        <v>3.3465039999999999</v>
      </c>
      <c r="AD31">
        <v>31.128900999999999</v>
      </c>
      <c r="AE31">
        <v>11.996304</v>
      </c>
      <c r="AF31">
        <f>(W31/40.31)/((W31/40.31)+((U31+T31*0.9)/71.85))</f>
        <v>0.5145311158126783</v>
      </c>
    </row>
    <row r="32" spans="1:32" x14ac:dyDescent="0.25">
      <c r="A32">
        <v>28</v>
      </c>
      <c r="B32" t="s">
        <v>34</v>
      </c>
      <c r="C32">
        <v>1156</v>
      </c>
      <c r="D32">
        <v>15000</v>
      </c>
      <c r="E32">
        <v>-11.657947999999999</v>
      </c>
      <c r="F32">
        <v>-1491086.193764</v>
      </c>
      <c r="G32">
        <v>-1155063.317089</v>
      </c>
      <c r="H32">
        <v>235.12079</v>
      </c>
      <c r="I32">
        <v>121.030492</v>
      </c>
      <c r="J32">
        <v>29.608968000000001</v>
      </c>
      <c r="K32">
        <v>3.3776809999999999</v>
      </c>
      <c r="L32" t="s">
        <v>35</v>
      </c>
      <c r="M32">
        <v>100.009648</v>
      </c>
      <c r="N32" s="2">
        <v>0.93859999999999999</v>
      </c>
      <c r="O32">
        <v>99.071048000000005</v>
      </c>
      <c r="Q32">
        <v>26.854738000000001</v>
      </c>
      <c r="R32">
        <v>0.67751700000000004</v>
      </c>
      <c r="S32">
        <v>12.168388999999999</v>
      </c>
      <c r="T32">
        <v>0.540632</v>
      </c>
      <c r="U32">
        <v>5.8689559999999998</v>
      </c>
      <c r="V32">
        <v>9.1622999999999996E-2</v>
      </c>
      <c r="W32">
        <v>3.7522540000000002</v>
      </c>
      <c r="X32">
        <v>20.610704999999999</v>
      </c>
      <c r="Y32">
        <v>11.184397000000001</v>
      </c>
      <c r="Z32">
        <v>1.0735760000000001</v>
      </c>
      <c r="AA32">
        <v>17.177212000000001</v>
      </c>
      <c r="AB32">
        <v>52.603637999999997</v>
      </c>
      <c r="AC32">
        <v>3.316735</v>
      </c>
      <c r="AD32">
        <v>31.112745</v>
      </c>
      <c r="AE32">
        <v>12.037929</v>
      </c>
      <c r="AF32">
        <f>(W32/40.31)/((W32/40.31)+((U32+T32*0.9)/71.85))</f>
        <v>0.51275055489765831</v>
      </c>
    </row>
    <row r="33" spans="1:32" x14ac:dyDescent="0.25">
      <c r="A33">
        <v>29</v>
      </c>
      <c r="B33" t="s">
        <v>34</v>
      </c>
      <c r="C33">
        <v>1158</v>
      </c>
      <c r="D33">
        <v>15000</v>
      </c>
      <c r="E33">
        <v>-11.635661000000001</v>
      </c>
      <c r="F33">
        <v>-1491557.2064110001</v>
      </c>
      <c r="G33">
        <v>-1154806.398758</v>
      </c>
      <c r="H33">
        <v>235.300847</v>
      </c>
      <c r="I33">
        <v>121.056268</v>
      </c>
      <c r="J33">
        <v>29.613289000000002</v>
      </c>
      <c r="K33">
        <v>3.377189</v>
      </c>
      <c r="L33" t="s">
        <v>35</v>
      </c>
      <c r="M33">
        <v>100.00967799999999</v>
      </c>
      <c r="N33" s="2">
        <v>0.95216100000000004</v>
      </c>
      <c r="O33">
        <v>99.057517000000004</v>
      </c>
      <c r="Q33">
        <v>27.127663999999999</v>
      </c>
      <c r="R33">
        <v>0.68498400000000004</v>
      </c>
      <c r="S33">
        <v>12.239919</v>
      </c>
      <c r="T33">
        <v>0.54264800000000002</v>
      </c>
      <c r="U33">
        <v>5.9910329999999998</v>
      </c>
      <c r="V33">
        <v>9.1358999999999996E-2</v>
      </c>
      <c r="W33">
        <v>3.798905</v>
      </c>
      <c r="X33">
        <v>20.332556</v>
      </c>
      <c r="Y33">
        <v>11.200075999999999</v>
      </c>
      <c r="Z33">
        <v>1.0582860000000001</v>
      </c>
      <c r="AA33">
        <v>16.932569999999998</v>
      </c>
      <c r="AB33">
        <v>52.594611999999998</v>
      </c>
      <c r="AC33">
        <v>3.2868970000000002</v>
      </c>
      <c r="AD33">
        <v>31.094028000000002</v>
      </c>
      <c r="AE33">
        <v>12.081981000000001</v>
      </c>
      <c r="AF33">
        <f>(W33/40.31)/((W33/40.31)+((U33+T33*0.9)/71.85))</f>
        <v>0.51101409023484057</v>
      </c>
    </row>
    <row r="34" spans="1:32" x14ac:dyDescent="0.25">
      <c r="A34">
        <v>30</v>
      </c>
      <c r="B34" t="s">
        <v>34</v>
      </c>
      <c r="C34">
        <v>1160</v>
      </c>
      <c r="D34">
        <v>15000</v>
      </c>
      <c r="E34">
        <v>-11.613436</v>
      </c>
      <c r="F34">
        <v>-1492028.5761170001</v>
      </c>
      <c r="G34">
        <v>-1154549.0870449999</v>
      </c>
      <c r="H34">
        <v>235.48092600000001</v>
      </c>
      <c r="I34">
        <v>121.08211</v>
      </c>
      <c r="J34">
        <v>29.617643999999999</v>
      </c>
      <c r="K34">
        <v>3.3766940000000001</v>
      </c>
      <c r="L34" t="s">
        <v>35</v>
      </c>
      <c r="M34">
        <v>100.00970599999999</v>
      </c>
      <c r="N34" s="2">
        <v>0.96612600000000004</v>
      </c>
      <c r="O34">
        <v>99.043580000000006</v>
      </c>
      <c r="Q34">
        <v>27.400773000000001</v>
      </c>
      <c r="R34">
        <v>0.69245199999999996</v>
      </c>
      <c r="S34">
        <v>12.310979</v>
      </c>
      <c r="T34">
        <v>0.54452400000000001</v>
      </c>
      <c r="U34">
        <v>6.1144270000000001</v>
      </c>
      <c r="V34">
        <v>9.1094999999999995E-2</v>
      </c>
      <c r="W34">
        <v>3.8461189999999998</v>
      </c>
      <c r="X34">
        <v>20.054770999999999</v>
      </c>
      <c r="Y34">
        <v>11.214062</v>
      </c>
      <c r="Z34">
        <v>1.042988</v>
      </c>
      <c r="AA34">
        <v>16.687809999999999</v>
      </c>
      <c r="AB34">
        <v>52.585391999999999</v>
      </c>
      <c r="AC34">
        <v>3.2569789999999998</v>
      </c>
      <c r="AD34">
        <v>31.072469999999999</v>
      </c>
      <c r="AE34">
        <v>12.128741</v>
      </c>
      <c r="AF34">
        <f>(W34/40.31)/((W34/40.31)+((U34+T34*0.9)/71.85))</f>
        <v>0.50932256957558708</v>
      </c>
    </row>
    <row r="35" spans="1:32" x14ac:dyDescent="0.25">
      <c r="A35">
        <v>31</v>
      </c>
      <c r="B35" t="s">
        <v>34</v>
      </c>
      <c r="C35">
        <v>1162</v>
      </c>
      <c r="D35">
        <v>15000</v>
      </c>
      <c r="E35">
        <v>-11.591274</v>
      </c>
      <c r="F35">
        <v>-1492500.3029469999</v>
      </c>
      <c r="G35">
        <v>-1154291.364854</v>
      </c>
      <c r="H35">
        <v>235.66103799999999</v>
      </c>
      <c r="I35">
        <v>121.10802</v>
      </c>
      <c r="J35">
        <v>29.622032999999998</v>
      </c>
      <c r="K35">
        <v>3.3761939999999999</v>
      </c>
      <c r="L35" t="s">
        <v>35</v>
      </c>
      <c r="M35">
        <v>100.00973500000001</v>
      </c>
      <c r="N35" s="2">
        <v>0.98050300000000001</v>
      </c>
      <c r="O35">
        <v>99.029231999999993</v>
      </c>
      <c r="Q35">
        <v>27.673808999999999</v>
      </c>
      <c r="R35">
        <v>0.69991599999999998</v>
      </c>
      <c r="S35">
        <v>12.381506</v>
      </c>
      <c r="T35">
        <v>0.54625999999999997</v>
      </c>
      <c r="U35">
        <v>6.23909</v>
      </c>
      <c r="V35">
        <v>9.0831999999999996E-2</v>
      </c>
      <c r="W35">
        <v>3.893904</v>
      </c>
      <c r="X35">
        <v>19.777587</v>
      </c>
      <c r="Y35">
        <v>11.226279999999999</v>
      </c>
      <c r="Z35">
        <v>1.027695</v>
      </c>
      <c r="AA35">
        <v>16.443121000000001</v>
      </c>
      <c r="AB35">
        <v>52.575977000000002</v>
      </c>
      <c r="AC35">
        <v>3.226966</v>
      </c>
      <c r="AD35">
        <v>31.047749</v>
      </c>
      <c r="AE35">
        <v>12.178542</v>
      </c>
      <c r="AF35">
        <f>(W35/40.31)/((W35/40.31)+((U35+T35*0.9)/71.85))</f>
        <v>0.50767703984545209</v>
      </c>
    </row>
    <row r="36" spans="1:32" x14ac:dyDescent="0.25">
      <c r="A36">
        <v>32</v>
      </c>
      <c r="B36" t="s">
        <v>34</v>
      </c>
      <c r="C36">
        <v>1164</v>
      </c>
      <c r="D36">
        <v>15000</v>
      </c>
      <c r="E36">
        <v>-11.569172999999999</v>
      </c>
      <c r="F36">
        <v>-1492972.387021</v>
      </c>
      <c r="G36">
        <v>-1154033.2131960001</v>
      </c>
      <c r="H36">
        <v>235.841195</v>
      </c>
      <c r="I36">
        <v>121.134</v>
      </c>
      <c r="J36">
        <v>29.626459000000001</v>
      </c>
      <c r="K36">
        <v>3.3756910000000002</v>
      </c>
      <c r="L36" t="s">
        <v>35</v>
      </c>
      <c r="M36">
        <v>100.009764</v>
      </c>
      <c r="N36" s="2">
        <v>0.99529800000000002</v>
      </c>
      <c r="O36">
        <v>99.014465999999999</v>
      </c>
      <c r="Q36">
        <v>27.946504000000001</v>
      </c>
      <c r="R36">
        <v>0.707372</v>
      </c>
      <c r="S36">
        <v>12.451434000000001</v>
      </c>
      <c r="T36">
        <v>0.54785700000000004</v>
      </c>
      <c r="U36">
        <v>6.3649719999999999</v>
      </c>
      <c r="V36">
        <v>9.0567999999999996E-2</v>
      </c>
      <c r="W36">
        <v>3.9422649999999999</v>
      </c>
      <c r="X36">
        <v>19.501253999999999</v>
      </c>
      <c r="Y36">
        <v>11.236654</v>
      </c>
      <c r="Z36">
        <v>1.012419</v>
      </c>
      <c r="AA36">
        <v>16.198702000000001</v>
      </c>
      <c r="AB36">
        <v>52.566364</v>
      </c>
      <c r="AC36">
        <v>3.1968429999999999</v>
      </c>
      <c r="AD36">
        <v>31.019487000000002</v>
      </c>
      <c r="AE36">
        <v>12.231771</v>
      </c>
      <c r="AF36">
        <f>(W36/40.31)/((W36/40.31)+((U36+T36*0.9)/71.85))</f>
        <v>0.5060782752568993</v>
      </c>
    </row>
    <row r="37" spans="1:32" x14ac:dyDescent="0.25">
      <c r="A37">
        <v>33</v>
      </c>
      <c r="B37" t="s">
        <v>34</v>
      </c>
      <c r="C37">
        <v>1166</v>
      </c>
      <c r="D37">
        <v>15000</v>
      </c>
      <c r="E37">
        <v>-11.547133000000001</v>
      </c>
      <c r="F37">
        <v>-1493444.828523</v>
      </c>
      <c r="G37">
        <v>-1153774.610754</v>
      </c>
      <c r="H37">
        <v>236.02141399999999</v>
      </c>
      <c r="I37">
        <v>121.160051</v>
      </c>
      <c r="J37">
        <v>29.630922999999999</v>
      </c>
      <c r="K37">
        <v>3.3751829999999998</v>
      </c>
      <c r="L37" t="s">
        <v>35</v>
      </c>
      <c r="M37">
        <v>100.009792</v>
      </c>
      <c r="N37" s="2">
        <v>1.0105150000000001</v>
      </c>
      <c r="O37">
        <v>98.999277000000006</v>
      </c>
      <c r="Q37">
        <v>28.218572999999999</v>
      </c>
      <c r="R37">
        <v>0.71481499999999998</v>
      </c>
      <c r="S37">
        <v>12.520693</v>
      </c>
      <c r="T37">
        <v>0.54931700000000006</v>
      </c>
      <c r="U37">
        <v>6.4920200000000001</v>
      </c>
      <c r="V37">
        <v>9.0305999999999997E-2</v>
      </c>
      <c r="W37">
        <v>3.9912100000000001</v>
      </c>
      <c r="X37">
        <v>19.226030999999999</v>
      </c>
      <c r="Y37">
        <v>11.245101</v>
      </c>
      <c r="Z37">
        <v>0.99717299999999998</v>
      </c>
      <c r="AA37">
        <v>15.954761</v>
      </c>
      <c r="AB37">
        <v>52.556561000000002</v>
      </c>
      <c r="AC37">
        <v>3.166588</v>
      </c>
      <c r="AD37">
        <v>30.987238000000001</v>
      </c>
      <c r="AE37">
        <v>12.288891</v>
      </c>
      <c r="AF37">
        <f>(W37/40.31)/((W37/40.31)+((U37+T37*0.9)/71.85))</f>
        <v>0.50452720571085152</v>
      </c>
    </row>
    <row r="38" spans="1:32" x14ac:dyDescent="0.25">
      <c r="A38">
        <v>34</v>
      </c>
      <c r="B38" t="s">
        <v>34</v>
      </c>
      <c r="C38">
        <v>1168</v>
      </c>
      <c r="D38">
        <v>15000</v>
      </c>
      <c r="E38">
        <v>-11.525155</v>
      </c>
      <c r="F38">
        <v>-1493917.6277069999</v>
      </c>
      <c r="G38">
        <v>-1153515.5333219999</v>
      </c>
      <c r="H38">
        <v>236.20170999999999</v>
      </c>
      <c r="I38">
        <v>121.186173</v>
      </c>
      <c r="J38">
        <v>29.635425999999999</v>
      </c>
      <c r="K38">
        <v>3.3746710000000002</v>
      </c>
      <c r="L38" t="s">
        <v>35</v>
      </c>
      <c r="M38">
        <v>100.009821</v>
      </c>
      <c r="N38" s="2">
        <v>1.02616</v>
      </c>
      <c r="O38">
        <v>98.983660999999998</v>
      </c>
      <c r="Q38">
        <v>28.489709999999999</v>
      </c>
      <c r="R38">
        <v>0.72224100000000002</v>
      </c>
      <c r="S38">
        <v>12.589213000000001</v>
      </c>
      <c r="T38">
        <v>0.55064199999999996</v>
      </c>
      <c r="U38">
        <v>6.6201780000000001</v>
      </c>
      <c r="V38">
        <v>9.0046000000000001E-2</v>
      </c>
      <c r="W38">
        <v>4.0407469999999996</v>
      </c>
      <c r="X38">
        <v>18.952193999999999</v>
      </c>
      <c r="Y38">
        <v>11.251538999999999</v>
      </c>
      <c r="Z38">
        <v>0.98197000000000001</v>
      </c>
      <c r="AA38">
        <v>15.711518999999999</v>
      </c>
      <c r="AB38">
        <v>52.546557999999997</v>
      </c>
      <c r="AC38">
        <v>3.1361780000000001</v>
      </c>
      <c r="AD38">
        <v>30.950469999999999</v>
      </c>
      <c r="AE38">
        <v>12.350453</v>
      </c>
      <c r="AF38">
        <f>(W38/40.31)/((W38/40.31)+((U38+T38*0.9)/71.85))</f>
        <v>0.50302475287179627</v>
      </c>
    </row>
    <row r="39" spans="1:32" x14ac:dyDescent="0.25">
      <c r="A39">
        <v>35</v>
      </c>
      <c r="B39" t="s">
        <v>34</v>
      </c>
      <c r="C39">
        <v>1170</v>
      </c>
      <c r="D39">
        <v>15000</v>
      </c>
      <c r="E39">
        <v>-11.503237</v>
      </c>
      <c r="F39">
        <v>-1494390.7849109999</v>
      </c>
      <c r="G39">
        <v>-1153255.9530529999</v>
      </c>
      <c r="H39">
        <v>236.382103</v>
      </c>
      <c r="I39">
        <v>121.212368</v>
      </c>
      <c r="J39">
        <v>29.639970000000002</v>
      </c>
      <c r="K39">
        <v>3.374155</v>
      </c>
      <c r="L39" t="s">
        <v>35</v>
      </c>
      <c r="M39">
        <v>100.009849</v>
      </c>
      <c r="N39" s="2">
        <v>1.042233</v>
      </c>
      <c r="O39">
        <v>98.967616000000007</v>
      </c>
      <c r="Q39">
        <v>28.759592000000001</v>
      </c>
      <c r="R39">
        <v>0.72964499999999999</v>
      </c>
      <c r="S39">
        <v>12.656915</v>
      </c>
      <c r="T39">
        <v>0.55183400000000005</v>
      </c>
      <c r="U39">
        <v>6.7493829999999999</v>
      </c>
      <c r="V39">
        <v>8.9787000000000006E-2</v>
      </c>
      <c r="W39">
        <v>4.0908860000000002</v>
      </c>
      <c r="X39">
        <v>18.680038</v>
      </c>
      <c r="Y39">
        <v>11.255879</v>
      </c>
      <c r="Z39">
        <v>0.96682599999999996</v>
      </c>
      <c r="AA39">
        <v>15.469215999999999</v>
      </c>
      <c r="AB39">
        <v>52.536361999999997</v>
      </c>
      <c r="AC39">
        <v>3.1055860000000002</v>
      </c>
      <c r="AD39">
        <v>30.908541</v>
      </c>
      <c r="AE39">
        <v>12.417126</v>
      </c>
      <c r="AF39">
        <f>(W39/40.31)/((W39/40.31)+((U39+T39*0.9)/71.85))</f>
        <v>0.50157208942055209</v>
      </c>
    </row>
    <row r="40" spans="1:32" x14ac:dyDescent="0.25">
      <c r="A40">
        <v>36</v>
      </c>
      <c r="B40" t="s">
        <v>34</v>
      </c>
      <c r="C40">
        <v>1172</v>
      </c>
      <c r="D40">
        <v>15000</v>
      </c>
      <c r="E40">
        <v>-11.48138</v>
      </c>
      <c r="F40">
        <v>-1494864.300572</v>
      </c>
      <c r="G40">
        <v>-1152995.8374280001</v>
      </c>
      <c r="H40">
        <v>236.56261499999999</v>
      </c>
      <c r="I40">
        <v>121.238634</v>
      </c>
      <c r="J40">
        <v>29.644558</v>
      </c>
      <c r="K40">
        <v>3.373634</v>
      </c>
      <c r="L40" t="s">
        <v>35</v>
      </c>
      <c r="M40">
        <v>100.009877</v>
      </c>
      <c r="N40" s="2">
        <v>1.058735</v>
      </c>
      <c r="O40">
        <v>98.951142000000004</v>
      </c>
      <c r="Q40">
        <v>29.027866</v>
      </c>
      <c r="R40">
        <v>0.73702100000000004</v>
      </c>
      <c r="S40">
        <v>12.723718999999999</v>
      </c>
      <c r="T40">
        <v>0.55289500000000003</v>
      </c>
      <c r="U40">
        <v>6.879569</v>
      </c>
      <c r="V40">
        <v>8.9529999999999998E-2</v>
      </c>
      <c r="W40">
        <v>4.1416339999999998</v>
      </c>
      <c r="X40">
        <v>18.409875</v>
      </c>
      <c r="Y40">
        <v>11.258027</v>
      </c>
      <c r="Z40">
        <v>0.95175699999999996</v>
      </c>
      <c r="AA40">
        <v>15.228106</v>
      </c>
      <c r="AB40">
        <v>52.525970000000001</v>
      </c>
      <c r="AC40">
        <v>3.0747770000000001</v>
      </c>
      <c r="AD40">
        <v>30.860668</v>
      </c>
      <c r="AE40">
        <v>12.489725999999999</v>
      </c>
      <c r="AF40">
        <f>(W40/40.31)/((W40/40.31)+((U40+T40*0.9)/71.85))</f>
        <v>0.5001701812761663</v>
      </c>
    </row>
    <row r="41" spans="1:32" x14ac:dyDescent="0.25">
      <c r="A41">
        <v>37</v>
      </c>
      <c r="B41" t="s">
        <v>34</v>
      </c>
      <c r="C41">
        <v>1174</v>
      </c>
      <c r="D41">
        <v>15000</v>
      </c>
      <c r="E41">
        <v>-11.459584</v>
      </c>
      <c r="F41">
        <v>-1495338.1752470001</v>
      </c>
      <c r="G41">
        <v>-1152735.147836</v>
      </c>
      <c r="H41">
        <v>236.74327299999999</v>
      </c>
      <c r="I41">
        <v>121.264971</v>
      </c>
      <c r="J41">
        <v>29.649191999999999</v>
      </c>
      <c r="K41">
        <v>3.3731070000000001</v>
      </c>
      <c r="L41" t="s">
        <v>35</v>
      </c>
      <c r="M41">
        <v>100.009905</v>
      </c>
      <c r="N41" s="2">
        <v>1.0756619999999999</v>
      </c>
      <c r="O41">
        <v>98.934242999999995</v>
      </c>
      <c r="Q41">
        <v>29.294149000000001</v>
      </c>
      <c r="R41">
        <v>0.74436400000000003</v>
      </c>
      <c r="S41">
        <v>12.789535000000001</v>
      </c>
      <c r="T41">
        <v>0.55382900000000002</v>
      </c>
      <c r="U41">
        <v>7.0106619999999999</v>
      </c>
      <c r="V41">
        <v>8.9275999999999994E-2</v>
      </c>
      <c r="W41">
        <v>4.1930040000000002</v>
      </c>
      <c r="X41">
        <v>18.142047999999999</v>
      </c>
      <c r="Y41">
        <v>11.257882</v>
      </c>
      <c r="Z41">
        <v>0.93677900000000003</v>
      </c>
      <c r="AA41">
        <v>14.988472</v>
      </c>
      <c r="AB41">
        <v>52.515385000000002</v>
      </c>
      <c r="AC41">
        <v>3.0437090000000002</v>
      </c>
      <c r="AD41">
        <v>30.805883000000001</v>
      </c>
      <c r="AE41">
        <v>12.569264</v>
      </c>
      <c r="AF41">
        <f>(W41/40.31)/((W41/40.31)+((U41+T41*0.9)/71.85))</f>
        <v>0.49882044230896544</v>
      </c>
    </row>
    <row r="42" spans="1:32" x14ac:dyDescent="0.25">
      <c r="A42">
        <v>38</v>
      </c>
      <c r="B42" t="s">
        <v>34</v>
      </c>
      <c r="C42">
        <v>1176</v>
      </c>
      <c r="D42">
        <v>15000</v>
      </c>
      <c r="E42">
        <v>-11.437847</v>
      </c>
      <c r="F42">
        <v>-1495812.4096369999</v>
      </c>
      <c r="G42">
        <v>-1152473.8375530001</v>
      </c>
      <c r="H42">
        <v>236.92410899999999</v>
      </c>
      <c r="I42">
        <v>121.291374</v>
      </c>
      <c r="J42">
        <v>29.653876</v>
      </c>
      <c r="K42">
        <v>3.3725749999999999</v>
      </c>
      <c r="L42" t="s">
        <v>35</v>
      </c>
      <c r="M42">
        <v>100.009933</v>
      </c>
      <c r="N42" s="2">
        <v>1.0930070000000001</v>
      </c>
      <c r="O42">
        <v>98.916926000000004</v>
      </c>
      <c r="Q42">
        <v>29.558014</v>
      </c>
      <c r="R42">
        <v>0.751668</v>
      </c>
      <c r="S42">
        <v>12.854265</v>
      </c>
      <c r="T42">
        <v>0.55463799999999996</v>
      </c>
      <c r="U42">
        <v>7.142576</v>
      </c>
      <c r="V42">
        <v>8.9025000000000007E-2</v>
      </c>
      <c r="W42">
        <v>4.2450070000000002</v>
      </c>
      <c r="X42">
        <v>17.876933999999999</v>
      </c>
      <c r="Y42">
        <v>11.255331999999999</v>
      </c>
      <c r="Z42">
        <v>0.92191400000000001</v>
      </c>
      <c r="AA42">
        <v>14.750627</v>
      </c>
      <c r="AB42">
        <v>52.504612000000002</v>
      </c>
      <c r="AC42">
        <v>3.0123310000000001</v>
      </c>
      <c r="AD42">
        <v>30.742971000000001</v>
      </c>
      <c r="AE42">
        <v>12.657012999999999</v>
      </c>
      <c r="AF42">
        <f>(W42/40.31)/((W42/40.31)+((U42+T42*0.9)/71.85))</f>
        <v>0.49752448108866482</v>
      </c>
    </row>
    <row r="43" spans="1:32" x14ac:dyDescent="0.25">
      <c r="A43">
        <v>39</v>
      </c>
      <c r="B43" t="s">
        <v>34</v>
      </c>
      <c r="C43">
        <v>1178</v>
      </c>
      <c r="D43">
        <v>15000</v>
      </c>
      <c r="E43">
        <v>-11.416171</v>
      </c>
      <c r="F43">
        <v>-1496287.0046290001</v>
      </c>
      <c r="G43">
        <v>-1152211.8488090001</v>
      </c>
      <c r="H43">
        <v>237.10516200000001</v>
      </c>
      <c r="I43">
        <v>121.31783799999999</v>
      </c>
      <c r="J43">
        <v>29.658612999999999</v>
      </c>
      <c r="K43">
        <v>3.3720379999999999</v>
      </c>
      <c r="L43" t="s">
        <v>35</v>
      </c>
      <c r="M43">
        <v>100.00996000000001</v>
      </c>
      <c r="N43" s="2">
        <v>1.1107549999999999</v>
      </c>
      <c r="O43">
        <v>98.899204999999995</v>
      </c>
      <c r="Q43">
        <v>29.818975999999999</v>
      </c>
      <c r="R43">
        <v>0.75892599999999999</v>
      </c>
      <c r="S43">
        <v>12.917799</v>
      </c>
      <c r="T43">
        <v>0.55532700000000002</v>
      </c>
      <c r="U43">
        <v>7.2752140000000001</v>
      </c>
      <c r="V43">
        <v>8.8778999999999997E-2</v>
      </c>
      <c r="W43">
        <v>4.2976559999999999</v>
      </c>
      <c r="X43">
        <v>17.61496</v>
      </c>
      <c r="Y43">
        <v>11.250253000000001</v>
      </c>
      <c r="Z43">
        <v>0.90718299999999996</v>
      </c>
      <c r="AA43">
        <v>14.514927</v>
      </c>
      <c r="AB43">
        <v>52.493648999999998</v>
      </c>
      <c r="AC43">
        <v>2.9805790000000001</v>
      </c>
      <c r="AD43">
        <v>30.670380000000002</v>
      </c>
      <c r="AE43">
        <v>12.754599000000001</v>
      </c>
      <c r="AF43">
        <f>(W43/40.31)/((W43/40.31)+((U43+T43*0.9)/71.85))</f>
        <v>0.49628413531149795</v>
      </c>
    </row>
    <row r="44" spans="1:32" x14ac:dyDescent="0.25">
      <c r="A44">
        <v>40</v>
      </c>
      <c r="B44" t="s">
        <v>34</v>
      </c>
      <c r="C44">
        <v>1180</v>
      </c>
      <c r="D44">
        <v>15000</v>
      </c>
      <c r="E44">
        <v>-11.394553999999999</v>
      </c>
      <c r="F44">
        <v>-1496761.961347</v>
      </c>
      <c r="G44">
        <v>-1151949.108392</v>
      </c>
      <c r="H44">
        <v>237.286483</v>
      </c>
      <c r="I44">
        <v>121.344357</v>
      </c>
      <c r="J44">
        <v>29.663406999999999</v>
      </c>
      <c r="K44">
        <v>3.3714940000000002</v>
      </c>
      <c r="L44" t="s">
        <v>35</v>
      </c>
      <c r="M44">
        <v>100.00998800000001</v>
      </c>
      <c r="N44" s="2">
        <v>1.128887</v>
      </c>
      <c r="O44">
        <v>98.881101000000001</v>
      </c>
      <c r="Q44">
        <v>30.076474999999999</v>
      </c>
      <c r="R44">
        <v>0.76613100000000001</v>
      </c>
      <c r="S44">
        <v>12.980012</v>
      </c>
      <c r="T44">
        <v>0.555898</v>
      </c>
      <c r="U44">
        <v>7.4084589999999997</v>
      </c>
      <c r="V44">
        <v>8.8537000000000005E-2</v>
      </c>
      <c r="W44">
        <v>4.3509650000000004</v>
      </c>
      <c r="X44">
        <v>17.356618999999998</v>
      </c>
      <c r="Y44">
        <v>11.242501000000001</v>
      </c>
      <c r="Z44">
        <v>0.89261199999999996</v>
      </c>
      <c r="AA44">
        <v>14.281791999999999</v>
      </c>
      <c r="AB44">
        <v>52.482506000000001</v>
      </c>
      <c r="AC44">
        <v>2.9483709999999999</v>
      </c>
      <c r="AD44">
        <v>30.586079000000002</v>
      </c>
      <c r="AE44">
        <v>12.864146</v>
      </c>
      <c r="AF44">
        <f>(W44/40.31)/((W44/40.31)+((U44+T44*0.9)/71.85))</f>
        <v>0.49510185136946383</v>
      </c>
    </row>
    <row r="45" spans="1:32" x14ac:dyDescent="0.25">
      <c r="A45">
        <v>41</v>
      </c>
      <c r="B45" t="s">
        <v>34</v>
      </c>
      <c r="C45">
        <v>1182</v>
      </c>
      <c r="D45">
        <v>15000</v>
      </c>
      <c r="E45">
        <v>-11.372997</v>
      </c>
      <c r="F45">
        <v>-1497237.2812359999</v>
      </c>
      <c r="G45">
        <v>-1151685.520848</v>
      </c>
      <c r="H45">
        <v>237.46813800000001</v>
      </c>
      <c r="I45">
        <v>121.37091700000001</v>
      </c>
      <c r="J45">
        <v>29.668265999999999</v>
      </c>
      <c r="K45">
        <v>3.3709419999999999</v>
      </c>
      <c r="L45" t="s">
        <v>35</v>
      </c>
      <c r="M45">
        <v>100.01001599999999</v>
      </c>
      <c r="N45" s="2">
        <v>1.14737</v>
      </c>
      <c r="O45">
        <v>98.862645000000001</v>
      </c>
      <c r="Q45">
        <v>30.329836</v>
      </c>
      <c r="R45">
        <v>0.77327400000000002</v>
      </c>
      <c r="S45">
        <v>13.040749999999999</v>
      </c>
      <c r="T45">
        <v>0.55635599999999996</v>
      </c>
      <c r="U45">
        <v>7.5421649999999998</v>
      </c>
      <c r="V45">
        <v>8.8300000000000003E-2</v>
      </c>
      <c r="W45">
        <v>4.4049509999999996</v>
      </c>
      <c r="X45">
        <v>17.102505000000001</v>
      </c>
      <c r="Y45">
        <v>11.231904</v>
      </c>
      <c r="Z45">
        <v>0.87823300000000004</v>
      </c>
      <c r="AA45">
        <v>14.051726</v>
      </c>
      <c r="AB45">
        <v>52.471187999999998</v>
      </c>
      <c r="AC45">
        <v>2.9156019999999998</v>
      </c>
      <c r="AD45">
        <v>30.487354</v>
      </c>
      <c r="AE45">
        <v>12.988503</v>
      </c>
      <c r="AF45">
        <f>(W45/40.31)/((W45/40.31)+((U45+T45*0.9)/71.85))</f>
        <v>0.49398085868882169</v>
      </c>
    </row>
    <row r="46" spans="1:32" x14ac:dyDescent="0.25">
      <c r="A46">
        <v>42</v>
      </c>
      <c r="B46" t="s">
        <v>34</v>
      </c>
      <c r="C46">
        <v>1184</v>
      </c>
      <c r="D46">
        <v>15000</v>
      </c>
      <c r="E46">
        <v>-11.351499</v>
      </c>
      <c r="F46">
        <v>-1497712.9661890001</v>
      </c>
      <c r="G46">
        <v>-1151420.9575149999</v>
      </c>
      <c r="H46">
        <v>237.65021400000001</v>
      </c>
      <c r="I46">
        <v>121.39749999999999</v>
      </c>
      <c r="J46">
        <v>29.673197999999999</v>
      </c>
      <c r="K46">
        <v>3.3703829999999999</v>
      </c>
      <c r="L46" t="s">
        <v>35</v>
      </c>
      <c r="M46">
        <v>100.010043</v>
      </c>
      <c r="N46" s="2">
        <v>1.166156</v>
      </c>
      <c r="O46">
        <v>98.843888000000007</v>
      </c>
      <c r="Q46">
        <v>30.578220999999999</v>
      </c>
      <c r="R46">
        <v>0.78034400000000004</v>
      </c>
      <c r="S46">
        <v>13.099824999999999</v>
      </c>
      <c r="T46">
        <v>0.55670500000000001</v>
      </c>
      <c r="U46">
        <v>7.676145</v>
      </c>
      <c r="V46">
        <v>8.8070999999999997E-2</v>
      </c>
      <c r="W46">
        <v>4.4596340000000003</v>
      </c>
      <c r="X46">
        <v>16.853355000000001</v>
      </c>
      <c r="Y46">
        <v>11.218248000000001</v>
      </c>
      <c r="Z46">
        <v>0.86408499999999999</v>
      </c>
      <c r="AA46">
        <v>13.825367</v>
      </c>
      <c r="AB46">
        <v>52.459702</v>
      </c>
      <c r="AC46">
        <v>2.8821289999999999</v>
      </c>
      <c r="AD46">
        <v>30.370466</v>
      </c>
      <c r="AE46">
        <v>13.131589999999999</v>
      </c>
      <c r="AF46">
        <f>(W46/40.31)/((W46/40.31)+((U46+T46*0.9)/71.85))</f>
        <v>0.4929255842624729</v>
      </c>
    </row>
    <row r="47" spans="1:32" x14ac:dyDescent="0.25">
      <c r="A47">
        <v>43</v>
      </c>
      <c r="B47" t="s">
        <v>34</v>
      </c>
      <c r="C47">
        <v>1186</v>
      </c>
      <c r="D47">
        <v>15000</v>
      </c>
      <c r="E47">
        <v>-11.33006</v>
      </c>
      <c r="F47">
        <v>-1498189.0187550001</v>
      </c>
      <c r="G47">
        <v>-1151155.2380280001</v>
      </c>
      <c r="H47">
        <v>237.83283499999999</v>
      </c>
      <c r="I47">
        <v>121.42407900000001</v>
      </c>
      <c r="J47">
        <v>29.678215000000002</v>
      </c>
      <c r="K47">
        <v>3.3698139999999999</v>
      </c>
      <c r="L47" t="s">
        <v>35</v>
      </c>
      <c r="M47">
        <v>100.010071</v>
      </c>
      <c r="N47" s="2">
        <v>1.1851700000000001</v>
      </c>
      <c r="O47">
        <v>98.824900999999997</v>
      </c>
      <c r="Q47">
        <v>30.820533999999999</v>
      </c>
      <c r="R47">
        <v>0.78732599999999997</v>
      </c>
      <c r="S47">
        <v>13.156992000000001</v>
      </c>
      <c r="T47">
        <v>0.55695099999999997</v>
      </c>
      <c r="U47">
        <v>7.8101440000000002</v>
      </c>
      <c r="V47">
        <v>8.7849999999999998E-2</v>
      </c>
      <c r="W47">
        <v>4.5150379999999997</v>
      </c>
      <c r="X47">
        <v>16.610137000000002</v>
      </c>
      <c r="Y47">
        <v>11.201252</v>
      </c>
      <c r="Z47">
        <v>0.85022200000000003</v>
      </c>
      <c r="AA47">
        <v>13.603555</v>
      </c>
      <c r="AB47">
        <v>52.448062999999998</v>
      </c>
      <c r="AC47">
        <v>2.847756</v>
      </c>
      <c r="AD47">
        <v>30.230060999999999</v>
      </c>
      <c r="AE47">
        <v>13.299018999999999</v>
      </c>
      <c r="AF47">
        <f>(W47/40.31)/((W47/40.31)+((U47+T47*0.9)/71.85))</f>
        <v>0.49194234370516116</v>
      </c>
    </row>
    <row r="48" spans="1:32" x14ac:dyDescent="0.25">
      <c r="A48">
        <v>44</v>
      </c>
      <c r="B48" t="s">
        <v>34</v>
      </c>
      <c r="C48">
        <v>1188</v>
      </c>
      <c r="D48">
        <v>15000</v>
      </c>
      <c r="E48">
        <v>-11.308679</v>
      </c>
      <c r="F48">
        <v>-1498665.4425049999</v>
      </c>
      <c r="G48">
        <v>-1150888.0973</v>
      </c>
      <c r="H48">
        <v>238.01618300000001</v>
      </c>
      <c r="I48">
        <v>121.45061</v>
      </c>
      <c r="J48">
        <v>29.683335</v>
      </c>
      <c r="K48">
        <v>3.3692340000000001</v>
      </c>
      <c r="L48" t="s">
        <v>35</v>
      </c>
      <c r="M48">
        <v>100.010099</v>
      </c>
      <c r="N48" s="2">
        <v>1.2043010000000001</v>
      </c>
      <c r="O48">
        <v>98.805798999999993</v>
      </c>
      <c r="Q48">
        <v>31.055261999999999</v>
      </c>
      <c r="R48">
        <v>0.79419899999999999</v>
      </c>
      <c r="S48">
        <v>13.21191</v>
      </c>
      <c r="T48">
        <v>0.55709799999999998</v>
      </c>
      <c r="U48">
        <v>7.9437980000000001</v>
      </c>
      <c r="V48">
        <v>8.7638999999999995E-2</v>
      </c>
      <c r="W48">
        <v>4.5711940000000002</v>
      </c>
      <c r="X48">
        <v>16.374192000000001</v>
      </c>
      <c r="Y48">
        <v>11.180528000000001</v>
      </c>
      <c r="Z48">
        <v>0.83671600000000002</v>
      </c>
      <c r="AA48">
        <v>13.387464</v>
      </c>
      <c r="AB48">
        <v>52.436290999999997</v>
      </c>
      <c r="AC48">
        <v>2.8121960000000001</v>
      </c>
      <c r="AD48">
        <v>30.058138</v>
      </c>
      <c r="AE48">
        <v>13.499174</v>
      </c>
      <c r="AF48">
        <f>(W48/40.31)/((W48/40.31)+((U48+T48*0.9)/71.85))</f>
        <v>0.49104067825391978</v>
      </c>
    </row>
    <row r="49" spans="1:32" x14ac:dyDescent="0.25">
      <c r="A49">
        <v>45</v>
      </c>
      <c r="B49" t="s">
        <v>34</v>
      </c>
      <c r="C49">
        <v>1190</v>
      </c>
      <c r="D49">
        <v>15000</v>
      </c>
      <c r="E49">
        <v>-11.287357</v>
      </c>
      <c r="F49">
        <v>-1499142.24272</v>
      </c>
      <c r="G49">
        <v>-1150619.1226850001</v>
      </c>
      <c r="H49">
        <v>238.20053999999999</v>
      </c>
      <c r="I49">
        <v>121.47702200000001</v>
      </c>
      <c r="J49">
        <v>29.688586000000001</v>
      </c>
      <c r="K49">
        <v>3.3686389999999999</v>
      </c>
      <c r="L49" t="s">
        <v>35</v>
      </c>
      <c r="M49">
        <v>100.01012799999999</v>
      </c>
      <c r="N49" s="2">
        <v>1.223365</v>
      </c>
      <c r="O49">
        <v>98.786762999999993</v>
      </c>
      <c r="Q49">
        <v>31.280176999999998</v>
      </c>
      <c r="R49">
        <v>0.80092799999999997</v>
      </c>
      <c r="S49">
        <v>13.264079000000001</v>
      </c>
      <c r="T49">
        <v>0.55715300000000001</v>
      </c>
      <c r="U49">
        <v>8.0765510000000003</v>
      </c>
      <c r="V49">
        <v>8.7443000000000007E-2</v>
      </c>
      <c r="W49">
        <v>4.6281439999999998</v>
      </c>
      <c r="X49">
        <v>16.147507000000001</v>
      </c>
      <c r="Y49">
        <v>11.155498</v>
      </c>
      <c r="Z49">
        <v>0.82367800000000002</v>
      </c>
      <c r="AA49">
        <v>13.178843000000001</v>
      </c>
      <c r="AB49">
        <v>52.424404000000003</v>
      </c>
      <c r="AC49">
        <v>2.7750119999999998</v>
      </c>
      <c r="AD49">
        <v>29.842037000000001</v>
      </c>
      <c r="AE49">
        <v>13.745309000000001</v>
      </c>
      <c r="AF49">
        <f>(W49/40.31)/((W49/40.31)+((U49+T49*0.9)/71.85))</f>
        <v>0.49023561418123612</v>
      </c>
    </row>
    <row r="50" spans="1:32" x14ac:dyDescent="0.25">
      <c r="A50">
        <v>46</v>
      </c>
      <c r="B50" t="s">
        <v>34</v>
      </c>
      <c r="C50">
        <v>1192</v>
      </c>
      <c r="D50">
        <v>15000</v>
      </c>
      <c r="E50">
        <v>-11.266093</v>
      </c>
      <c r="F50">
        <v>-1499619.4278150001</v>
      </c>
      <c r="G50">
        <v>-1150347.6255669999</v>
      </c>
      <c r="H50">
        <v>238.38637800000001</v>
      </c>
      <c r="I50">
        <v>121.503196</v>
      </c>
      <c r="J50">
        <v>29.694016000000001</v>
      </c>
      <c r="K50">
        <v>3.3680240000000001</v>
      </c>
      <c r="L50" t="s">
        <v>35</v>
      </c>
      <c r="M50">
        <v>100.01015700000001</v>
      </c>
      <c r="N50" s="2">
        <v>1.242057</v>
      </c>
      <c r="O50">
        <v>98.768100000000004</v>
      </c>
      <c r="Q50">
        <v>31.491731000000001</v>
      </c>
      <c r="R50">
        <v>0.80745500000000003</v>
      </c>
      <c r="S50">
        <v>13.312697999999999</v>
      </c>
      <c r="T50">
        <v>0.55712200000000001</v>
      </c>
      <c r="U50">
        <v>8.20749</v>
      </c>
      <c r="V50">
        <v>8.7265999999999996E-2</v>
      </c>
      <c r="W50">
        <v>4.6859469999999996</v>
      </c>
      <c r="X50">
        <v>15.933263</v>
      </c>
      <c r="Y50">
        <v>11.125242</v>
      </c>
      <c r="Z50">
        <v>0.81128100000000003</v>
      </c>
      <c r="AA50">
        <v>12.980504</v>
      </c>
      <c r="AB50">
        <v>52.412436999999997</v>
      </c>
      <c r="AC50">
        <v>2.735484</v>
      </c>
      <c r="AD50">
        <v>29.560305</v>
      </c>
      <c r="AE50">
        <v>14.059875</v>
      </c>
      <c r="AF50">
        <f>(W50/40.31)/((W50/40.31)+((U50+T50*0.9)/71.85))</f>
        <v>0.48955242010302691</v>
      </c>
    </row>
    <row r="51" spans="1:32" x14ac:dyDescent="0.25">
      <c r="A51">
        <v>47</v>
      </c>
      <c r="B51" t="s">
        <v>34</v>
      </c>
      <c r="C51">
        <v>1194</v>
      </c>
      <c r="D51">
        <v>15000</v>
      </c>
      <c r="E51">
        <v>-11.244887</v>
      </c>
      <c r="F51">
        <v>-1500097.0125559999</v>
      </c>
      <c r="G51">
        <v>-1150072.3642520001</v>
      </c>
      <c r="H51">
        <v>238.57454799999999</v>
      </c>
      <c r="I51">
        <v>121.52891</v>
      </c>
      <c r="J51">
        <v>29.699715000000001</v>
      </c>
      <c r="K51">
        <v>3.3673790000000001</v>
      </c>
      <c r="L51" t="s">
        <v>35</v>
      </c>
      <c r="M51">
        <v>100.010187</v>
      </c>
      <c r="N51" s="2">
        <v>1.259836</v>
      </c>
      <c r="O51">
        <v>98.750352000000007</v>
      </c>
      <c r="Q51">
        <v>31.683814000000002</v>
      </c>
      <c r="R51">
        <v>0.81366400000000005</v>
      </c>
      <c r="S51">
        <v>13.356389999999999</v>
      </c>
      <c r="T51">
        <v>0.55701299999999998</v>
      </c>
      <c r="U51">
        <v>8.3349840000000004</v>
      </c>
      <c r="V51">
        <v>8.7120000000000003E-2</v>
      </c>
      <c r="W51">
        <v>4.7447010000000001</v>
      </c>
      <c r="X51">
        <v>15.736979</v>
      </c>
      <c r="Y51">
        <v>11.088172</v>
      </c>
      <c r="Z51">
        <v>0.79983300000000002</v>
      </c>
      <c r="AA51">
        <v>12.797330000000001</v>
      </c>
      <c r="AB51">
        <v>52.400424999999998</v>
      </c>
      <c r="AC51">
        <v>2.6923339999999998</v>
      </c>
      <c r="AD51">
        <v>29.173500000000001</v>
      </c>
      <c r="AE51">
        <v>14.484092</v>
      </c>
      <c r="AF51">
        <f>(W51/40.31)/((W51/40.31)+((U51+T51*0.9)/71.85))</f>
        <v>0.48903718258967016</v>
      </c>
    </row>
    <row r="52" spans="1:32" x14ac:dyDescent="0.25">
      <c r="A52">
        <v>48</v>
      </c>
      <c r="B52" t="s">
        <v>34</v>
      </c>
      <c r="C52">
        <v>1196</v>
      </c>
      <c r="D52">
        <v>15000</v>
      </c>
      <c r="E52">
        <v>-11.223739</v>
      </c>
      <c r="F52">
        <v>-1500575.025685</v>
      </c>
      <c r="G52">
        <v>-1149791.0048090001</v>
      </c>
      <c r="H52">
        <v>238.766648</v>
      </c>
      <c r="I52">
        <v>121.553746</v>
      </c>
      <c r="J52">
        <v>29.705860999999999</v>
      </c>
      <c r="K52">
        <v>3.3666830000000001</v>
      </c>
      <c r="L52" t="s">
        <v>35</v>
      </c>
      <c r="M52">
        <v>100.01022</v>
      </c>
      <c r="N52" s="2">
        <v>1.275711</v>
      </c>
      <c r="O52">
        <v>98.73451</v>
      </c>
      <c r="Q52">
        <v>31.845585</v>
      </c>
      <c r="R52">
        <v>0.81930099999999995</v>
      </c>
      <c r="S52">
        <v>13.392720000000001</v>
      </c>
      <c r="T52">
        <v>0.55683300000000002</v>
      </c>
      <c r="U52">
        <v>8.4559909999999991</v>
      </c>
      <c r="V52">
        <v>8.7022000000000002E-2</v>
      </c>
      <c r="W52">
        <v>4.8045689999999999</v>
      </c>
      <c r="X52">
        <v>15.568528000000001</v>
      </c>
      <c r="Y52">
        <v>11.041494</v>
      </c>
      <c r="Z52">
        <v>0.78988000000000003</v>
      </c>
      <c r="AA52">
        <v>12.638078</v>
      </c>
      <c r="AB52">
        <v>52.388396999999998</v>
      </c>
      <c r="AC52">
        <v>2.6431659999999999</v>
      </c>
      <c r="AD52">
        <v>28.605191999999999</v>
      </c>
      <c r="AE52">
        <v>15.097754999999999</v>
      </c>
      <c r="AF52">
        <f>(W52/40.31)/((W52/40.31)+((U52+T52*0.9)/71.85))</f>
        <v>0.48877621521958803</v>
      </c>
    </row>
    <row r="53" spans="1:32" x14ac:dyDescent="0.25">
      <c r="A53">
        <v>49</v>
      </c>
      <c r="B53" t="s">
        <v>34</v>
      </c>
      <c r="C53">
        <v>1198</v>
      </c>
      <c r="D53">
        <v>15000</v>
      </c>
      <c r="E53">
        <v>-11.202648999999999</v>
      </c>
      <c r="F53">
        <v>-1501053.519998</v>
      </c>
      <c r="G53">
        <v>-1149500.3343750001</v>
      </c>
      <c r="H53">
        <v>238.96488199999999</v>
      </c>
      <c r="I53">
        <v>121.57711500000001</v>
      </c>
      <c r="J53">
        <v>29.712741999999999</v>
      </c>
      <c r="K53">
        <v>3.3659050000000001</v>
      </c>
      <c r="L53" t="s">
        <v>35</v>
      </c>
      <c r="M53">
        <v>100.01025799999999</v>
      </c>
      <c r="N53" s="2">
        <v>1.2884230000000001</v>
      </c>
      <c r="O53">
        <v>98.721834000000001</v>
      </c>
      <c r="Q53">
        <v>31.964169999999999</v>
      </c>
      <c r="R53">
        <v>0.82386999999999999</v>
      </c>
      <c r="S53">
        <v>13.418918</v>
      </c>
      <c r="T53">
        <v>0.55657599999999996</v>
      </c>
      <c r="U53">
        <v>8.5663269999999994</v>
      </c>
      <c r="V53">
        <v>8.6992E-2</v>
      </c>
      <c r="W53">
        <v>4.865748</v>
      </c>
      <c r="X53">
        <v>15.439848</v>
      </c>
      <c r="Y53">
        <v>10.982082999999999</v>
      </c>
      <c r="Z53">
        <v>0.78208599999999995</v>
      </c>
      <c r="AA53">
        <v>12.513381000000001</v>
      </c>
      <c r="AB53">
        <v>52.376209000000003</v>
      </c>
      <c r="AC53">
        <v>2.5845280000000002</v>
      </c>
      <c r="AD53">
        <v>27.740181</v>
      </c>
      <c r="AE53">
        <v>16.020916</v>
      </c>
      <c r="AF53">
        <f>(W53/40.31)/((W53/40.31)+((U53+T53*0.9)/71.85))</f>
        <v>0.48888507567149653</v>
      </c>
    </row>
    <row r="54" spans="1:32" x14ac:dyDescent="0.25">
      <c r="A54">
        <v>50</v>
      </c>
      <c r="B54" t="s">
        <v>34</v>
      </c>
      <c r="C54">
        <v>1200</v>
      </c>
      <c r="D54">
        <v>15000</v>
      </c>
      <c r="E54">
        <v>-11.181615000000001</v>
      </c>
      <c r="F54">
        <v>-1501532.5245950001</v>
      </c>
      <c r="G54">
        <v>-1149203.431327</v>
      </c>
      <c r="H54">
        <v>239.16715400000001</v>
      </c>
      <c r="I54">
        <v>121.59948</v>
      </c>
      <c r="J54">
        <v>29.720265000000001</v>
      </c>
      <c r="K54">
        <v>3.3650540000000002</v>
      </c>
      <c r="L54" t="s">
        <v>35</v>
      </c>
      <c r="M54">
        <v>100.0103</v>
      </c>
      <c r="N54" s="2">
        <v>1.2994239999999999</v>
      </c>
      <c r="O54">
        <v>98.710875999999999</v>
      </c>
      <c r="Q54">
        <v>32.059863999999997</v>
      </c>
      <c r="R54">
        <v>0.82719100000000001</v>
      </c>
      <c r="S54">
        <v>13.440099999999999</v>
      </c>
      <c r="T54">
        <v>0.55620599999999998</v>
      </c>
      <c r="U54">
        <v>8.6698400000000007</v>
      </c>
      <c r="V54">
        <v>8.6996000000000004E-2</v>
      </c>
      <c r="W54">
        <v>4.9280160000000004</v>
      </c>
      <c r="X54">
        <v>15.332862</v>
      </c>
      <c r="Y54">
        <v>10.916014000000001</v>
      </c>
      <c r="Z54">
        <v>0.77546499999999996</v>
      </c>
      <c r="AA54">
        <v>12.407444999999999</v>
      </c>
      <c r="AB54">
        <v>52.363402999999998</v>
      </c>
      <c r="AC54">
        <v>2.5185740000000001</v>
      </c>
      <c r="AD54">
        <v>26.643643999999998</v>
      </c>
      <c r="AE54">
        <v>17.185255000000002</v>
      </c>
      <c r="AF54">
        <f>(W54/40.31)/((W54/40.31)+((U54+T54*0.9)/71.85))</f>
        <v>0.48923512194030477</v>
      </c>
    </row>
    <row r="55" spans="1:32" x14ac:dyDescent="0.25">
      <c r="A55">
        <v>51</v>
      </c>
      <c r="B55" t="s">
        <v>34</v>
      </c>
      <c r="C55">
        <v>1202</v>
      </c>
      <c r="D55">
        <v>15000</v>
      </c>
      <c r="E55">
        <v>-11.160639</v>
      </c>
      <c r="F55">
        <v>-1502011.9701439999</v>
      </c>
      <c r="G55">
        <v>-1148910.5851139999</v>
      </c>
      <c r="H55">
        <v>239.36642699999999</v>
      </c>
      <c r="I55">
        <v>121.622591</v>
      </c>
      <c r="J55">
        <v>29.727694</v>
      </c>
      <c r="K55">
        <v>3.3642150000000002</v>
      </c>
      <c r="L55" t="s">
        <v>35</v>
      </c>
      <c r="M55">
        <v>100.010344</v>
      </c>
      <c r="N55" s="2">
        <v>1.3128150000000001</v>
      </c>
      <c r="O55">
        <v>98.69753</v>
      </c>
      <c r="Q55">
        <v>32.181407</v>
      </c>
      <c r="R55">
        <v>0.83018099999999995</v>
      </c>
      <c r="S55">
        <v>13.467644999999999</v>
      </c>
      <c r="T55">
        <v>0.55571499999999996</v>
      </c>
      <c r="U55">
        <v>8.7795860000000001</v>
      </c>
      <c r="V55">
        <v>8.6946999999999997E-2</v>
      </c>
      <c r="W55">
        <v>4.9907579999999996</v>
      </c>
      <c r="X55">
        <v>15.202904999999999</v>
      </c>
      <c r="Y55">
        <v>10.856415</v>
      </c>
      <c r="Z55">
        <v>0.76755499999999999</v>
      </c>
      <c r="AA55">
        <v>12.280886000000001</v>
      </c>
      <c r="AB55">
        <v>52.349918000000002</v>
      </c>
      <c r="AC55">
        <v>2.4547680000000001</v>
      </c>
      <c r="AD55">
        <v>25.636696000000001</v>
      </c>
      <c r="AE55">
        <v>18.256145</v>
      </c>
      <c r="AF55">
        <f>(W55/40.31)/((W55/40.31)+((U55+T55*0.9)/71.85))</f>
        <v>0.48943568240046836</v>
      </c>
    </row>
    <row r="56" spans="1:32" x14ac:dyDescent="0.25">
      <c r="A56">
        <v>52</v>
      </c>
      <c r="B56" t="s">
        <v>34</v>
      </c>
      <c r="C56">
        <v>1204</v>
      </c>
      <c r="D56">
        <v>15000</v>
      </c>
      <c r="E56">
        <v>-11.139718999999999</v>
      </c>
      <c r="F56">
        <v>-1502491.80495</v>
      </c>
      <c r="G56">
        <v>-1148623.761584</v>
      </c>
      <c r="H56">
        <v>239.56134700000001</v>
      </c>
      <c r="I56">
        <v>121.64684099999999</v>
      </c>
      <c r="J56">
        <v>29.734788999999999</v>
      </c>
      <c r="K56">
        <v>3.363413</v>
      </c>
      <c r="L56" t="s">
        <v>35</v>
      </c>
      <c r="M56">
        <v>100.010389</v>
      </c>
      <c r="N56" s="2">
        <v>1.3292189999999999</v>
      </c>
      <c r="O56">
        <v>98.681168999999997</v>
      </c>
      <c r="Q56">
        <v>32.333621000000001</v>
      </c>
      <c r="R56">
        <v>0.83336100000000002</v>
      </c>
      <c r="S56">
        <v>13.502385</v>
      </c>
      <c r="T56">
        <v>0.55513000000000001</v>
      </c>
      <c r="U56">
        <v>8.8980960000000007</v>
      </c>
      <c r="V56">
        <v>8.6837999999999999E-2</v>
      </c>
      <c r="W56">
        <v>5.0539050000000003</v>
      </c>
      <c r="X56">
        <v>15.04514</v>
      </c>
      <c r="Y56">
        <v>10.804117</v>
      </c>
      <c r="Z56">
        <v>0.75808299999999995</v>
      </c>
      <c r="AA56">
        <v>12.129324</v>
      </c>
      <c r="AB56">
        <v>52.336094000000003</v>
      </c>
      <c r="AC56">
        <v>2.395419</v>
      </c>
      <c r="AD56">
        <v>24.805363</v>
      </c>
      <c r="AE56">
        <v>19.144295</v>
      </c>
      <c r="AF56">
        <f>(W56/40.31)/((W56/40.31)+((U56+T56*0.9)/71.85))</f>
        <v>0.48942055057494227</v>
      </c>
    </row>
    <row r="57" spans="1:32" x14ac:dyDescent="0.25">
      <c r="A57">
        <v>53</v>
      </c>
      <c r="B57" t="s">
        <v>34</v>
      </c>
      <c r="C57">
        <v>1206</v>
      </c>
      <c r="D57">
        <v>15000</v>
      </c>
      <c r="E57">
        <v>-11.118855999999999</v>
      </c>
      <c r="F57">
        <v>-1502972.0177239999</v>
      </c>
      <c r="G57">
        <v>-1148341.0578630001</v>
      </c>
      <c r="H57">
        <v>239.75321</v>
      </c>
      <c r="I57">
        <v>121.671952</v>
      </c>
      <c r="J57">
        <v>29.741637999999998</v>
      </c>
      <c r="K57">
        <v>3.3626399999999999</v>
      </c>
      <c r="L57" t="s">
        <v>35</v>
      </c>
      <c r="M57">
        <v>100.01043199999999</v>
      </c>
      <c r="N57" s="2">
        <v>1.3478680000000001</v>
      </c>
      <c r="O57">
        <v>98.662564000000003</v>
      </c>
      <c r="Q57">
        <v>32.505389000000001</v>
      </c>
      <c r="R57">
        <v>0.83673799999999998</v>
      </c>
      <c r="S57">
        <v>13.541547</v>
      </c>
      <c r="T57">
        <v>0.55446600000000001</v>
      </c>
      <c r="U57">
        <v>9.0230250000000005</v>
      </c>
      <c r="V57">
        <v>8.6689000000000002E-2</v>
      </c>
      <c r="W57">
        <v>5.1175980000000001</v>
      </c>
      <c r="X57">
        <v>14.869591</v>
      </c>
      <c r="Y57">
        <v>10.75586</v>
      </c>
      <c r="Z57">
        <v>0.74759399999999998</v>
      </c>
      <c r="AA57">
        <v>11.961501999999999</v>
      </c>
      <c r="AB57">
        <v>52.322079000000002</v>
      </c>
      <c r="AC57">
        <v>2.339118</v>
      </c>
      <c r="AD57">
        <v>24.103570999999999</v>
      </c>
      <c r="AE57">
        <v>19.897797000000001</v>
      </c>
      <c r="AF57">
        <f>(W57/40.31)/((W57/40.31)+((U57+T57*0.9)/71.85))</f>
        <v>0.48926581207714881</v>
      </c>
    </row>
    <row r="58" spans="1:32" x14ac:dyDescent="0.25">
      <c r="A58">
        <v>54</v>
      </c>
      <c r="B58" t="s">
        <v>34</v>
      </c>
      <c r="C58">
        <v>1208</v>
      </c>
      <c r="D58">
        <v>15000</v>
      </c>
      <c r="E58">
        <v>-11.098050000000001</v>
      </c>
      <c r="F58">
        <v>-1503452.6062739999</v>
      </c>
      <c r="G58">
        <v>-1148060.9829249999</v>
      </c>
      <c r="H58">
        <v>239.94303300000001</v>
      </c>
      <c r="I58">
        <v>121.697705</v>
      </c>
      <c r="J58">
        <v>29.748328000000001</v>
      </c>
      <c r="K58">
        <v>3.3618860000000002</v>
      </c>
      <c r="L58" t="s">
        <v>35</v>
      </c>
      <c r="M58">
        <v>100.010476</v>
      </c>
      <c r="N58" s="2">
        <v>1.368222</v>
      </c>
      <c r="O58">
        <v>98.642253999999994</v>
      </c>
      <c r="Q58">
        <v>32.688999000000003</v>
      </c>
      <c r="R58">
        <v>0.84024299999999996</v>
      </c>
      <c r="S58">
        <v>13.58324</v>
      </c>
      <c r="T58">
        <v>0.55372900000000003</v>
      </c>
      <c r="U58">
        <v>9.1525499999999997</v>
      </c>
      <c r="V58">
        <v>8.6513999999999994E-2</v>
      </c>
      <c r="W58">
        <v>5.1819369999999996</v>
      </c>
      <c r="X58">
        <v>14.683298000000001</v>
      </c>
      <c r="Y58">
        <v>10.709451</v>
      </c>
      <c r="Z58">
        <v>0.73647300000000004</v>
      </c>
      <c r="AA58">
        <v>11.783564999999999</v>
      </c>
      <c r="AB58">
        <v>52.307910999999997</v>
      </c>
      <c r="AC58">
        <v>2.2846890000000002</v>
      </c>
      <c r="AD58">
        <v>23.490321999999999</v>
      </c>
      <c r="AE58">
        <v>20.559334</v>
      </c>
      <c r="AF58">
        <f>(W58/40.31)/((W58/40.31)+((U58+T58*0.9)/71.85))</f>
        <v>0.48902879944248878</v>
      </c>
    </row>
    <row r="59" spans="1:32" x14ac:dyDescent="0.25">
      <c r="A59">
        <v>55</v>
      </c>
      <c r="B59" t="s">
        <v>34</v>
      </c>
      <c r="C59">
        <v>1210</v>
      </c>
      <c r="D59">
        <v>15000</v>
      </c>
      <c r="E59">
        <v>-11.077299</v>
      </c>
      <c r="F59">
        <v>-1503933.5697679999</v>
      </c>
      <c r="G59">
        <v>-1147782.623875</v>
      </c>
      <c r="H59">
        <v>240.13144</v>
      </c>
      <c r="I59">
        <v>121.723969</v>
      </c>
      <c r="J59">
        <v>29.754918</v>
      </c>
      <c r="K59">
        <v>3.3611420000000001</v>
      </c>
      <c r="L59" t="s">
        <v>35</v>
      </c>
      <c r="M59">
        <v>100.010519</v>
      </c>
      <c r="N59" s="2">
        <v>1.3899790000000001</v>
      </c>
      <c r="O59">
        <v>98.620540000000005</v>
      </c>
      <c r="Q59">
        <v>32.879933000000001</v>
      </c>
      <c r="R59">
        <v>0.84381899999999999</v>
      </c>
      <c r="S59">
        <v>13.626358</v>
      </c>
      <c r="T59">
        <v>0.55292200000000002</v>
      </c>
      <c r="U59">
        <v>9.2855679999999996</v>
      </c>
      <c r="V59">
        <v>8.6321999999999996E-2</v>
      </c>
      <c r="W59">
        <v>5.246988</v>
      </c>
      <c r="X59">
        <v>14.490405000000001</v>
      </c>
      <c r="Y59">
        <v>10.663619000000001</v>
      </c>
      <c r="Z59">
        <v>0.72494499999999995</v>
      </c>
      <c r="AA59">
        <v>11.599121999999999</v>
      </c>
      <c r="AB59">
        <v>52.293587000000002</v>
      </c>
      <c r="AC59">
        <v>2.2314129999999999</v>
      </c>
      <c r="AD59">
        <v>22.939829</v>
      </c>
      <c r="AE59">
        <v>21.155712000000001</v>
      </c>
      <c r="AF59">
        <f>(W59/40.31)/((W59/40.31)+((U59+T59*0.9)/71.85))</f>
        <v>0.48874410926438339</v>
      </c>
    </row>
    <row r="60" spans="1:32" x14ac:dyDescent="0.25">
      <c r="A60">
        <v>56</v>
      </c>
      <c r="B60" t="s">
        <v>34</v>
      </c>
      <c r="C60">
        <v>1212</v>
      </c>
      <c r="D60">
        <v>15000</v>
      </c>
      <c r="E60">
        <v>-11.056604999999999</v>
      </c>
      <c r="F60">
        <v>-1504414.907592</v>
      </c>
      <c r="G60">
        <v>-1147505.4087769999</v>
      </c>
      <c r="H60">
        <v>240.31882200000001</v>
      </c>
      <c r="I60">
        <v>121.750669</v>
      </c>
      <c r="J60">
        <v>29.761445999999999</v>
      </c>
      <c r="K60">
        <v>3.3604069999999999</v>
      </c>
      <c r="L60" t="s">
        <v>35</v>
      </c>
      <c r="M60">
        <v>100.01056199999999</v>
      </c>
      <c r="N60" s="2">
        <v>1.412971</v>
      </c>
      <c r="O60">
        <v>98.597590999999994</v>
      </c>
      <c r="Q60">
        <v>33.075429</v>
      </c>
      <c r="R60">
        <v>0.84742700000000004</v>
      </c>
      <c r="S60">
        <v>13.670223999999999</v>
      </c>
      <c r="T60">
        <v>0.55204600000000004</v>
      </c>
      <c r="U60">
        <v>9.4214009999999995</v>
      </c>
      <c r="V60">
        <v>8.6116999999999999E-2</v>
      </c>
      <c r="W60">
        <v>5.3127959999999996</v>
      </c>
      <c r="X60">
        <v>14.293448</v>
      </c>
      <c r="Y60">
        <v>10.617590999999999</v>
      </c>
      <c r="Z60">
        <v>0.713148</v>
      </c>
      <c r="AA60">
        <v>11.410373</v>
      </c>
      <c r="AB60">
        <v>52.279094999999998</v>
      </c>
      <c r="AC60">
        <v>2.1788439999999998</v>
      </c>
      <c r="AD60">
        <v>22.435856000000001</v>
      </c>
      <c r="AE60">
        <v>21.703796000000001</v>
      </c>
      <c r="AF60">
        <f>(W60/40.31)/((W60/40.31)+((U60+T60*0.9)/71.85))</f>
        <v>0.48843295356138411</v>
      </c>
    </row>
    <row r="61" spans="1:32" x14ac:dyDescent="0.25">
      <c r="A61">
        <v>57</v>
      </c>
      <c r="B61" t="s">
        <v>34</v>
      </c>
      <c r="C61">
        <v>1214</v>
      </c>
      <c r="D61">
        <v>15000</v>
      </c>
      <c r="E61">
        <v>-11.035966</v>
      </c>
      <c r="F61">
        <v>-1504896.6192139999</v>
      </c>
      <c r="G61">
        <v>-1147228.9588200001</v>
      </c>
      <c r="H61">
        <v>240.505437</v>
      </c>
      <c r="I61">
        <v>121.77775800000001</v>
      </c>
      <c r="J61">
        <v>29.767938000000001</v>
      </c>
      <c r="K61">
        <v>3.3596750000000002</v>
      </c>
      <c r="L61" t="s">
        <v>35</v>
      </c>
      <c r="M61">
        <v>100.010605</v>
      </c>
      <c r="N61" s="2">
        <v>1.437106</v>
      </c>
      <c r="O61">
        <v>98.573498999999998</v>
      </c>
      <c r="Q61">
        <v>33.273688999999997</v>
      </c>
      <c r="R61">
        <v>0.85104000000000002</v>
      </c>
      <c r="S61">
        <v>13.714394</v>
      </c>
      <c r="T61">
        <v>0.55110400000000004</v>
      </c>
      <c r="U61">
        <v>9.5596099999999993</v>
      </c>
      <c r="V61">
        <v>8.5902000000000006E-2</v>
      </c>
      <c r="W61">
        <v>5.3793930000000003</v>
      </c>
      <c r="X61">
        <v>14.094082</v>
      </c>
      <c r="Y61">
        <v>10.570869</v>
      </c>
      <c r="Z61">
        <v>0.70117200000000002</v>
      </c>
      <c r="AA61">
        <v>11.218745999999999</v>
      </c>
      <c r="AB61">
        <v>52.264423000000001</v>
      </c>
      <c r="AC61">
        <v>2.1266919999999998</v>
      </c>
      <c r="AD61">
        <v>21.967708999999999</v>
      </c>
      <c r="AE61">
        <v>22.214673999999999</v>
      </c>
      <c r="AF61">
        <f>(W61/40.31)/((W61/40.31)+((U61+T61*0.9)/71.85))</f>
        <v>0.48810887428346089</v>
      </c>
    </row>
    <row r="62" spans="1:32" x14ac:dyDescent="0.25">
      <c r="A62">
        <v>58</v>
      </c>
      <c r="B62" t="s">
        <v>34</v>
      </c>
      <c r="C62">
        <v>1216</v>
      </c>
      <c r="D62">
        <v>15000</v>
      </c>
      <c r="E62">
        <v>-11.015382000000001</v>
      </c>
      <c r="F62">
        <v>-1505378.7041760001</v>
      </c>
      <c r="G62">
        <v>-1146953.009207</v>
      </c>
      <c r="H62">
        <v>240.69146499999999</v>
      </c>
      <c r="I62">
        <v>121.80521</v>
      </c>
      <c r="J62">
        <v>29.774412000000002</v>
      </c>
      <c r="K62">
        <v>3.358946</v>
      </c>
      <c r="L62" t="s">
        <v>35</v>
      </c>
      <c r="M62">
        <v>100.010648</v>
      </c>
      <c r="N62" s="2">
        <v>1.462332</v>
      </c>
      <c r="O62">
        <v>98.548316</v>
      </c>
      <c r="Q62">
        <v>33.473469000000001</v>
      </c>
      <c r="R62">
        <v>0.85463599999999995</v>
      </c>
      <c r="S62">
        <v>13.758562</v>
      </c>
      <c r="T62">
        <v>0.55009799999999998</v>
      </c>
      <c r="U62">
        <v>9.6998960000000007</v>
      </c>
      <c r="V62">
        <v>8.5680000000000006E-2</v>
      </c>
      <c r="W62">
        <v>5.4468069999999997</v>
      </c>
      <c r="X62">
        <v>13.893449</v>
      </c>
      <c r="Y62">
        <v>10.523109</v>
      </c>
      <c r="Z62">
        <v>0.68907600000000002</v>
      </c>
      <c r="AA62">
        <v>11.025218000000001</v>
      </c>
      <c r="AB62">
        <v>52.249557000000003</v>
      </c>
      <c r="AC62">
        <v>2.0747589999999998</v>
      </c>
      <c r="AD62">
        <v>21.528023000000001</v>
      </c>
      <c r="AE62">
        <v>22.695976000000002</v>
      </c>
      <c r="AF62">
        <f>(W62/40.31)/((W62/40.31)+((U62+T62*0.9)/71.85))</f>
        <v>0.48778111990441614</v>
      </c>
    </row>
    <row r="63" spans="1:32" x14ac:dyDescent="0.25">
      <c r="A63">
        <v>59</v>
      </c>
      <c r="B63" t="s">
        <v>34</v>
      </c>
      <c r="C63">
        <v>1218</v>
      </c>
      <c r="D63">
        <v>15000</v>
      </c>
      <c r="E63">
        <v>-10.994854</v>
      </c>
      <c r="F63">
        <v>-1505861.1621030001</v>
      </c>
      <c r="G63">
        <v>-1146677.3658799999</v>
      </c>
      <c r="H63">
        <v>240.877039</v>
      </c>
      <c r="I63">
        <v>121.833009</v>
      </c>
      <c r="J63">
        <v>29.780881999999998</v>
      </c>
      <c r="K63">
        <v>3.3582179999999999</v>
      </c>
      <c r="L63" t="s">
        <v>35</v>
      </c>
      <c r="M63">
        <v>100.01069200000001</v>
      </c>
      <c r="N63" s="2">
        <v>1.4886239999999999</v>
      </c>
      <c r="O63">
        <v>98.522068000000004</v>
      </c>
      <c r="Q63">
        <v>33.673867000000001</v>
      </c>
      <c r="R63">
        <v>0.85819999999999996</v>
      </c>
      <c r="S63">
        <v>13.802500999999999</v>
      </c>
      <c r="T63">
        <v>0.54902899999999999</v>
      </c>
      <c r="U63">
        <v>9.8420470000000009</v>
      </c>
      <c r="V63">
        <v>8.5452E-2</v>
      </c>
      <c r="W63">
        <v>5.5150620000000004</v>
      </c>
      <c r="X63">
        <v>13.692377</v>
      </c>
      <c r="Y63">
        <v>10.474065</v>
      </c>
      <c r="Z63">
        <v>0.67690600000000001</v>
      </c>
      <c r="AA63">
        <v>10.830495000000001</v>
      </c>
      <c r="AB63">
        <v>52.234482</v>
      </c>
      <c r="AC63">
        <v>2.0228999999999999</v>
      </c>
      <c r="AD63">
        <v>21.111522999999998</v>
      </c>
      <c r="AE63">
        <v>23.153165999999999</v>
      </c>
      <c r="AF63">
        <f>(W63/40.31)/((W63/40.31)+((U63+T63*0.9)/71.85))</f>
        <v>0.48745619161579262</v>
      </c>
    </row>
    <row r="64" spans="1:32" x14ac:dyDescent="0.25">
      <c r="A64">
        <v>60</v>
      </c>
      <c r="B64" t="s">
        <v>34</v>
      </c>
      <c r="C64">
        <v>1220</v>
      </c>
      <c r="D64">
        <v>15000</v>
      </c>
      <c r="E64">
        <v>-10.974380999999999</v>
      </c>
      <c r="F64">
        <v>-1506343.9927030001</v>
      </c>
      <c r="G64">
        <v>-1146401.88069</v>
      </c>
      <c r="H64">
        <v>241.06225900000001</v>
      </c>
      <c r="I64">
        <v>121.86114600000001</v>
      </c>
      <c r="J64">
        <v>29.787358000000001</v>
      </c>
      <c r="K64">
        <v>3.3574890000000002</v>
      </c>
      <c r="L64" t="s">
        <v>35</v>
      </c>
      <c r="M64">
        <v>100.010735</v>
      </c>
      <c r="N64" s="2">
        <v>1.515973</v>
      </c>
      <c r="O64">
        <v>98.494760999999997</v>
      </c>
      <c r="Q64">
        <v>33.874195999999998</v>
      </c>
      <c r="R64">
        <v>0.86172000000000004</v>
      </c>
      <c r="S64">
        <v>13.84604</v>
      </c>
      <c r="T64">
        <v>0.54790000000000005</v>
      </c>
      <c r="U64">
        <v>9.9859069999999992</v>
      </c>
      <c r="V64">
        <v>8.5219000000000003E-2</v>
      </c>
      <c r="W64">
        <v>5.5841789999999998</v>
      </c>
      <c r="X64">
        <v>13.491489</v>
      </c>
      <c r="Y64">
        <v>10.423555</v>
      </c>
      <c r="Z64">
        <v>0.66469400000000001</v>
      </c>
      <c r="AA64">
        <v>10.635102</v>
      </c>
      <c r="AB64">
        <v>52.219177000000002</v>
      </c>
      <c r="AC64">
        <v>1.971007</v>
      </c>
      <c r="AD64">
        <v>20.714297999999999</v>
      </c>
      <c r="AE64">
        <v>23.590281000000001</v>
      </c>
      <c r="AF64">
        <f>(W64/40.31)/((W64/40.31)+((U64+T64*0.9)/71.85))</f>
        <v>0.48713873253214346</v>
      </c>
    </row>
    <row r="65" spans="1:32" x14ac:dyDescent="0.25">
      <c r="A65">
        <v>61</v>
      </c>
      <c r="B65" t="s">
        <v>34</v>
      </c>
      <c r="C65">
        <v>1222</v>
      </c>
      <c r="D65">
        <v>15000</v>
      </c>
      <c r="E65">
        <v>-10.953962000000001</v>
      </c>
      <c r="F65">
        <v>-1506827.1957690001</v>
      </c>
      <c r="G65">
        <v>-1146126.4364090001</v>
      </c>
      <c r="H65">
        <v>241.24720600000001</v>
      </c>
      <c r="I65">
        <v>121.889619</v>
      </c>
      <c r="J65">
        <v>29.793848000000001</v>
      </c>
      <c r="K65">
        <v>3.3567589999999998</v>
      </c>
      <c r="L65" t="s">
        <v>35</v>
      </c>
      <c r="M65">
        <v>100.010778</v>
      </c>
      <c r="N65" s="2">
        <v>1.544386</v>
      </c>
      <c r="O65">
        <v>98.466392999999997</v>
      </c>
      <c r="Q65">
        <v>34.073917999999999</v>
      </c>
      <c r="R65">
        <v>0.86518499999999998</v>
      </c>
      <c r="S65">
        <v>13.889044</v>
      </c>
      <c r="T65">
        <v>0.54671400000000003</v>
      </c>
      <c r="U65">
        <v>10.131358000000001</v>
      </c>
      <c r="V65">
        <v>8.4983000000000003E-2</v>
      </c>
      <c r="W65">
        <v>5.6541769999999998</v>
      </c>
      <c r="X65">
        <v>13.291273</v>
      </c>
      <c r="Y65">
        <v>10.371435</v>
      </c>
      <c r="Z65">
        <v>0.65246499999999996</v>
      </c>
      <c r="AA65">
        <v>10.439446999999999</v>
      </c>
      <c r="AB65">
        <v>52.203631999999999</v>
      </c>
      <c r="AC65">
        <v>1.9189940000000001</v>
      </c>
      <c r="AD65">
        <v>20.333382</v>
      </c>
      <c r="AE65">
        <v>24.010383999999998</v>
      </c>
      <c r="AF65">
        <f>(W65/40.31)/((W65/40.31)+((U65+T65*0.9)/71.85))</f>
        <v>0.48683215247033573</v>
      </c>
    </row>
    <row r="66" spans="1:32" x14ac:dyDescent="0.25">
      <c r="A66">
        <v>62</v>
      </c>
      <c r="B66" t="s">
        <v>34</v>
      </c>
      <c r="C66">
        <v>1224</v>
      </c>
      <c r="D66">
        <v>15000</v>
      </c>
      <c r="E66">
        <v>-10.933598</v>
      </c>
      <c r="F66">
        <v>-1507310.7711759999</v>
      </c>
      <c r="G66">
        <v>-1145850.937289</v>
      </c>
      <c r="H66">
        <v>241.43194299999999</v>
      </c>
      <c r="I66">
        <v>121.918429</v>
      </c>
      <c r="J66">
        <v>29.800360999999999</v>
      </c>
      <c r="K66">
        <v>3.3560270000000001</v>
      </c>
      <c r="L66" t="s">
        <v>35</v>
      </c>
      <c r="M66">
        <v>100.01082100000001</v>
      </c>
      <c r="N66" s="2">
        <v>1.573874</v>
      </c>
      <c r="O66">
        <v>98.436948000000001</v>
      </c>
      <c r="Q66">
        <v>34.272599999999997</v>
      </c>
      <c r="R66">
        <v>0.868587</v>
      </c>
      <c r="S66">
        <v>13.931404000000001</v>
      </c>
      <c r="T66">
        <v>0.54547199999999996</v>
      </c>
      <c r="U66">
        <v>10.278309999999999</v>
      </c>
      <c r="V66">
        <v>8.4742999999999999E-2</v>
      </c>
      <c r="W66">
        <v>5.7250759999999996</v>
      </c>
      <c r="X66">
        <v>13.092122</v>
      </c>
      <c r="Y66">
        <v>10.317593</v>
      </c>
      <c r="Z66">
        <v>0.64024099999999995</v>
      </c>
      <c r="AA66">
        <v>10.243853</v>
      </c>
      <c r="AB66">
        <v>52.187832</v>
      </c>
      <c r="AC66">
        <v>1.8667929999999999</v>
      </c>
      <c r="AD66">
        <v>19.966460999999999</v>
      </c>
      <c r="AE66">
        <v>24.415861</v>
      </c>
      <c r="AF66">
        <f>(W66/40.31)/((W66/40.31)+((U66+T66*0.9)/71.85))</f>
        <v>0.48653910859328414</v>
      </c>
    </row>
    <row r="67" spans="1:32" x14ac:dyDescent="0.25">
      <c r="A67">
        <v>63</v>
      </c>
      <c r="B67" t="s">
        <v>34</v>
      </c>
      <c r="C67">
        <v>1226</v>
      </c>
      <c r="D67">
        <v>15000</v>
      </c>
      <c r="E67">
        <v>-10.913289000000001</v>
      </c>
      <c r="F67">
        <v>-1507794.718876</v>
      </c>
      <c r="G67">
        <v>-1145575.3028589999</v>
      </c>
      <c r="H67">
        <v>241.61652699999999</v>
      </c>
      <c r="I67">
        <v>121.94758</v>
      </c>
      <c r="J67">
        <v>29.806901</v>
      </c>
      <c r="K67">
        <v>3.3552919999999999</v>
      </c>
      <c r="L67" t="s">
        <v>35</v>
      </c>
      <c r="M67">
        <v>100.010865</v>
      </c>
      <c r="N67" s="2">
        <v>1.6044579999999999</v>
      </c>
      <c r="O67">
        <v>98.406407000000002</v>
      </c>
      <c r="Q67">
        <v>34.469878999999999</v>
      </c>
      <c r="R67">
        <v>0.871919</v>
      </c>
      <c r="S67">
        <v>13.973025</v>
      </c>
      <c r="T67">
        <v>0.54417700000000002</v>
      </c>
      <c r="U67">
        <v>10.426693</v>
      </c>
      <c r="V67">
        <v>8.4501999999999994E-2</v>
      </c>
      <c r="W67">
        <v>5.7968929999999999</v>
      </c>
      <c r="X67">
        <v>12.894354999999999</v>
      </c>
      <c r="Y67">
        <v>10.261938000000001</v>
      </c>
      <c r="Z67">
        <v>0.62803600000000004</v>
      </c>
      <c r="AA67">
        <v>10.048581</v>
      </c>
      <c r="AB67">
        <v>52.171764000000003</v>
      </c>
      <c r="AC67">
        <v>1.814346</v>
      </c>
      <c r="AD67">
        <v>19.611704</v>
      </c>
      <c r="AE67">
        <v>24.808592000000001</v>
      </c>
      <c r="AF67">
        <f>(W67/40.31)/((W67/40.31)+((U67+T67*0.9)/71.85))</f>
        <v>0.48626147983377638</v>
      </c>
    </row>
    <row r="68" spans="1:32" x14ac:dyDescent="0.25">
      <c r="A68">
        <v>64</v>
      </c>
      <c r="B68" t="s">
        <v>34</v>
      </c>
      <c r="C68">
        <v>1228</v>
      </c>
      <c r="D68">
        <v>15000</v>
      </c>
      <c r="E68">
        <v>-10.893033000000001</v>
      </c>
      <c r="F68">
        <v>-1508279.038897</v>
      </c>
      <c r="G68">
        <v>-1145299.4637180001</v>
      </c>
      <c r="H68">
        <v>241.80100300000001</v>
      </c>
      <c r="I68">
        <v>121.977079</v>
      </c>
      <c r="J68">
        <v>29.813473999999999</v>
      </c>
      <c r="K68">
        <v>3.3545539999999998</v>
      </c>
      <c r="L68" t="s">
        <v>35</v>
      </c>
      <c r="M68">
        <v>100.010909</v>
      </c>
      <c r="N68" s="2">
        <v>1.636166</v>
      </c>
      <c r="O68">
        <v>98.374742999999995</v>
      </c>
      <c r="Q68">
        <v>34.665450999999997</v>
      </c>
      <c r="R68">
        <v>0.87517400000000001</v>
      </c>
      <c r="S68">
        <v>14.013832000000001</v>
      </c>
      <c r="T68">
        <v>0.54283199999999998</v>
      </c>
      <c r="U68">
        <v>10.576449999999999</v>
      </c>
      <c r="V68">
        <v>8.4258E-2</v>
      </c>
      <c r="W68">
        <v>5.8696469999999996</v>
      </c>
      <c r="X68">
        <v>12.698245</v>
      </c>
      <c r="Y68">
        <v>10.204395999999999</v>
      </c>
      <c r="Z68">
        <v>0.61586600000000002</v>
      </c>
      <c r="AA68">
        <v>9.8538499999999996</v>
      </c>
      <c r="AB68">
        <v>52.155411000000001</v>
      </c>
      <c r="AC68">
        <v>1.761601</v>
      </c>
      <c r="AD68">
        <v>19.267641000000001</v>
      </c>
      <c r="AE68">
        <v>25.190090000000001</v>
      </c>
      <c r="AF68">
        <f>(W68/40.31)/((W68/40.31)+((U68+T68*0.9)/71.85))</f>
        <v>0.48600082626254931</v>
      </c>
    </row>
    <row r="69" spans="1:32" x14ac:dyDescent="0.25">
      <c r="A69">
        <v>65</v>
      </c>
      <c r="B69" t="s">
        <v>34</v>
      </c>
      <c r="C69">
        <v>1230</v>
      </c>
      <c r="D69">
        <v>15000</v>
      </c>
      <c r="E69">
        <v>-10.872831</v>
      </c>
      <c r="F69">
        <v>-1508763.7313389999</v>
      </c>
      <c r="G69">
        <v>-1145023.35858</v>
      </c>
      <c r="H69">
        <v>241.985412</v>
      </c>
      <c r="I69">
        <v>122.006934</v>
      </c>
      <c r="J69">
        <v>29.820084000000001</v>
      </c>
      <c r="K69">
        <v>3.353812</v>
      </c>
      <c r="L69" t="s">
        <v>35</v>
      </c>
      <c r="M69">
        <v>100.010953</v>
      </c>
      <c r="N69" s="2">
        <v>1.669027</v>
      </c>
      <c r="O69">
        <v>98.341926000000001</v>
      </c>
      <c r="Q69">
        <v>34.859054</v>
      </c>
      <c r="R69">
        <v>0.87834699999999999</v>
      </c>
      <c r="S69">
        <v>14.053754</v>
      </c>
      <c r="T69">
        <v>0.54143799999999997</v>
      </c>
      <c r="U69">
        <v>10.727534</v>
      </c>
      <c r="V69">
        <v>8.4013000000000004E-2</v>
      </c>
      <c r="W69">
        <v>5.9433550000000004</v>
      </c>
      <c r="X69">
        <v>12.504022000000001</v>
      </c>
      <c r="Y69">
        <v>10.144902999999999</v>
      </c>
      <c r="Z69">
        <v>0.60374000000000005</v>
      </c>
      <c r="AA69">
        <v>9.6598410000000001</v>
      </c>
      <c r="AB69">
        <v>52.138759999999998</v>
      </c>
      <c r="AC69">
        <v>1.708515</v>
      </c>
      <c r="AD69">
        <v>18.933067000000001</v>
      </c>
      <c r="AE69">
        <v>25.561584</v>
      </c>
      <c r="AF69">
        <f>(W69/40.31)/((W69/40.31)+((U69+T69*0.9)/71.85))</f>
        <v>0.48575834705048898</v>
      </c>
    </row>
    <row r="70" spans="1:32" x14ac:dyDescent="0.25">
      <c r="A70">
        <v>66</v>
      </c>
      <c r="B70" t="s">
        <v>34</v>
      </c>
      <c r="C70">
        <v>1232</v>
      </c>
      <c r="D70">
        <v>15000</v>
      </c>
      <c r="E70">
        <v>-10.852683000000001</v>
      </c>
      <c r="F70">
        <v>-1509248.7963729999</v>
      </c>
      <c r="G70">
        <v>-1144746.932149</v>
      </c>
      <c r="H70">
        <v>242.169793</v>
      </c>
      <c r="I70">
        <v>122.03715699999999</v>
      </c>
      <c r="J70">
        <v>29.826736</v>
      </c>
      <c r="K70">
        <v>3.353065</v>
      </c>
      <c r="L70" t="s">
        <v>35</v>
      </c>
      <c r="M70">
        <v>100.010997</v>
      </c>
      <c r="N70" s="2">
        <v>1.703076</v>
      </c>
      <c r="O70">
        <v>98.307919999999996</v>
      </c>
      <c r="Q70">
        <v>35.050457000000002</v>
      </c>
      <c r="R70">
        <v>0.88143099999999996</v>
      </c>
      <c r="S70">
        <v>14.092733000000001</v>
      </c>
      <c r="T70">
        <v>0.53999900000000001</v>
      </c>
      <c r="U70">
        <v>10.879909</v>
      </c>
      <c r="V70">
        <v>8.3766999999999994E-2</v>
      </c>
      <c r="W70">
        <v>6.0180340000000001</v>
      </c>
      <c r="X70">
        <v>12.311883999999999</v>
      </c>
      <c r="Y70">
        <v>10.083406999999999</v>
      </c>
      <c r="Z70">
        <v>0.591669</v>
      </c>
      <c r="AA70">
        <v>9.4667110000000001</v>
      </c>
      <c r="AB70">
        <v>52.121791999999999</v>
      </c>
      <c r="AC70">
        <v>1.655046</v>
      </c>
      <c r="AD70">
        <v>18.606995000000001</v>
      </c>
      <c r="AE70">
        <v>25.924088000000001</v>
      </c>
      <c r="AF70">
        <f>(W70/40.31)/((W70/40.31)+((U70+T70*0.9)/71.85))</f>
        <v>0.48553486410618413</v>
      </c>
    </row>
    <row r="71" spans="1:32" x14ac:dyDescent="0.25">
      <c r="A71">
        <v>67</v>
      </c>
      <c r="B71" t="s">
        <v>34</v>
      </c>
      <c r="C71">
        <v>1234</v>
      </c>
      <c r="D71">
        <v>15000</v>
      </c>
      <c r="E71">
        <v>-10.832589</v>
      </c>
      <c r="F71">
        <v>-1509734.2342350001</v>
      </c>
      <c r="G71">
        <v>-1144470.133537</v>
      </c>
      <c r="H71">
        <v>242.35417899999999</v>
      </c>
      <c r="I71">
        <v>122.067759</v>
      </c>
      <c r="J71">
        <v>29.833434</v>
      </c>
      <c r="K71">
        <v>3.3523139999999998</v>
      </c>
      <c r="L71" t="s">
        <v>35</v>
      </c>
      <c r="M71">
        <v>100.01104100000001</v>
      </c>
      <c r="N71" s="2">
        <v>1.7383550000000001</v>
      </c>
      <c r="O71">
        <v>98.272685999999993</v>
      </c>
      <c r="Q71">
        <v>35.239457999999999</v>
      </c>
      <c r="R71">
        <v>0.88442200000000004</v>
      </c>
      <c r="S71">
        <v>14.130715</v>
      </c>
      <c r="T71">
        <v>0.53851700000000002</v>
      </c>
      <c r="U71">
        <v>11.033543999999999</v>
      </c>
      <c r="V71">
        <v>8.3518999999999996E-2</v>
      </c>
      <c r="W71">
        <v>6.0937000000000001</v>
      </c>
      <c r="X71">
        <v>12.122007</v>
      </c>
      <c r="Y71">
        <v>10.019863000000001</v>
      </c>
      <c r="Z71">
        <v>0.57966200000000001</v>
      </c>
      <c r="AA71">
        <v>9.2745929999999994</v>
      </c>
      <c r="AB71">
        <v>52.104492</v>
      </c>
      <c r="AC71">
        <v>1.6011569999999999</v>
      </c>
      <c r="AD71">
        <v>18.288602999999998</v>
      </c>
      <c r="AE71">
        <v>26.278433</v>
      </c>
      <c r="AF71">
        <f>(W71/40.31)/((W71/40.31)+((U71+T71*0.9)/71.85))</f>
        <v>0.4853310321527029</v>
      </c>
    </row>
    <row r="72" spans="1:32" x14ac:dyDescent="0.25">
      <c r="A72">
        <v>68</v>
      </c>
      <c r="B72" t="s">
        <v>34</v>
      </c>
      <c r="C72">
        <v>1236</v>
      </c>
      <c r="D72">
        <v>15000</v>
      </c>
      <c r="E72">
        <v>-10.812548</v>
      </c>
      <c r="F72">
        <v>-1510220.0452320001</v>
      </c>
      <c r="G72">
        <v>-1144192.9150759999</v>
      </c>
      <c r="H72">
        <v>242.538601</v>
      </c>
      <c r="I72">
        <v>122.098755</v>
      </c>
      <c r="J72">
        <v>29.840181999999999</v>
      </c>
      <c r="K72">
        <v>3.3515570000000001</v>
      </c>
      <c r="L72" t="s">
        <v>35</v>
      </c>
      <c r="M72">
        <v>100.01108499999999</v>
      </c>
      <c r="N72" s="2">
        <v>1.774905</v>
      </c>
      <c r="O72">
        <v>98.236180000000004</v>
      </c>
      <c r="Q72">
        <v>35.425877</v>
      </c>
      <c r="R72">
        <v>0.88731499999999996</v>
      </c>
      <c r="S72">
        <v>14.167652</v>
      </c>
      <c r="T72">
        <v>0.53699300000000005</v>
      </c>
      <c r="U72">
        <v>11.188414</v>
      </c>
      <c r="V72">
        <v>8.3270999999999998E-2</v>
      </c>
      <c r="W72">
        <v>6.1703710000000003</v>
      </c>
      <c r="X72">
        <v>11.934545</v>
      </c>
      <c r="Y72">
        <v>9.9542339999999996</v>
      </c>
      <c r="Z72">
        <v>0.56772500000000004</v>
      </c>
      <c r="AA72">
        <v>9.0836030000000001</v>
      </c>
      <c r="AB72">
        <v>52.086844999999997</v>
      </c>
      <c r="AC72">
        <v>1.5468109999999999</v>
      </c>
      <c r="AD72">
        <v>17.977202999999999</v>
      </c>
      <c r="AE72">
        <v>26.625319999999999</v>
      </c>
      <c r="AF72">
        <f>(W72/40.31)/((W72/40.31)+((U72+T72*0.9)/71.85))</f>
        <v>0.48514742920189258</v>
      </c>
    </row>
    <row r="73" spans="1:32" x14ac:dyDescent="0.25">
      <c r="A73">
        <v>69</v>
      </c>
      <c r="B73" t="s">
        <v>34</v>
      </c>
      <c r="C73">
        <v>1238</v>
      </c>
      <c r="D73">
        <v>15000</v>
      </c>
      <c r="E73">
        <v>-10.79256</v>
      </c>
      <c r="F73">
        <v>-1510706.229733</v>
      </c>
      <c r="G73">
        <v>-1143915.231379</v>
      </c>
      <c r="H73">
        <v>242.72309100000001</v>
      </c>
      <c r="I73">
        <v>122.13016</v>
      </c>
      <c r="J73">
        <v>29.846982000000001</v>
      </c>
      <c r="K73">
        <v>3.3507950000000002</v>
      </c>
      <c r="L73" t="s">
        <v>35</v>
      </c>
      <c r="M73">
        <v>100.01112999999999</v>
      </c>
      <c r="N73" s="2">
        <v>1.8127740000000001</v>
      </c>
      <c r="O73">
        <v>98.198355000000006</v>
      </c>
      <c r="Q73">
        <v>35.609551000000003</v>
      </c>
      <c r="R73">
        <v>0.89010599999999995</v>
      </c>
      <c r="S73">
        <v>14.203500999999999</v>
      </c>
      <c r="T73">
        <v>0.53543099999999999</v>
      </c>
      <c r="U73">
        <v>11.344495</v>
      </c>
      <c r="V73">
        <v>8.3021999999999999E-2</v>
      </c>
      <c r="W73">
        <v>6.248062</v>
      </c>
      <c r="X73">
        <v>11.749636000000001</v>
      </c>
      <c r="Y73">
        <v>9.8864859999999997</v>
      </c>
      <c r="Z73">
        <v>0.55586500000000005</v>
      </c>
      <c r="AA73">
        <v>8.8938439999999996</v>
      </c>
      <c r="AB73">
        <v>52.068832</v>
      </c>
      <c r="AC73">
        <v>1.491973</v>
      </c>
      <c r="AD73">
        <v>17.672219999999999</v>
      </c>
      <c r="AE73">
        <v>26.965330000000002</v>
      </c>
      <c r="AF73">
        <f>(W73/40.31)/((W73/40.31)+((U73+T73*0.9)/71.85))</f>
        <v>0.48498439060068738</v>
      </c>
    </row>
    <row r="74" spans="1:32" x14ac:dyDescent="0.25">
      <c r="A74">
        <v>70</v>
      </c>
      <c r="B74" t="s">
        <v>34</v>
      </c>
      <c r="C74">
        <v>1240</v>
      </c>
      <c r="D74">
        <v>15000</v>
      </c>
      <c r="E74">
        <v>-10.772624</v>
      </c>
      <c r="F74">
        <v>-1511192.7881750001</v>
      </c>
      <c r="G74">
        <v>-1143637.0386039999</v>
      </c>
      <c r="H74">
        <v>242.90767600000001</v>
      </c>
      <c r="I74">
        <v>122.16199</v>
      </c>
      <c r="J74">
        <v>29.853840000000002</v>
      </c>
      <c r="K74">
        <v>3.3500269999999999</v>
      </c>
      <c r="L74" t="s">
        <v>35</v>
      </c>
      <c r="M74">
        <v>100.011174</v>
      </c>
      <c r="N74" s="2">
        <v>1.852014</v>
      </c>
      <c r="O74">
        <v>98.159160999999997</v>
      </c>
      <c r="Q74">
        <v>35.790334000000001</v>
      </c>
      <c r="R74">
        <v>0.89278900000000005</v>
      </c>
      <c r="S74">
        <v>14.238220999999999</v>
      </c>
      <c r="T74">
        <v>0.533833</v>
      </c>
      <c r="U74">
        <v>11.501771</v>
      </c>
      <c r="V74">
        <v>8.2771999999999998E-2</v>
      </c>
      <c r="W74">
        <v>6.3267910000000001</v>
      </c>
      <c r="X74">
        <v>11.567403000000001</v>
      </c>
      <c r="Y74">
        <v>9.8165929999999992</v>
      </c>
      <c r="Z74">
        <v>0.54408800000000002</v>
      </c>
      <c r="AA74">
        <v>8.7054050000000007</v>
      </c>
      <c r="AB74">
        <v>52.050438</v>
      </c>
      <c r="AC74">
        <v>1.4366099999999999</v>
      </c>
      <c r="AD74">
        <v>17.373165</v>
      </c>
      <c r="AE74">
        <v>27.298947999999999</v>
      </c>
      <c r="AF74">
        <f>(W74/40.31)/((W74/40.31)+((U74+T74*0.9)/71.85))</f>
        <v>0.48484220837239606</v>
      </c>
    </row>
    <row r="75" spans="1:32" x14ac:dyDescent="0.25">
      <c r="A75">
        <v>71</v>
      </c>
      <c r="B75" t="s">
        <v>34</v>
      </c>
      <c r="C75">
        <v>1242</v>
      </c>
      <c r="D75">
        <v>15000</v>
      </c>
      <c r="E75">
        <v>-10.752742</v>
      </c>
      <c r="F75">
        <v>-1511679.7210599999</v>
      </c>
      <c r="G75">
        <v>-1143358.293843</v>
      </c>
      <c r="H75">
        <v>243.09238500000001</v>
      </c>
      <c r="I75">
        <v>122.194265</v>
      </c>
      <c r="J75">
        <v>29.860757</v>
      </c>
      <c r="K75">
        <v>3.349253</v>
      </c>
      <c r="L75" t="s">
        <v>35</v>
      </c>
      <c r="M75">
        <v>100.011219</v>
      </c>
      <c r="N75" s="2">
        <v>1.892679</v>
      </c>
      <c r="O75">
        <v>98.118539999999996</v>
      </c>
      <c r="Q75">
        <v>35.968091999999999</v>
      </c>
      <c r="R75">
        <v>0.89536099999999996</v>
      </c>
      <c r="S75">
        <v>14.271775999999999</v>
      </c>
      <c r="T75">
        <v>0.53220000000000001</v>
      </c>
      <c r="U75">
        <v>11.660226</v>
      </c>
      <c r="V75">
        <v>8.2521999999999998E-2</v>
      </c>
      <c r="W75">
        <v>6.4065719999999997</v>
      </c>
      <c r="X75">
        <v>11.387957999999999</v>
      </c>
      <c r="Y75">
        <v>9.7445310000000003</v>
      </c>
      <c r="Z75">
        <v>0.53239800000000004</v>
      </c>
      <c r="AA75">
        <v>8.5183649999999993</v>
      </c>
      <c r="AB75">
        <v>52.031635000000001</v>
      </c>
      <c r="AC75">
        <v>1.3806860000000001</v>
      </c>
      <c r="AD75">
        <v>17.079632</v>
      </c>
      <c r="AE75">
        <v>27.626584999999999</v>
      </c>
      <c r="AF75">
        <f>(W75/40.31)/((W75/40.31)+((U75+T75*0.9)/71.85))</f>
        <v>0.48472100696375436</v>
      </c>
    </row>
    <row r="76" spans="1:32" x14ac:dyDescent="0.25">
      <c r="A76">
        <v>72</v>
      </c>
      <c r="B76" t="s">
        <v>34</v>
      </c>
      <c r="C76">
        <v>1244</v>
      </c>
      <c r="D76">
        <v>15000</v>
      </c>
      <c r="E76">
        <v>-10.732911</v>
      </c>
      <c r="F76">
        <v>-1512167.028957</v>
      </c>
      <c r="G76">
        <v>-1143078.95462</v>
      </c>
      <c r="H76">
        <v>243.27724599999999</v>
      </c>
      <c r="I76">
        <v>122.22700500000001</v>
      </c>
      <c r="J76">
        <v>29.867737999999999</v>
      </c>
      <c r="K76">
        <v>3.348471</v>
      </c>
      <c r="L76" t="s">
        <v>35</v>
      </c>
      <c r="M76">
        <v>100.01126499999999</v>
      </c>
      <c r="N76" s="2">
        <v>1.9348289999999999</v>
      </c>
      <c r="O76">
        <v>98.076435000000004</v>
      </c>
      <c r="Q76">
        <v>36.142704000000002</v>
      </c>
      <c r="R76">
        <v>0.89781699999999998</v>
      </c>
      <c r="S76">
        <v>14.304133</v>
      </c>
      <c r="T76">
        <v>0.53053499999999998</v>
      </c>
      <c r="U76">
        <v>11.819844</v>
      </c>
      <c r="V76">
        <v>8.2271999999999998E-2</v>
      </c>
      <c r="W76">
        <v>6.4874219999999996</v>
      </c>
      <c r="X76">
        <v>11.211402</v>
      </c>
      <c r="Y76">
        <v>9.67028</v>
      </c>
      <c r="Z76">
        <v>0.52080000000000004</v>
      </c>
      <c r="AA76">
        <v>8.3327930000000006</v>
      </c>
      <c r="AB76">
        <v>52.012413000000002</v>
      </c>
      <c r="AC76">
        <v>1.324168</v>
      </c>
      <c r="AD76">
        <v>16.791274999999999</v>
      </c>
      <c r="AE76">
        <v>27.948578000000001</v>
      </c>
      <c r="AF76">
        <f>(W76/40.31)/((W76/40.31)+((U76+T76*0.9)/71.85))</f>
        <v>0.48462096782218211</v>
      </c>
    </row>
    <row r="77" spans="1:32" x14ac:dyDescent="0.25">
      <c r="A77">
        <v>73</v>
      </c>
      <c r="B77" t="s">
        <v>34</v>
      </c>
      <c r="C77">
        <v>1246</v>
      </c>
      <c r="D77">
        <v>15000</v>
      </c>
      <c r="E77">
        <v>-10.713132999999999</v>
      </c>
      <c r="F77">
        <v>-1512654.7125019999</v>
      </c>
      <c r="G77">
        <v>-1142798.9784560001</v>
      </c>
      <c r="H77">
        <v>243.462287</v>
      </c>
      <c r="I77">
        <v>122.26023000000001</v>
      </c>
      <c r="J77">
        <v>29.874784999999999</v>
      </c>
      <c r="K77">
        <v>3.347683</v>
      </c>
      <c r="L77" t="s">
        <v>35</v>
      </c>
      <c r="M77">
        <v>100.01130999999999</v>
      </c>
      <c r="N77" s="2">
        <v>1.9785280000000001</v>
      </c>
      <c r="O77">
        <v>98.032781999999997</v>
      </c>
      <c r="Q77">
        <v>36.314059999999998</v>
      </c>
      <c r="R77">
        <v>0.90015100000000003</v>
      </c>
      <c r="S77">
        <v>14.33526</v>
      </c>
      <c r="T77">
        <v>0.52883999999999998</v>
      </c>
      <c r="U77">
        <v>11.980613</v>
      </c>
      <c r="V77">
        <v>8.2021999999999998E-2</v>
      </c>
      <c r="W77">
        <v>6.5693539999999997</v>
      </c>
      <c r="X77">
        <v>11.037827</v>
      </c>
      <c r="Y77">
        <v>9.5938239999999997</v>
      </c>
      <c r="Z77">
        <v>0.509297</v>
      </c>
      <c r="AA77">
        <v>8.148752</v>
      </c>
      <c r="AB77">
        <v>51.992744000000002</v>
      </c>
      <c r="AC77">
        <v>1.2670220000000001</v>
      </c>
      <c r="AD77">
        <v>16.507809000000002</v>
      </c>
      <c r="AE77">
        <v>28.265208999999999</v>
      </c>
      <c r="AF77">
        <f>(W77/40.31)/((W77/40.31)+((U77+T77*0.9)/71.85))</f>
        <v>0.48454203347079039</v>
      </c>
    </row>
    <row r="78" spans="1:32" x14ac:dyDescent="0.25">
      <c r="A78">
        <v>74</v>
      </c>
      <c r="B78" t="s">
        <v>34</v>
      </c>
      <c r="C78">
        <v>1248</v>
      </c>
      <c r="D78">
        <v>15000</v>
      </c>
      <c r="E78">
        <v>-10.693407000000001</v>
      </c>
      <c r="F78">
        <v>-1513142.7723999999</v>
      </c>
      <c r="G78">
        <v>-1142518.3224820001</v>
      </c>
      <c r="H78">
        <v>243.647536</v>
      </c>
      <c r="I78">
        <v>122.293964</v>
      </c>
      <c r="J78">
        <v>29.881903999999999</v>
      </c>
      <c r="K78">
        <v>3.3468870000000002</v>
      </c>
      <c r="L78" t="s">
        <v>35</v>
      </c>
      <c r="M78">
        <v>100.01135600000001</v>
      </c>
      <c r="N78" s="2">
        <v>2.0238429999999998</v>
      </c>
      <c r="O78">
        <v>97.987513000000007</v>
      </c>
      <c r="Q78">
        <v>36.482056999999998</v>
      </c>
      <c r="R78">
        <v>0.90236000000000005</v>
      </c>
      <c r="S78">
        <v>14.365128</v>
      </c>
      <c r="T78">
        <v>0.52711699999999995</v>
      </c>
      <c r="U78">
        <v>12.142522</v>
      </c>
      <c r="V78">
        <v>8.1770999999999996E-2</v>
      </c>
      <c r="W78">
        <v>6.6523839999999996</v>
      </c>
      <c r="X78">
        <v>10.867317999999999</v>
      </c>
      <c r="Y78">
        <v>9.5151520000000005</v>
      </c>
      <c r="Z78">
        <v>0.497894</v>
      </c>
      <c r="AA78">
        <v>7.966297</v>
      </c>
      <c r="AB78">
        <v>51.972602999999999</v>
      </c>
      <c r="AC78">
        <v>1.209211</v>
      </c>
      <c r="AD78">
        <v>16.228994</v>
      </c>
      <c r="AE78">
        <v>28.576702000000001</v>
      </c>
      <c r="AF78">
        <f>(W78/40.31)/((W78/40.31)+((U78+T78*0.9)/71.85))</f>
        <v>0.48448422651939244</v>
      </c>
    </row>
    <row r="79" spans="1:32" x14ac:dyDescent="0.25">
      <c r="A79">
        <v>75</v>
      </c>
      <c r="B79" t="s">
        <v>34</v>
      </c>
      <c r="C79">
        <v>1250</v>
      </c>
      <c r="D79">
        <v>15000</v>
      </c>
      <c r="E79">
        <v>-10.673733</v>
      </c>
      <c r="F79">
        <v>-1513631.209427</v>
      </c>
      <c r="G79">
        <v>-1142236.9431</v>
      </c>
      <c r="H79">
        <v>243.833021</v>
      </c>
      <c r="I79">
        <v>122.328233</v>
      </c>
      <c r="J79">
        <v>29.889095999999999</v>
      </c>
      <c r="K79">
        <v>3.3460830000000001</v>
      </c>
      <c r="L79" t="s">
        <v>35</v>
      </c>
      <c r="M79">
        <v>100.011402</v>
      </c>
      <c r="N79" s="2">
        <v>2.0708470000000001</v>
      </c>
      <c r="O79">
        <v>97.940555000000003</v>
      </c>
      <c r="Q79">
        <v>36.646605000000001</v>
      </c>
      <c r="R79">
        <v>0.90443899999999999</v>
      </c>
      <c r="S79">
        <v>14.39371</v>
      </c>
      <c r="T79">
        <v>0.52536899999999997</v>
      </c>
      <c r="U79">
        <v>12.305558</v>
      </c>
      <c r="V79">
        <v>8.1520999999999996E-2</v>
      </c>
      <c r="W79">
        <v>6.7365259999999996</v>
      </c>
      <c r="X79">
        <v>10.699951</v>
      </c>
      <c r="Y79">
        <v>9.4342520000000007</v>
      </c>
      <c r="Z79">
        <v>0.48659200000000002</v>
      </c>
      <c r="AA79">
        <v>7.7854770000000002</v>
      </c>
      <c r="AB79">
        <v>51.951973000000002</v>
      </c>
      <c r="AC79">
        <v>1.1507000000000001</v>
      </c>
      <c r="AD79">
        <v>15.954639</v>
      </c>
      <c r="AE79">
        <v>28.883241999999999</v>
      </c>
      <c r="AF79">
        <f>(W79/40.31)/((W79/40.31)+((U79+T79*0.9)/71.85))</f>
        <v>0.48444750030990097</v>
      </c>
    </row>
    <row r="80" spans="1:32" x14ac:dyDescent="0.25">
      <c r="A80">
        <v>76</v>
      </c>
      <c r="B80" t="s">
        <v>34</v>
      </c>
      <c r="C80">
        <v>1252</v>
      </c>
      <c r="D80">
        <v>15000</v>
      </c>
      <c r="E80">
        <v>-10.654109999999999</v>
      </c>
      <c r="F80">
        <v>-1514120.024434</v>
      </c>
      <c r="G80">
        <v>-1141954.7956610001</v>
      </c>
      <c r="H80">
        <v>244.01877099999999</v>
      </c>
      <c r="I80">
        <v>122.363063</v>
      </c>
      <c r="J80">
        <v>29.896364999999999</v>
      </c>
      <c r="K80">
        <v>3.3452709999999999</v>
      </c>
      <c r="L80" t="s">
        <v>35</v>
      </c>
      <c r="M80">
        <v>100.011448</v>
      </c>
      <c r="N80" s="2">
        <v>2.1196190000000001</v>
      </c>
      <c r="O80">
        <v>97.891829999999999</v>
      </c>
      <c r="Q80">
        <v>36.807619000000003</v>
      </c>
      <c r="R80">
        <v>0.90638200000000002</v>
      </c>
      <c r="S80">
        <v>14.420982</v>
      </c>
      <c r="T80">
        <v>0.52359599999999995</v>
      </c>
      <c r="U80">
        <v>12.469709999999999</v>
      </c>
      <c r="V80">
        <v>8.1269999999999995E-2</v>
      </c>
      <c r="W80">
        <v>6.8217939999999997</v>
      </c>
      <c r="X80">
        <v>10.535798</v>
      </c>
      <c r="Y80">
        <v>9.3511190000000006</v>
      </c>
      <c r="Z80">
        <v>0.47539599999999999</v>
      </c>
      <c r="AA80">
        <v>7.6063359999999998</v>
      </c>
      <c r="AB80">
        <v>51.930819999999997</v>
      </c>
      <c r="AC80">
        <v>1.0914520000000001</v>
      </c>
      <c r="AD80">
        <v>15.68459</v>
      </c>
      <c r="AE80">
        <v>29.184967</v>
      </c>
      <c r="AF80">
        <f>(W80/40.31)/((W80/40.31)+((U80+T80*0.9)/71.85))</f>
        <v>0.48443180855506413</v>
      </c>
    </row>
    <row r="81" spans="1:32" x14ac:dyDescent="0.25">
      <c r="A81">
        <v>77</v>
      </c>
      <c r="B81" t="s">
        <v>34</v>
      </c>
      <c r="C81">
        <v>1254</v>
      </c>
      <c r="D81">
        <v>15000</v>
      </c>
      <c r="E81">
        <v>-10.634539</v>
      </c>
      <c r="F81">
        <v>-1514609.2183449999</v>
      </c>
      <c r="G81">
        <v>-1141671.8341679999</v>
      </c>
      <c r="H81">
        <v>244.20481599999999</v>
      </c>
      <c r="I81">
        <v>122.398483</v>
      </c>
      <c r="J81">
        <v>29.903717</v>
      </c>
      <c r="K81">
        <v>3.3444500000000001</v>
      </c>
      <c r="L81" t="s">
        <v>35</v>
      </c>
      <c r="M81">
        <v>100.011495</v>
      </c>
      <c r="N81" s="2">
        <v>2.1702409999999999</v>
      </c>
      <c r="O81">
        <v>97.841254000000006</v>
      </c>
      <c r="Q81">
        <v>36.965020000000003</v>
      </c>
      <c r="R81">
        <v>0.90818399999999999</v>
      </c>
      <c r="S81">
        <v>14.446918999999999</v>
      </c>
      <c r="T81">
        <v>0.52180099999999996</v>
      </c>
      <c r="U81">
        <v>12.634967</v>
      </c>
      <c r="V81">
        <v>8.1018999999999994E-2</v>
      </c>
      <c r="W81">
        <v>6.9081989999999998</v>
      </c>
      <c r="X81">
        <v>10.374924</v>
      </c>
      <c r="Y81">
        <v>9.2657480000000003</v>
      </c>
      <c r="Z81">
        <v>0.46430700000000003</v>
      </c>
      <c r="AA81">
        <v>7.4289129999999997</v>
      </c>
      <c r="AB81">
        <v>51.909122000000004</v>
      </c>
      <c r="AC81">
        <v>1.031426</v>
      </c>
      <c r="AD81">
        <v>15.418728</v>
      </c>
      <c r="AE81">
        <v>29.481977000000001</v>
      </c>
      <c r="AF81">
        <f>(W81/40.31)/((W81/40.31)+((U81+T81*0.9)/71.85))</f>
        <v>0.48443693199002535</v>
      </c>
    </row>
    <row r="82" spans="1:32" x14ac:dyDescent="0.25">
      <c r="A82">
        <v>78</v>
      </c>
      <c r="B82" t="s">
        <v>34</v>
      </c>
      <c r="C82">
        <v>1256</v>
      </c>
      <c r="D82">
        <v>15000</v>
      </c>
      <c r="E82">
        <v>-10.615019</v>
      </c>
      <c r="F82">
        <v>-1515098.792166</v>
      </c>
      <c r="G82">
        <v>-1141388.010983</v>
      </c>
      <c r="H82">
        <v>244.39118500000001</v>
      </c>
      <c r="I82">
        <v>122.434524</v>
      </c>
      <c r="J82">
        <v>29.911152999999999</v>
      </c>
      <c r="K82">
        <v>3.34362</v>
      </c>
      <c r="L82" t="s">
        <v>35</v>
      </c>
      <c r="M82">
        <v>100.01154200000001</v>
      </c>
      <c r="N82" s="2">
        <v>2.2228029999999999</v>
      </c>
      <c r="O82">
        <v>97.788739000000007</v>
      </c>
      <c r="Q82">
        <v>37.118741</v>
      </c>
      <c r="R82">
        <v>0.90984100000000001</v>
      </c>
      <c r="S82">
        <v>14.471501</v>
      </c>
      <c r="T82">
        <v>0.51998500000000003</v>
      </c>
      <c r="U82">
        <v>12.801315000000001</v>
      </c>
      <c r="V82">
        <v>8.0768000000000006E-2</v>
      </c>
      <c r="W82">
        <v>6.9957529999999997</v>
      </c>
      <c r="X82">
        <v>10.217389000000001</v>
      </c>
      <c r="Y82">
        <v>9.1781380000000006</v>
      </c>
      <c r="Z82">
        <v>0.45332800000000001</v>
      </c>
      <c r="AA82">
        <v>7.2532420000000002</v>
      </c>
      <c r="AB82">
        <v>51.886845000000001</v>
      </c>
      <c r="AC82">
        <v>0.970584</v>
      </c>
      <c r="AD82">
        <v>15.156971</v>
      </c>
      <c r="AE82">
        <v>29.774338</v>
      </c>
      <c r="AF82">
        <f>(W82/40.31)/((W82/40.31)+((U82+T82*0.9)/71.85))</f>
        <v>0.48446277307956731</v>
      </c>
    </row>
    <row r="83" spans="1:32" x14ac:dyDescent="0.25">
      <c r="A83">
        <v>79</v>
      </c>
      <c r="B83" t="s">
        <v>34</v>
      </c>
      <c r="C83">
        <v>1258</v>
      </c>
      <c r="D83">
        <v>15000</v>
      </c>
      <c r="E83">
        <v>-10.595549999999999</v>
      </c>
      <c r="F83">
        <v>-1515588.7469850001</v>
      </c>
      <c r="G83">
        <v>-1141103.276545</v>
      </c>
      <c r="H83">
        <v>244.577912</v>
      </c>
      <c r="I83">
        <v>122.471219</v>
      </c>
      <c r="J83">
        <v>29.918679000000001</v>
      </c>
      <c r="K83">
        <v>3.342781</v>
      </c>
      <c r="L83" t="s">
        <v>35</v>
      </c>
      <c r="M83">
        <v>100.011589</v>
      </c>
      <c r="N83" s="2">
        <v>2.2774009999999998</v>
      </c>
      <c r="O83">
        <v>97.734188000000003</v>
      </c>
      <c r="Q83">
        <v>37.268715999999998</v>
      </c>
      <c r="R83">
        <v>0.91134499999999996</v>
      </c>
      <c r="S83">
        <v>14.494707</v>
      </c>
      <c r="T83">
        <v>0.51815100000000003</v>
      </c>
      <c r="U83">
        <v>12.968742000000001</v>
      </c>
      <c r="V83">
        <v>8.0518000000000006E-2</v>
      </c>
      <c r="W83">
        <v>7.0844680000000002</v>
      </c>
      <c r="X83">
        <v>10.063249000000001</v>
      </c>
      <c r="Y83">
        <v>9.0882900000000006</v>
      </c>
      <c r="Z83">
        <v>0.44246000000000002</v>
      </c>
      <c r="AA83">
        <v>7.0793549999999996</v>
      </c>
      <c r="AB83">
        <v>51.863959999999999</v>
      </c>
      <c r="AC83">
        <v>0.908883</v>
      </c>
      <c r="AD83">
        <v>14.899267</v>
      </c>
      <c r="AE83">
        <v>30.062078</v>
      </c>
      <c r="AF83">
        <f>(W83/40.31)/((W83/40.31)+((U83+T83*0.9)/71.85))</f>
        <v>0.48450915352328122</v>
      </c>
    </row>
    <row r="84" spans="1:32" x14ac:dyDescent="0.25">
      <c r="A84">
        <v>80</v>
      </c>
      <c r="B84" t="s">
        <v>34</v>
      </c>
      <c r="C84">
        <v>1260</v>
      </c>
      <c r="D84">
        <v>15000</v>
      </c>
      <c r="E84">
        <v>-10.576131999999999</v>
      </c>
      <c r="F84">
        <v>-1516079.0839770001</v>
      </c>
      <c r="G84">
        <v>-1140817.5790860001</v>
      </c>
      <c r="H84">
        <v>244.765029</v>
      </c>
      <c r="I84">
        <v>122.50860400000001</v>
      </c>
      <c r="J84">
        <v>29.926299</v>
      </c>
      <c r="K84">
        <v>3.3419310000000002</v>
      </c>
      <c r="L84" t="s">
        <v>35</v>
      </c>
      <c r="M84">
        <v>100.01163699999999</v>
      </c>
      <c r="N84" s="2">
        <v>2.334136</v>
      </c>
      <c r="O84">
        <v>97.677501000000007</v>
      </c>
      <c r="Q84">
        <v>37.414887999999998</v>
      </c>
      <c r="R84">
        <v>0.91269199999999995</v>
      </c>
      <c r="S84">
        <v>14.516519000000001</v>
      </c>
      <c r="T84">
        <v>0.51629899999999995</v>
      </c>
      <c r="U84">
        <v>13.137231999999999</v>
      </c>
      <c r="V84">
        <v>8.0267000000000005E-2</v>
      </c>
      <c r="W84">
        <v>7.174353</v>
      </c>
      <c r="X84">
        <v>9.9125560000000004</v>
      </c>
      <c r="Y84">
        <v>8.9962090000000003</v>
      </c>
      <c r="Z84">
        <v>0.43170500000000001</v>
      </c>
      <c r="AA84">
        <v>6.9072800000000001</v>
      </c>
      <c r="AB84">
        <v>51.840431000000002</v>
      </c>
      <c r="AC84">
        <v>0.846279</v>
      </c>
      <c r="AD84">
        <v>14.645595</v>
      </c>
      <c r="AE84">
        <v>30.345196000000001</v>
      </c>
      <c r="AF84">
        <f>(W84/40.31)/((W84/40.31)+((U84+T84*0.9)/71.85))</f>
        <v>0.48457590762704833</v>
      </c>
    </row>
    <row r="85" spans="1:32" x14ac:dyDescent="0.25">
      <c r="A85">
        <v>81</v>
      </c>
      <c r="B85" t="s">
        <v>34</v>
      </c>
      <c r="C85">
        <v>1262</v>
      </c>
      <c r="D85">
        <v>15000</v>
      </c>
      <c r="E85">
        <v>-10.556763999999999</v>
      </c>
      <c r="F85">
        <v>-1516569.8044090001</v>
      </c>
      <c r="G85">
        <v>-1140530.8643400001</v>
      </c>
      <c r="H85">
        <v>244.95257100000001</v>
      </c>
      <c r="I85">
        <v>122.546717</v>
      </c>
      <c r="J85">
        <v>29.934017000000001</v>
      </c>
      <c r="K85">
        <v>3.3410709999999999</v>
      </c>
      <c r="L85" t="s">
        <v>35</v>
      </c>
      <c r="M85">
        <v>100.011685</v>
      </c>
      <c r="N85" s="2">
        <v>2.3931179999999999</v>
      </c>
      <c r="O85">
        <v>97.618566999999999</v>
      </c>
      <c r="Q85">
        <v>37.557206999999998</v>
      </c>
      <c r="R85">
        <v>0.91387399999999996</v>
      </c>
      <c r="S85">
        <v>14.53692</v>
      </c>
      <c r="T85">
        <v>0.514432</v>
      </c>
      <c r="U85">
        <v>13.306768999999999</v>
      </c>
      <c r="V85">
        <v>8.0016000000000004E-2</v>
      </c>
      <c r="W85">
        <v>7.2654170000000002</v>
      </c>
      <c r="X85">
        <v>9.7653590000000001</v>
      </c>
      <c r="Y85">
        <v>8.9018999999999995</v>
      </c>
      <c r="Z85">
        <v>0.42106500000000002</v>
      </c>
      <c r="AA85">
        <v>6.7370400000000004</v>
      </c>
      <c r="AB85">
        <v>51.816223000000001</v>
      </c>
      <c r="AC85">
        <v>0.782725</v>
      </c>
      <c r="AD85">
        <v>14.395963</v>
      </c>
      <c r="AE85">
        <v>30.623657000000001</v>
      </c>
      <c r="AF85">
        <f>(W85/40.31)/((W85/40.31)+((U85+T85*0.9)/71.85))</f>
        <v>0.48466281446537118</v>
      </c>
    </row>
    <row r="86" spans="1:32" x14ac:dyDescent="0.25">
      <c r="A86">
        <v>82</v>
      </c>
      <c r="B86" t="s">
        <v>34</v>
      </c>
      <c r="C86">
        <v>1264</v>
      </c>
      <c r="D86">
        <v>15000</v>
      </c>
      <c r="E86">
        <v>-10.537447</v>
      </c>
      <c r="F86">
        <v>-1517060.909646</v>
      </c>
      <c r="G86">
        <v>-1140243.07525</v>
      </c>
      <c r="H86">
        <v>245.14057500000001</v>
      </c>
      <c r="I86">
        <v>122.585598</v>
      </c>
      <c r="J86">
        <v>29.941838000000001</v>
      </c>
      <c r="K86">
        <v>3.3401999999999998</v>
      </c>
      <c r="L86" t="s">
        <v>35</v>
      </c>
      <c r="M86">
        <v>100.011734</v>
      </c>
      <c r="N86" s="2">
        <v>2.4544630000000001</v>
      </c>
      <c r="O86">
        <v>97.557270000000003</v>
      </c>
      <c r="Q86">
        <v>37.695625999999997</v>
      </c>
      <c r="R86">
        <v>0.91488599999999998</v>
      </c>
      <c r="S86">
        <v>14.555895</v>
      </c>
      <c r="T86">
        <v>0.51255099999999998</v>
      </c>
      <c r="U86">
        <v>13.477333</v>
      </c>
      <c r="V86">
        <v>7.9765000000000003E-2</v>
      </c>
      <c r="W86">
        <v>7.3576670000000002</v>
      </c>
      <c r="X86">
        <v>9.6217020000000009</v>
      </c>
      <c r="Y86">
        <v>8.8053749999999997</v>
      </c>
      <c r="Z86">
        <v>0.41054099999999999</v>
      </c>
      <c r="AA86">
        <v>6.5686580000000001</v>
      </c>
      <c r="AB86">
        <v>51.791294000000001</v>
      </c>
      <c r="AC86">
        <v>0.71817200000000003</v>
      </c>
      <c r="AD86">
        <v>14.150407</v>
      </c>
      <c r="AE86">
        <v>30.897396000000001</v>
      </c>
      <c r="AF86">
        <f>(W86/40.31)/((W86/40.31)+((U86+T86*0.9)/71.85))</f>
        <v>0.48476968584119295</v>
      </c>
    </row>
    <row r="87" spans="1:32" x14ac:dyDescent="0.25">
      <c r="A87">
        <v>83</v>
      </c>
      <c r="B87" t="s">
        <v>34</v>
      </c>
      <c r="C87">
        <v>1266</v>
      </c>
      <c r="D87">
        <v>15000</v>
      </c>
      <c r="E87">
        <v>-10.518179999999999</v>
      </c>
      <c r="F87">
        <v>-1517552.4011550001</v>
      </c>
      <c r="G87">
        <v>-1139954.151661</v>
      </c>
      <c r="H87">
        <v>245.32907700000001</v>
      </c>
      <c r="I87">
        <v>122.625292</v>
      </c>
      <c r="J87">
        <v>29.949767000000001</v>
      </c>
      <c r="K87">
        <v>3.339318</v>
      </c>
      <c r="L87" t="s">
        <v>35</v>
      </c>
      <c r="M87">
        <v>100.01178299999999</v>
      </c>
      <c r="N87" s="2">
        <v>2.5182980000000001</v>
      </c>
      <c r="O87">
        <v>97.493485000000007</v>
      </c>
      <c r="Q87">
        <v>37.830105000000003</v>
      </c>
      <c r="R87">
        <v>0.91572100000000001</v>
      </c>
      <c r="S87">
        <v>14.573429000000001</v>
      </c>
      <c r="T87">
        <v>0.51065799999999995</v>
      </c>
      <c r="U87">
        <v>13.648904999999999</v>
      </c>
      <c r="V87">
        <v>7.9513E-2</v>
      </c>
      <c r="W87">
        <v>7.4511089999999998</v>
      </c>
      <c r="X87">
        <v>9.4816269999999996</v>
      </c>
      <c r="Y87">
        <v>8.7066429999999997</v>
      </c>
      <c r="Z87">
        <v>0.40013500000000002</v>
      </c>
      <c r="AA87">
        <v>6.4021549999999996</v>
      </c>
      <c r="AB87">
        <v>51.765610000000002</v>
      </c>
      <c r="AC87">
        <v>0.65256800000000004</v>
      </c>
      <c r="AD87">
        <v>13.908994</v>
      </c>
      <c r="AE87">
        <v>31.166315000000001</v>
      </c>
      <c r="AF87">
        <f>(W87/40.31)/((W87/40.31)+((U87+T87*0.9)/71.85))</f>
        <v>0.48489626192852747</v>
      </c>
    </row>
    <row r="88" spans="1:32" x14ac:dyDescent="0.25">
      <c r="A88">
        <v>84</v>
      </c>
      <c r="B88" t="s">
        <v>34</v>
      </c>
      <c r="C88">
        <v>1268</v>
      </c>
      <c r="D88">
        <v>15000</v>
      </c>
      <c r="E88">
        <v>-10.498963</v>
      </c>
      <c r="F88">
        <v>-1518044.280513</v>
      </c>
      <c r="G88">
        <v>-1139664.03</v>
      </c>
      <c r="H88">
        <v>245.51812000000001</v>
      </c>
      <c r="I88">
        <v>122.665845</v>
      </c>
      <c r="J88">
        <v>29.957809999999998</v>
      </c>
      <c r="K88">
        <v>3.3384230000000001</v>
      </c>
      <c r="L88" t="s">
        <v>35</v>
      </c>
      <c r="M88">
        <v>100.011832</v>
      </c>
      <c r="N88" s="2">
        <v>2.5847549999999999</v>
      </c>
      <c r="O88">
        <v>97.427076999999997</v>
      </c>
      <c r="Q88">
        <v>37.960610000000003</v>
      </c>
      <c r="R88">
        <v>0.91637000000000002</v>
      </c>
      <c r="S88">
        <v>14.589511</v>
      </c>
      <c r="T88">
        <v>0.50875300000000001</v>
      </c>
      <c r="U88">
        <v>13.821459000000001</v>
      </c>
      <c r="V88">
        <v>7.9261999999999999E-2</v>
      </c>
      <c r="W88">
        <v>7.5457460000000003</v>
      </c>
      <c r="X88">
        <v>9.3451740000000001</v>
      </c>
      <c r="Y88">
        <v>8.6057210000000008</v>
      </c>
      <c r="Z88">
        <v>0.389847</v>
      </c>
      <c r="AA88">
        <v>6.2375470000000002</v>
      </c>
      <c r="AB88">
        <v>51.739117</v>
      </c>
      <c r="AC88">
        <v>0.58585900000000002</v>
      </c>
      <c r="AD88">
        <v>13.671817000000001</v>
      </c>
      <c r="AE88">
        <v>31.430282999999999</v>
      </c>
      <c r="AF88">
        <f>(W88/40.31)/((W88/40.31)+((U88+T88*0.9)/71.85))</f>
        <v>0.48504233687704573</v>
      </c>
    </row>
    <row r="89" spans="1:32" x14ac:dyDescent="0.25">
      <c r="A89">
        <v>85</v>
      </c>
      <c r="B89" t="s">
        <v>34</v>
      </c>
      <c r="C89">
        <v>1270</v>
      </c>
      <c r="D89">
        <v>15000</v>
      </c>
      <c r="E89">
        <v>-10.479796</v>
      </c>
      <c r="F89">
        <v>-1518536.549413</v>
      </c>
      <c r="G89">
        <v>-1139372.6429349999</v>
      </c>
      <c r="H89">
        <v>245.70774499999999</v>
      </c>
      <c r="I89">
        <v>122.707308</v>
      </c>
      <c r="J89">
        <v>29.965971</v>
      </c>
      <c r="K89">
        <v>3.3375149999999998</v>
      </c>
      <c r="L89" t="s">
        <v>35</v>
      </c>
      <c r="M89">
        <v>100.011882</v>
      </c>
      <c r="N89" s="2">
        <v>2.6539790000000001</v>
      </c>
      <c r="O89">
        <v>97.357902999999993</v>
      </c>
      <c r="Q89">
        <v>38.087108999999998</v>
      </c>
      <c r="R89">
        <v>0.91682600000000003</v>
      </c>
      <c r="S89">
        <v>14.604129</v>
      </c>
      <c r="T89">
        <v>0.50683900000000004</v>
      </c>
      <c r="U89">
        <v>13.994968</v>
      </c>
      <c r="V89">
        <v>7.9009999999999997E-2</v>
      </c>
      <c r="W89">
        <v>7.6415819999999997</v>
      </c>
      <c r="X89">
        <v>9.2123799999999996</v>
      </c>
      <c r="Y89">
        <v>8.5026270000000004</v>
      </c>
      <c r="Z89">
        <v>0.37967800000000002</v>
      </c>
      <c r="AA89">
        <v>6.0748519999999999</v>
      </c>
      <c r="AB89">
        <v>51.711773000000001</v>
      </c>
      <c r="AC89">
        <v>0.51798699999999998</v>
      </c>
      <c r="AD89">
        <v>13.439</v>
      </c>
      <c r="AE89">
        <v>31.689142</v>
      </c>
      <c r="AF89">
        <f>(W89/40.31)/((W89/40.31)+((U89+T89*0.9)/71.85))</f>
        <v>0.48520770552935305</v>
      </c>
    </row>
    <row r="90" spans="1:32" x14ac:dyDescent="0.25">
      <c r="A90">
        <v>86</v>
      </c>
      <c r="B90" t="s">
        <v>34</v>
      </c>
      <c r="C90">
        <v>1272</v>
      </c>
      <c r="D90">
        <v>15000</v>
      </c>
      <c r="E90">
        <v>-10.460678</v>
      </c>
      <c r="F90">
        <v>-1519029.209675</v>
      </c>
      <c r="G90">
        <v>-1139079.9190189999</v>
      </c>
      <c r="H90">
        <v>245.897997</v>
      </c>
      <c r="I90">
        <v>122.749735</v>
      </c>
      <c r="J90">
        <v>29.974256</v>
      </c>
      <c r="K90">
        <v>3.3365939999999998</v>
      </c>
      <c r="L90" t="s">
        <v>35</v>
      </c>
      <c r="M90">
        <v>100.011933</v>
      </c>
      <c r="N90" s="2">
        <v>2.726124</v>
      </c>
      <c r="O90">
        <v>97.285808000000003</v>
      </c>
      <c r="Q90">
        <v>38.209578999999998</v>
      </c>
      <c r="R90">
        <v>0.91708100000000004</v>
      </c>
      <c r="S90">
        <v>14.617274</v>
      </c>
      <c r="T90">
        <v>0.50491600000000003</v>
      </c>
      <c r="U90">
        <v>14.169401000000001</v>
      </c>
      <c r="V90">
        <v>7.8757999999999995E-2</v>
      </c>
      <c r="W90">
        <v>7.7386169999999996</v>
      </c>
      <c r="X90">
        <v>9.0832789999999992</v>
      </c>
      <c r="Y90">
        <v>8.3973800000000001</v>
      </c>
      <c r="Z90">
        <v>0.36963000000000001</v>
      </c>
      <c r="AA90">
        <v>5.914085</v>
      </c>
      <c r="AB90">
        <v>51.683525000000003</v>
      </c>
      <c r="AC90">
        <v>0.44888899999999998</v>
      </c>
      <c r="AD90">
        <v>13.210694999999999</v>
      </c>
      <c r="AE90">
        <v>31.942696000000002</v>
      </c>
      <c r="AF90">
        <f>(W90/40.31)/((W90/40.31)+((U90+T90*0.9)/71.85))</f>
        <v>0.48539214571970124</v>
      </c>
    </row>
    <row r="91" spans="1:32" x14ac:dyDescent="0.25">
      <c r="A91">
        <v>87</v>
      </c>
      <c r="B91" t="s">
        <v>34</v>
      </c>
      <c r="C91">
        <v>1274</v>
      </c>
      <c r="D91">
        <v>15000</v>
      </c>
      <c r="E91">
        <v>-10.441610000000001</v>
      </c>
      <c r="F91">
        <v>-1519522.2632500001</v>
      </c>
      <c r="G91">
        <v>-1138785.7823109999</v>
      </c>
      <c r="H91">
        <v>246.08892499999999</v>
      </c>
      <c r="I91">
        <v>122.793184</v>
      </c>
      <c r="J91">
        <v>29.982672999999998</v>
      </c>
      <c r="K91">
        <v>3.3356590000000002</v>
      </c>
      <c r="L91" t="s">
        <v>35</v>
      </c>
      <c r="M91">
        <v>100.011984</v>
      </c>
      <c r="N91" s="2">
        <v>2.8013560000000002</v>
      </c>
      <c r="O91">
        <v>97.210628</v>
      </c>
      <c r="Q91">
        <v>38.327998999999998</v>
      </c>
      <c r="R91">
        <v>0.917126</v>
      </c>
      <c r="S91">
        <v>14.628939000000001</v>
      </c>
      <c r="T91">
        <v>0.50298699999999996</v>
      </c>
      <c r="U91">
        <v>14.344723999999999</v>
      </c>
      <c r="V91">
        <v>7.8505000000000005E-2</v>
      </c>
      <c r="W91">
        <v>7.8368479999999998</v>
      </c>
      <c r="X91">
        <v>8.9579039999999992</v>
      </c>
      <c r="Y91">
        <v>8.2900050000000007</v>
      </c>
      <c r="Z91">
        <v>0.35970400000000002</v>
      </c>
      <c r="AA91">
        <v>5.7552599999999998</v>
      </c>
      <c r="AB91">
        <v>51.654319999999998</v>
      </c>
      <c r="AC91">
        <v>0.37850099999999998</v>
      </c>
      <c r="AD91">
        <v>12.987087000000001</v>
      </c>
      <c r="AE91">
        <v>32.190716000000002</v>
      </c>
      <c r="AF91">
        <f>(W91/40.31)/((W91/40.31)+((U91+T91*0.9)/71.85))</f>
        <v>0.48559534396426324</v>
      </c>
    </row>
    <row r="92" spans="1:32" x14ac:dyDescent="0.25">
      <c r="A92">
        <v>88</v>
      </c>
      <c r="B92" t="s">
        <v>34</v>
      </c>
      <c r="C92">
        <v>1276</v>
      </c>
      <c r="D92">
        <v>15000</v>
      </c>
      <c r="E92">
        <v>-10.422591000000001</v>
      </c>
      <c r="F92">
        <v>-1520015.712232</v>
      </c>
      <c r="G92">
        <v>-1138490.151963</v>
      </c>
      <c r="H92">
        <v>246.28057999999999</v>
      </c>
      <c r="I92">
        <v>122.837717</v>
      </c>
      <c r="J92">
        <v>29.991228</v>
      </c>
      <c r="K92">
        <v>3.3347099999999998</v>
      </c>
      <c r="L92" t="s">
        <v>35</v>
      </c>
      <c r="M92">
        <v>100.012035</v>
      </c>
      <c r="N92" s="2">
        <v>2.8798509999999999</v>
      </c>
      <c r="O92">
        <v>97.132183999999995</v>
      </c>
      <c r="Q92">
        <v>38.442354000000002</v>
      </c>
      <c r="R92">
        <v>0.91695199999999999</v>
      </c>
      <c r="S92">
        <v>14.639116</v>
      </c>
      <c r="T92">
        <v>0.50105100000000002</v>
      </c>
      <c r="U92">
        <v>14.520897</v>
      </c>
      <c r="V92">
        <v>7.8253000000000003E-2</v>
      </c>
      <c r="W92">
        <v>7.9362709999999996</v>
      </c>
      <c r="X92">
        <v>8.8362879999999997</v>
      </c>
      <c r="Y92">
        <v>8.1805280000000007</v>
      </c>
      <c r="Z92">
        <v>0.34989900000000002</v>
      </c>
      <c r="AA92">
        <v>5.5983910000000003</v>
      </c>
      <c r="AB92">
        <v>51.624099999999999</v>
      </c>
      <c r="AC92">
        <v>0.306753</v>
      </c>
      <c r="AD92">
        <v>12.768390999999999</v>
      </c>
      <c r="AE92">
        <v>32.432941</v>
      </c>
      <c r="AF92">
        <f>(W92/40.31)/((W92/40.31)+((U92+T92*0.9)/71.85))</f>
        <v>0.48581711974184288</v>
      </c>
    </row>
    <row r="93" spans="1:32" x14ac:dyDescent="0.25">
      <c r="A93">
        <v>89</v>
      </c>
      <c r="B93" t="s">
        <v>34</v>
      </c>
      <c r="C93">
        <v>1278</v>
      </c>
      <c r="D93">
        <v>15000</v>
      </c>
      <c r="E93">
        <v>-10.403620999999999</v>
      </c>
      <c r="F93">
        <v>-1520509.5588690001</v>
      </c>
      <c r="G93">
        <v>-1138192.941785</v>
      </c>
      <c r="H93">
        <v>246.473015</v>
      </c>
      <c r="I93">
        <v>122.88340100000001</v>
      </c>
      <c r="J93">
        <v>29.999927</v>
      </c>
      <c r="K93">
        <v>3.3337439999999998</v>
      </c>
      <c r="L93" t="s">
        <v>35</v>
      </c>
      <c r="M93">
        <v>100.01208699999999</v>
      </c>
      <c r="N93" s="2">
        <v>2.9618009999999999</v>
      </c>
      <c r="O93">
        <v>97.050286</v>
      </c>
      <c r="Q93">
        <v>38.552635000000002</v>
      </c>
      <c r="R93">
        <v>0.91654999999999998</v>
      </c>
      <c r="S93">
        <v>14.647802</v>
      </c>
      <c r="T93">
        <v>0.49911</v>
      </c>
      <c r="U93">
        <v>14.697876000000001</v>
      </c>
      <c r="V93">
        <v>7.7998999999999999E-2</v>
      </c>
      <c r="W93">
        <v>8.0368809999999993</v>
      </c>
      <c r="X93">
        <v>8.718458</v>
      </c>
      <c r="Y93">
        <v>8.0689810000000008</v>
      </c>
      <c r="Z93">
        <v>0.34021800000000002</v>
      </c>
      <c r="AA93">
        <v>5.4434889999999996</v>
      </c>
      <c r="AB93">
        <v>51.592796</v>
      </c>
      <c r="AC93">
        <v>0.233569</v>
      </c>
      <c r="AD93">
        <v>12.554853</v>
      </c>
      <c r="AE93">
        <v>32.669066999999998</v>
      </c>
      <c r="AF93">
        <f>(W93/40.31)/((W93/40.31)+((U93+T93*0.9)/71.85))</f>
        <v>0.48605728162564721</v>
      </c>
    </row>
    <row r="94" spans="1:32" s="5" customFormat="1" x14ac:dyDescent="0.25">
      <c r="A94" s="5">
        <v>90</v>
      </c>
      <c r="B94" s="5" t="s">
        <v>34</v>
      </c>
      <c r="C94" s="5">
        <v>1280</v>
      </c>
      <c r="D94" s="5">
        <v>15000</v>
      </c>
      <c r="E94" s="5">
        <v>-10.3847</v>
      </c>
      <c r="F94" s="5">
        <v>-1521003.8055720001</v>
      </c>
      <c r="G94" s="5">
        <v>-1137894.0597719999</v>
      </c>
      <c r="H94" s="5">
        <v>246.66628800000001</v>
      </c>
      <c r="I94" s="5">
        <v>122.93030899999999</v>
      </c>
      <c r="J94" s="5">
        <v>30.008779000000001</v>
      </c>
      <c r="K94" s="5">
        <v>3.3327629999999999</v>
      </c>
      <c r="L94" s="5" t="s">
        <v>35</v>
      </c>
      <c r="M94" s="5">
        <v>100.01214</v>
      </c>
      <c r="N94" s="6">
        <v>3.0474100000000002</v>
      </c>
      <c r="O94" s="5">
        <v>96.964730000000003</v>
      </c>
      <c r="Q94" s="5">
        <v>38.658836000000001</v>
      </c>
      <c r="R94" s="5">
        <v>0.91590800000000006</v>
      </c>
      <c r="S94" s="5">
        <v>14.654994</v>
      </c>
      <c r="T94" s="5">
        <v>0.49716700000000003</v>
      </c>
      <c r="U94" s="5">
        <v>14.875612</v>
      </c>
      <c r="V94" s="5">
        <v>7.7744999999999995E-2</v>
      </c>
      <c r="W94" s="5">
        <v>8.1386669999999999</v>
      </c>
      <c r="X94" s="5">
        <v>8.6044450000000001</v>
      </c>
      <c r="Y94" s="5">
        <v>7.9553969999999996</v>
      </c>
      <c r="Z94" s="5">
        <v>0.33066099999999998</v>
      </c>
      <c r="AA94" s="5">
        <v>5.2905689999999996</v>
      </c>
      <c r="AB94" s="5">
        <v>51.560349000000002</v>
      </c>
      <c r="AC94" s="5">
        <v>0.15887000000000001</v>
      </c>
      <c r="AD94" s="5">
        <v>12.346759</v>
      </c>
      <c r="AE94" s="5">
        <v>32.898753999999997</v>
      </c>
      <c r="AF94" s="5">
        <f>(W94/40.31)/((W94/40.31)+((U94+T94*0.9)/71.85))</f>
        <v>0.48631552072184653</v>
      </c>
    </row>
    <row r="95" spans="1:32" x14ac:dyDescent="0.25">
      <c r="A95">
        <v>91</v>
      </c>
      <c r="B95" t="s">
        <v>34</v>
      </c>
      <c r="C95">
        <v>1282</v>
      </c>
      <c r="D95">
        <v>15000</v>
      </c>
      <c r="E95">
        <v>-10.365826999999999</v>
      </c>
      <c r="F95">
        <v>-1521498.454933</v>
      </c>
      <c r="G95">
        <v>-1137593.407592</v>
      </c>
      <c r="H95">
        <v>246.86046200000001</v>
      </c>
      <c r="I95">
        <v>122.978517</v>
      </c>
      <c r="J95">
        <v>30.017792</v>
      </c>
      <c r="K95">
        <v>3.3317640000000002</v>
      </c>
      <c r="L95" t="s">
        <v>35</v>
      </c>
      <c r="M95">
        <v>100.01219399999999</v>
      </c>
      <c r="N95" s="2">
        <v>3.136898</v>
      </c>
      <c r="O95">
        <v>96.875296000000006</v>
      </c>
      <c r="Q95">
        <v>38.760958000000002</v>
      </c>
      <c r="R95">
        <v>0.91501699999999997</v>
      </c>
      <c r="S95">
        <v>14.660691</v>
      </c>
      <c r="T95">
        <v>0.49521999999999999</v>
      </c>
      <c r="U95">
        <v>15.054048999999999</v>
      </c>
      <c r="V95">
        <v>7.7490000000000003E-2</v>
      </c>
      <c r="W95">
        <v>8.2416180000000008</v>
      </c>
      <c r="X95">
        <v>8.4942729999999997</v>
      </c>
      <c r="Y95">
        <v>7.8398130000000004</v>
      </c>
      <c r="Z95">
        <v>0.32122800000000001</v>
      </c>
      <c r="AA95">
        <v>5.1396420000000003</v>
      </c>
      <c r="AB95">
        <v>51.526676000000002</v>
      </c>
      <c r="AC95">
        <v>8.2570000000000005E-2</v>
      </c>
      <c r="AD95">
        <v>12.144427</v>
      </c>
      <c r="AE95">
        <v>33.12162</v>
      </c>
      <c r="AF95">
        <f>(W95/40.31)/((W95/40.31)+((U95+T95*0.9)/71.85))</f>
        <v>0.4865917199902316</v>
      </c>
    </row>
    <row r="96" spans="1:32" x14ac:dyDescent="0.25">
      <c r="A96">
        <v>92</v>
      </c>
      <c r="B96" t="s">
        <v>34</v>
      </c>
      <c r="C96">
        <v>1284</v>
      </c>
      <c r="D96">
        <v>15000</v>
      </c>
      <c r="E96">
        <v>-10.347003000000001</v>
      </c>
      <c r="F96">
        <v>-1521993.5097320001</v>
      </c>
      <c r="G96">
        <v>-1137290.880041</v>
      </c>
      <c r="H96">
        <v>247.055601</v>
      </c>
      <c r="I96">
        <v>123.028108</v>
      </c>
      <c r="J96">
        <v>30.026973999999999</v>
      </c>
      <c r="K96">
        <v>3.3307470000000001</v>
      </c>
      <c r="L96" t="s">
        <v>35</v>
      </c>
      <c r="M96">
        <v>100.012248</v>
      </c>
      <c r="N96" s="2">
        <v>3.2305009999999998</v>
      </c>
      <c r="O96">
        <v>96.781746999999996</v>
      </c>
      <c r="Q96">
        <v>38.859003999999999</v>
      </c>
      <c r="R96">
        <v>0.91386500000000004</v>
      </c>
      <c r="S96">
        <v>14.664895</v>
      </c>
      <c r="T96">
        <v>0.49327300000000002</v>
      </c>
      <c r="U96">
        <v>15.233128000000001</v>
      </c>
      <c r="V96">
        <v>7.7234999999999998E-2</v>
      </c>
      <c r="W96">
        <v>8.3457179999999997</v>
      </c>
      <c r="X96">
        <v>8.3879699999999993</v>
      </c>
      <c r="Y96">
        <v>7.72227</v>
      </c>
      <c r="Z96">
        <v>0.31191999999999998</v>
      </c>
      <c r="AA96">
        <v>4.9907209999999997</v>
      </c>
      <c r="AB96">
        <v>51.491711000000002</v>
      </c>
      <c r="AC96">
        <v>4.5789999999999997E-3</v>
      </c>
      <c r="AD96">
        <v>11.948216</v>
      </c>
      <c r="AE96">
        <v>33.337242000000003</v>
      </c>
      <c r="AF96">
        <f>(W96/40.31)/((W96/40.31)+((U96+T96*0.9)/71.85))</f>
        <v>0.48688557289171469</v>
      </c>
    </row>
    <row r="97" spans="1:33" s="1" customFormat="1" ht="31.5" x14ac:dyDescent="0.25">
      <c r="A97" s="1">
        <v>93</v>
      </c>
      <c r="B97" s="1" t="s">
        <v>34</v>
      </c>
      <c r="C97" s="1">
        <v>1286</v>
      </c>
      <c r="D97" s="1">
        <v>15000</v>
      </c>
      <c r="E97" s="1">
        <v>-10.328227999999999</v>
      </c>
      <c r="F97" s="1">
        <v>-1522488.095037</v>
      </c>
      <c r="G97" s="1">
        <v>-1136994.661142</v>
      </c>
      <c r="H97" s="1">
        <v>247.245893</v>
      </c>
      <c r="I97" s="1">
        <v>123.077035</v>
      </c>
      <c r="J97" s="1">
        <v>30.034503000000001</v>
      </c>
      <c r="K97" s="1">
        <v>3.3299120000000002</v>
      </c>
      <c r="L97" s="1" t="s">
        <v>35</v>
      </c>
      <c r="M97" s="1">
        <v>100.01226200000001</v>
      </c>
      <c r="N97" s="4">
        <v>3.3298179999999999</v>
      </c>
      <c r="O97" s="1">
        <v>96.682443000000006</v>
      </c>
      <c r="Q97" s="1">
        <v>38.983156999999999</v>
      </c>
      <c r="R97" s="1">
        <v>0.91686900000000005</v>
      </c>
      <c r="S97" s="1">
        <v>14.636502</v>
      </c>
      <c r="T97" s="1">
        <v>0.49180000000000001</v>
      </c>
      <c r="U97" s="1">
        <v>15.403252</v>
      </c>
      <c r="V97" s="1">
        <v>7.7297000000000005E-2</v>
      </c>
      <c r="W97" s="1">
        <v>8.4427230000000009</v>
      </c>
      <c r="X97" s="1">
        <v>8.2824159999999996</v>
      </c>
      <c r="Y97" s="1">
        <v>7.6215020000000004</v>
      </c>
      <c r="Z97" s="1">
        <v>0.30261700000000002</v>
      </c>
      <c r="AA97" s="1">
        <v>4.8418650000000003</v>
      </c>
      <c r="AB97" s="1">
        <v>51.454532999999998</v>
      </c>
      <c r="AC97" s="1">
        <v>0</v>
      </c>
      <c r="AD97" s="1">
        <v>11.837994</v>
      </c>
      <c r="AE97" s="1">
        <v>33.389918999999999</v>
      </c>
      <c r="AF97" s="1">
        <f>(W97/40.31)/((W97/40.31)+((U97+T97*0.9)/71.85))</f>
        <v>0.48709708971948545</v>
      </c>
      <c r="AG97" s="9" t="s">
        <v>248</v>
      </c>
    </row>
    <row r="98" spans="1:33" s="1" customFormat="1" x14ac:dyDescent="0.25">
      <c r="N98" s="4"/>
      <c r="Q98" s="7">
        <f>(Q1-0.03*Q97)/0.97</f>
        <v>44.567531226804121</v>
      </c>
      <c r="R98" s="7">
        <f>(R1-0.03*R97)/0.97</f>
        <v>0.11597312371134023</v>
      </c>
      <c r="S98" s="7">
        <f>(S1-0.03*S97)/0.97</f>
        <v>2.6607267422680412</v>
      </c>
      <c r="T98" s="7"/>
      <c r="U98" s="7">
        <f>(U1-0.03*U97)/0.97</f>
        <v>17.977219010309277</v>
      </c>
      <c r="V98" s="7">
        <f>(V1-0.03*V97)/0.97</f>
        <v>0.47183617525773197</v>
      </c>
      <c r="W98" s="7">
        <f>(W1-0.03*W97)/0.97</f>
        <v>30.872905474226801</v>
      </c>
      <c r="X98" s="7">
        <f>(X1-0.03*X97)/0.97</f>
        <v>2.2696160000000005</v>
      </c>
      <c r="Y98" s="7">
        <f>(Y1-0.03*Y97)/0.97</f>
        <v>0.27974736082474227</v>
      </c>
      <c r="Z98" s="7">
        <f>(Z1-0.03*Z97)/0.97</f>
        <v>9.4998969072165006E-4</v>
      </c>
      <c r="AA98" s="7">
        <f>(AA1-0.03*AA97)/0.97</f>
        <v>1.5200051546391763E-2</v>
      </c>
      <c r="AG98" s="1" t="s">
        <v>249</v>
      </c>
    </row>
    <row r="99" spans="1:33" s="1" customFormat="1" x14ac:dyDescent="0.25">
      <c r="N99" s="4"/>
    </row>
    <row r="100" spans="1:33" x14ac:dyDescent="0.25">
      <c r="A100">
        <v>94</v>
      </c>
      <c r="B100" t="s">
        <v>34</v>
      </c>
      <c r="C100">
        <v>1288</v>
      </c>
      <c r="D100">
        <v>15000</v>
      </c>
      <c r="E100">
        <v>-10.3095</v>
      </c>
      <c r="F100">
        <v>-1522983.0038300001</v>
      </c>
      <c r="G100">
        <v>-1136697.34993</v>
      </c>
      <c r="H100">
        <v>247.43660399999999</v>
      </c>
      <c r="I100">
        <v>123.12711299999999</v>
      </c>
      <c r="J100">
        <v>30.04203</v>
      </c>
      <c r="K100">
        <v>3.329078</v>
      </c>
      <c r="L100" t="s">
        <v>35</v>
      </c>
      <c r="M100">
        <v>100.012272</v>
      </c>
      <c r="N100" s="2">
        <v>3.4332060000000002</v>
      </c>
      <c r="O100">
        <v>96.579066999999995</v>
      </c>
      <c r="Q100">
        <v>39.104166999999997</v>
      </c>
      <c r="R100">
        <v>0.91989900000000002</v>
      </c>
      <c r="S100">
        <v>14.604067000000001</v>
      </c>
      <c r="T100">
        <v>0.49037599999999998</v>
      </c>
      <c r="U100">
        <v>15.572889</v>
      </c>
      <c r="V100">
        <v>7.7384999999999995E-2</v>
      </c>
      <c r="W100">
        <v>8.5400209999999994</v>
      </c>
      <c r="X100">
        <v>8.1816030000000008</v>
      </c>
      <c r="Y100">
        <v>7.5200319999999996</v>
      </c>
      <c r="Z100">
        <v>0.29350399999999999</v>
      </c>
      <c r="AA100">
        <v>4.6960569999999997</v>
      </c>
      <c r="AB100">
        <v>51.416122000000001</v>
      </c>
      <c r="AC100">
        <v>0</v>
      </c>
      <c r="AD100">
        <v>11.742243</v>
      </c>
      <c r="AE100">
        <v>33.420699999999997</v>
      </c>
      <c r="AF100">
        <f>(W100/40.31)/((W100/40.31)+((U100+T100*0.9)/71.85))</f>
        <v>0.48731946033747814</v>
      </c>
    </row>
    <row r="101" spans="1:33" x14ac:dyDescent="0.25">
      <c r="A101">
        <v>95</v>
      </c>
      <c r="B101" t="s">
        <v>34</v>
      </c>
      <c r="C101">
        <v>1290</v>
      </c>
      <c r="D101">
        <v>15000</v>
      </c>
      <c r="E101">
        <v>-10.290820999999999</v>
      </c>
      <c r="F101">
        <v>-1523478.291006</v>
      </c>
      <c r="G101">
        <v>-1136398.3735450001</v>
      </c>
      <c r="H101">
        <v>247.62813399999999</v>
      </c>
      <c r="I101">
        <v>123.178528</v>
      </c>
      <c r="J101">
        <v>30.049669999999999</v>
      </c>
      <c r="K101">
        <v>3.3282319999999999</v>
      </c>
      <c r="L101" t="s">
        <v>35</v>
      </c>
      <c r="M101">
        <v>100.012283</v>
      </c>
      <c r="N101" s="2">
        <v>3.5407519999999999</v>
      </c>
      <c r="O101">
        <v>96.471530999999999</v>
      </c>
      <c r="Q101">
        <v>39.220244000000001</v>
      </c>
      <c r="R101">
        <v>0.92267200000000005</v>
      </c>
      <c r="S101">
        <v>14.569497</v>
      </c>
      <c r="T101">
        <v>0.48897400000000002</v>
      </c>
      <c r="U101">
        <v>15.742547</v>
      </c>
      <c r="V101">
        <v>7.7478000000000005E-2</v>
      </c>
      <c r="W101">
        <v>8.6380820000000007</v>
      </c>
      <c r="X101">
        <v>8.0857060000000001</v>
      </c>
      <c r="Y101">
        <v>7.4167909999999999</v>
      </c>
      <c r="Z101">
        <v>0.28458899999999998</v>
      </c>
      <c r="AA101">
        <v>4.55342</v>
      </c>
      <c r="AB101">
        <v>51.376480000000001</v>
      </c>
      <c r="AC101">
        <v>0</v>
      </c>
      <c r="AD101">
        <v>11.656594999999999</v>
      </c>
      <c r="AE101">
        <v>33.438457</v>
      </c>
      <c r="AF101">
        <f>(W101/40.31)/((W101/40.31)+((U101+T101*0.9)/71.85))</f>
        <v>0.48755845714061297</v>
      </c>
    </row>
    <row r="102" spans="1:33" x14ac:dyDescent="0.25">
      <c r="A102">
        <v>96</v>
      </c>
      <c r="B102" t="s">
        <v>34</v>
      </c>
      <c r="C102">
        <v>1292</v>
      </c>
      <c r="D102">
        <v>15000</v>
      </c>
      <c r="E102">
        <v>-10.272188999999999</v>
      </c>
      <c r="F102">
        <v>-1523973.9584979999</v>
      </c>
      <c r="G102">
        <v>-1136097.651941</v>
      </c>
      <c r="H102">
        <v>247.82053300000001</v>
      </c>
      <c r="I102">
        <v>123.231351</v>
      </c>
      <c r="J102">
        <v>30.057428000000002</v>
      </c>
      <c r="K102">
        <v>3.3273739999999998</v>
      </c>
      <c r="L102" t="s">
        <v>35</v>
      </c>
      <c r="M102">
        <v>100.012293</v>
      </c>
      <c r="N102" s="2">
        <v>3.6526550000000002</v>
      </c>
      <c r="O102">
        <v>96.359639000000001</v>
      </c>
      <c r="Q102">
        <v>39.331493000000002</v>
      </c>
      <c r="R102">
        <v>0.92517799999999994</v>
      </c>
      <c r="S102">
        <v>14.5328</v>
      </c>
      <c r="T102">
        <v>0.487593</v>
      </c>
      <c r="U102">
        <v>15.912155</v>
      </c>
      <c r="V102">
        <v>7.7576999999999993E-2</v>
      </c>
      <c r="W102">
        <v>8.736872</v>
      </c>
      <c r="X102">
        <v>7.9946729999999997</v>
      </c>
      <c r="Y102">
        <v>7.3118679999999996</v>
      </c>
      <c r="Z102">
        <v>0.27587</v>
      </c>
      <c r="AA102">
        <v>4.4139210000000002</v>
      </c>
      <c r="AB102">
        <v>51.335545000000003</v>
      </c>
      <c r="AC102">
        <v>0</v>
      </c>
      <c r="AD102">
        <v>11.581529</v>
      </c>
      <c r="AE102">
        <v>33.442565999999999</v>
      </c>
      <c r="AF102">
        <f>(W102/40.31)/((W102/40.31)+((U102+T102*0.9)/71.85))</f>
        <v>0.48781363883112822</v>
      </c>
    </row>
    <row r="103" spans="1:33" x14ac:dyDescent="0.25">
      <c r="A103">
        <v>97</v>
      </c>
      <c r="B103" t="s">
        <v>34</v>
      </c>
      <c r="C103">
        <v>1294</v>
      </c>
      <c r="D103">
        <v>15000</v>
      </c>
      <c r="E103">
        <v>-10.253605</v>
      </c>
      <c r="F103">
        <v>-1524470.0083620001</v>
      </c>
      <c r="G103">
        <v>-1135795.1008929999</v>
      </c>
      <c r="H103">
        <v>248.01385200000001</v>
      </c>
      <c r="I103">
        <v>123.285653</v>
      </c>
      <c r="J103">
        <v>30.065308999999999</v>
      </c>
      <c r="K103">
        <v>3.3265020000000001</v>
      </c>
      <c r="L103" t="s">
        <v>35</v>
      </c>
      <c r="M103">
        <v>100.012304</v>
      </c>
      <c r="N103" s="2">
        <v>3.7691240000000001</v>
      </c>
      <c r="O103">
        <v>96.243178999999998</v>
      </c>
      <c r="Q103">
        <v>39.438025000000003</v>
      </c>
      <c r="R103">
        <v>0.92740299999999998</v>
      </c>
      <c r="S103">
        <v>14.493986</v>
      </c>
      <c r="T103">
        <v>0.48623499999999997</v>
      </c>
      <c r="U103">
        <v>16.081634999999999</v>
      </c>
      <c r="V103">
        <v>7.7683000000000002E-2</v>
      </c>
      <c r="W103">
        <v>8.8363580000000006</v>
      </c>
      <c r="X103">
        <v>7.9084500000000002</v>
      </c>
      <c r="Y103">
        <v>7.2053539999999998</v>
      </c>
      <c r="Z103">
        <v>0.267345</v>
      </c>
      <c r="AA103">
        <v>4.2775270000000001</v>
      </c>
      <c r="AB103">
        <v>51.293239999999997</v>
      </c>
      <c r="AC103">
        <v>0</v>
      </c>
      <c r="AD103">
        <v>11.517562</v>
      </c>
      <c r="AE103">
        <v>33.432377000000002</v>
      </c>
      <c r="AF103">
        <f>(W103/40.31)/((W103/40.31)+((U103+T103*0.9)/71.85))</f>
        <v>0.48808467647139253</v>
      </c>
    </row>
    <row r="104" spans="1:33" x14ac:dyDescent="0.25">
      <c r="A104">
        <v>98</v>
      </c>
      <c r="B104" t="s">
        <v>34</v>
      </c>
      <c r="C104">
        <v>1296</v>
      </c>
      <c r="D104">
        <v>15000</v>
      </c>
      <c r="E104">
        <v>-10.235068</v>
      </c>
      <c r="F104">
        <v>-1524966.442785</v>
      </c>
      <c r="G104">
        <v>-1135490.631821</v>
      </c>
      <c r="H104">
        <v>248.208145</v>
      </c>
      <c r="I104">
        <v>123.34151</v>
      </c>
      <c r="J104">
        <v>30.073315999999998</v>
      </c>
      <c r="K104">
        <v>3.3256160000000001</v>
      </c>
      <c r="L104" t="s">
        <v>35</v>
      </c>
      <c r="M104">
        <v>100.012314</v>
      </c>
      <c r="N104" s="2">
        <v>3.8903810000000001</v>
      </c>
      <c r="O104">
        <v>96.121932999999999</v>
      </c>
      <c r="Q104">
        <v>39.539957000000001</v>
      </c>
      <c r="R104">
        <v>0.929338</v>
      </c>
      <c r="S104">
        <v>14.453063999999999</v>
      </c>
      <c r="T104">
        <v>0.4849</v>
      </c>
      <c r="U104">
        <v>16.250903999999998</v>
      </c>
      <c r="V104">
        <v>7.7795000000000003E-2</v>
      </c>
      <c r="W104">
        <v>8.9365020000000008</v>
      </c>
      <c r="X104">
        <v>7.8269820000000001</v>
      </c>
      <c r="Y104">
        <v>7.0973410000000001</v>
      </c>
      <c r="Z104">
        <v>0.25901299999999999</v>
      </c>
      <c r="AA104">
        <v>4.1442040000000002</v>
      </c>
      <c r="AB104">
        <v>51.249504000000002</v>
      </c>
      <c r="AC104">
        <v>0</v>
      </c>
      <c r="AD104">
        <v>11.465248000000001</v>
      </c>
      <c r="AE104">
        <v>33.407181000000001</v>
      </c>
      <c r="AF104">
        <f>(W104/40.31)/((W104/40.31)+((U104+T104*0.9)/71.85))</f>
        <v>0.48837121810909323</v>
      </c>
    </row>
    <row r="105" spans="1:33" x14ac:dyDescent="0.25">
      <c r="A105">
        <v>99</v>
      </c>
      <c r="B105" t="s">
        <v>34</v>
      </c>
      <c r="C105">
        <v>1298</v>
      </c>
      <c r="D105">
        <v>15000</v>
      </c>
      <c r="E105">
        <v>-10.216578</v>
      </c>
      <c r="F105">
        <v>-1525463.264095</v>
      </c>
      <c r="G105">
        <v>-1135184.1516219999</v>
      </c>
      <c r="H105">
        <v>248.40347</v>
      </c>
      <c r="I105">
        <v>123.399</v>
      </c>
      <c r="J105">
        <v>30.081457</v>
      </c>
      <c r="K105">
        <v>3.3247170000000001</v>
      </c>
      <c r="L105" t="s">
        <v>35</v>
      </c>
      <c r="M105">
        <v>100.01232299999999</v>
      </c>
      <c r="N105" s="2">
        <v>4.0166550000000001</v>
      </c>
      <c r="O105">
        <v>95.995667999999995</v>
      </c>
      <c r="Q105">
        <v>39.637413000000002</v>
      </c>
      <c r="R105">
        <v>0.93096900000000005</v>
      </c>
      <c r="S105">
        <v>14.410048</v>
      </c>
      <c r="T105">
        <v>0.48358899999999999</v>
      </c>
      <c r="U105">
        <v>16.419875999999999</v>
      </c>
      <c r="V105">
        <v>7.7913999999999997E-2</v>
      </c>
      <c r="W105">
        <v>9.0372649999999997</v>
      </c>
      <c r="X105">
        <v>7.7502110000000002</v>
      </c>
      <c r="Y105">
        <v>6.987927</v>
      </c>
      <c r="Z105">
        <v>0.25086999999999998</v>
      </c>
      <c r="AA105">
        <v>4.0139199999999997</v>
      </c>
      <c r="AB105">
        <v>51.204258000000003</v>
      </c>
      <c r="AC105">
        <v>0</v>
      </c>
      <c r="AD105">
        <v>11.425179999999999</v>
      </c>
      <c r="AE105">
        <v>33.366230000000002</v>
      </c>
      <c r="AF105">
        <f>(W105/40.31)/((W105/40.31)+((U105+T105*0.9)/71.85))</f>
        <v>0.48867293237833836</v>
      </c>
    </row>
    <row r="106" spans="1:33" x14ac:dyDescent="0.25">
      <c r="A106">
        <v>100</v>
      </c>
      <c r="B106" t="s">
        <v>34</v>
      </c>
      <c r="C106">
        <v>1300</v>
      </c>
      <c r="D106">
        <v>15000</v>
      </c>
      <c r="E106">
        <v>-10.198135000000001</v>
      </c>
      <c r="F106">
        <v>-1525960.474768</v>
      </c>
      <c r="G106">
        <v>-1134875.5625110001</v>
      </c>
      <c r="H106">
        <v>248.599887</v>
      </c>
      <c r="I106">
        <v>123.458208</v>
      </c>
      <c r="J106">
        <v>30.089735000000001</v>
      </c>
      <c r="K106">
        <v>3.3238020000000001</v>
      </c>
      <c r="L106" t="s">
        <v>35</v>
      </c>
      <c r="M106">
        <v>100.012333</v>
      </c>
      <c r="N106" s="2">
        <v>4.1481909999999997</v>
      </c>
      <c r="O106">
        <v>95.864142000000001</v>
      </c>
      <c r="Q106">
        <v>39.730519999999999</v>
      </c>
      <c r="R106">
        <v>0.932284</v>
      </c>
      <c r="S106">
        <v>14.364948</v>
      </c>
      <c r="T106">
        <v>0.48230200000000001</v>
      </c>
      <c r="U106">
        <v>16.588456999999998</v>
      </c>
      <c r="V106">
        <v>7.8039999999999998E-2</v>
      </c>
      <c r="W106">
        <v>9.1386029999999998</v>
      </c>
      <c r="X106">
        <v>7.6780780000000002</v>
      </c>
      <c r="Y106">
        <v>6.8772120000000001</v>
      </c>
      <c r="Z106">
        <v>0.24291499999999999</v>
      </c>
      <c r="AA106">
        <v>3.8866420000000002</v>
      </c>
      <c r="AB106">
        <v>51.157425000000003</v>
      </c>
      <c r="AC106">
        <v>0</v>
      </c>
      <c r="AD106">
        <v>11.397992</v>
      </c>
      <c r="AE106">
        <v>33.308723000000001</v>
      </c>
      <c r="AF106">
        <f>(W106/40.31)/((W106/40.31)+((U106+T106*0.9)/71.85))</f>
        <v>0.48898949884438347</v>
      </c>
    </row>
    <row r="107" spans="1:33" x14ac:dyDescent="0.25">
      <c r="A107">
        <v>101</v>
      </c>
      <c r="B107" t="s">
        <v>34</v>
      </c>
      <c r="C107">
        <v>1302</v>
      </c>
      <c r="D107">
        <v>15000</v>
      </c>
      <c r="E107">
        <v>-10.179739</v>
      </c>
      <c r="F107">
        <v>-1526458.0774399999</v>
      </c>
      <c r="G107">
        <v>-1134564.7618559999</v>
      </c>
      <c r="H107">
        <v>248.79745800000001</v>
      </c>
      <c r="I107">
        <v>123.519221</v>
      </c>
      <c r="J107">
        <v>30.098158000000002</v>
      </c>
      <c r="K107">
        <v>3.322873</v>
      </c>
      <c r="L107" t="s">
        <v>35</v>
      </c>
      <c r="M107">
        <v>100.012343</v>
      </c>
      <c r="N107" s="2">
        <v>4.2852420000000002</v>
      </c>
      <c r="O107">
        <v>95.727101000000005</v>
      </c>
      <c r="Q107">
        <v>39.819412999999997</v>
      </c>
      <c r="R107">
        <v>0.93327000000000004</v>
      </c>
      <c r="S107">
        <v>14.317777</v>
      </c>
      <c r="T107">
        <v>0.48104000000000002</v>
      </c>
      <c r="U107">
        <v>16.756550000000001</v>
      </c>
      <c r="V107">
        <v>7.8173999999999993E-2</v>
      </c>
      <c r="W107">
        <v>9.2404709999999994</v>
      </c>
      <c r="X107">
        <v>7.6105219999999996</v>
      </c>
      <c r="Y107">
        <v>6.7652989999999997</v>
      </c>
      <c r="Z107">
        <v>0.23514599999999999</v>
      </c>
      <c r="AA107">
        <v>3.7623380000000002</v>
      </c>
      <c r="AB107">
        <v>51.108924999999999</v>
      </c>
      <c r="AC107">
        <v>0</v>
      </c>
      <c r="AD107">
        <v>11.384359</v>
      </c>
      <c r="AE107">
        <v>33.233817999999999</v>
      </c>
      <c r="AF107">
        <f>(W107/40.31)/((W107/40.31)+((U107+T107*0.9)/71.85))</f>
        <v>0.48932061839459828</v>
      </c>
    </row>
    <row r="108" spans="1:33" x14ac:dyDescent="0.25">
      <c r="A108">
        <v>102</v>
      </c>
      <c r="B108" t="s">
        <v>34</v>
      </c>
      <c r="C108">
        <v>1304</v>
      </c>
      <c r="D108">
        <v>15000</v>
      </c>
      <c r="E108">
        <v>-10.161390000000001</v>
      </c>
      <c r="F108">
        <v>-1526956.074915</v>
      </c>
      <c r="G108">
        <v>-1134251.642036</v>
      </c>
      <c r="H108">
        <v>248.99624800000001</v>
      </c>
      <c r="I108">
        <v>123.582131</v>
      </c>
      <c r="J108">
        <v>30.106731</v>
      </c>
      <c r="K108">
        <v>3.3219270000000001</v>
      </c>
      <c r="L108" t="s">
        <v>35</v>
      </c>
      <c r="M108">
        <v>100.012353</v>
      </c>
      <c r="N108" s="2">
        <v>4.4280759999999999</v>
      </c>
      <c r="O108">
        <v>95.584276000000003</v>
      </c>
      <c r="Q108">
        <v>39.904229999999998</v>
      </c>
      <c r="R108">
        <v>0.93391599999999997</v>
      </c>
      <c r="S108">
        <v>14.268547</v>
      </c>
      <c r="T108">
        <v>0.47980400000000001</v>
      </c>
      <c r="U108">
        <v>16.924050999999999</v>
      </c>
      <c r="V108">
        <v>7.8314999999999996E-2</v>
      </c>
      <c r="W108">
        <v>9.3428199999999997</v>
      </c>
      <c r="X108">
        <v>7.5474819999999996</v>
      </c>
      <c r="Y108">
        <v>6.6522949999999996</v>
      </c>
      <c r="Z108">
        <v>0.22756100000000001</v>
      </c>
      <c r="AA108">
        <v>3.6409790000000002</v>
      </c>
      <c r="AB108">
        <v>51.058669999999999</v>
      </c>
      <c r="AC108">
        <v>0</v>
      </c>
      <c r="AD108">
        <v>11.385</v>
      </c>
      <c r="AE108">
        <v>33.140605999999998</v>
      </c>
      <c r="AF108">
        <f>(W108/40.31)/((W108/40.31)+((U108+T108*0.9)/71.85))</f>
        <v>0.48966600345047828</v>
      </c>
    </row>
    <row r="109" spans="1:33" x14ac:dyDescent="0.25">
      <c r="A109">
        <v>103</v>
      </c>
      <c r="B109" t="s">
        <v>34</v>
      </c>
      <c r="C109">
        <v>1306</v>
      </c>
      <c r="D109">
        <v>15000</v>
      </c>
      <c r="E109">
        <v>-10.143087</v>
      </c>
      <c r="F109">
        <v>-1527454.4701769999</v>
      </c>
      <c r="G109">
        <v>-1133936.090294</v>
      </c>
      <c r="H109">
        <v>249.196327</v>
      </c>
      <c r="I109">
        <v>123.64703299999999</v>
      </c>
      <c r="J109">
        <v>30.115459000000001</v>
      </c>
      <c r="K109">
        <v>3.320964</v>
      </c>
      <c r="L109" t="s">
        <v>35</v>
      </c>
      <c r="M109">
        <v>100.012362</v>
      </c>
      <c r="N109" s="2">
        <v>4.5769719999999996</v>
      </c>
      <c r="O109">
        <v>95.435389999999998</v>
      </c>
      <c r="Q109">
        <v>39.985115</v>
      </c>
      <c r="R109">
        <v>0.93420800000000004</v>
      </c>
      <c r="S109">
        <v>14.217273</v>
      </c>
      <c r="T109">
        <v>0.47859400000000002</v>
      </c>
      <c r="U109">
        <v>17.090852000000002</v>
      </c>
      <c r="V109">
        <v>7.8464000000000006E-2</v>
      </c>
      <c r="W109">
        <v>9.4456000000000007</v>
      </c>
      <c r="X109">
        <v>7.4888940000000002</v>
      </c>
      <c r="Y109">
        <v>6.5383089999999999</v>
      </c>
      <c r="Z109">
        <v>0.22015799999999999</v>
      </c>
      <c r="AA109">
        <v>3.522532</v>
      </c>
      <c r="AB109">
        <v>51.006573000000003</v>
      </c>
      <c r="AC109">
        <v>0</v>
      </c>
      <c r="AD109">
        <v>11.400676000000001</v>
      </c>
      <c r="AE109">
        <v>33.028140999999998</v>
      </c>
      <c r="AF109">
        <f>(W109/40.31)/((W109/40.31)+((U109+T109*0.9)/71.85))</f>
        <v>0.49002542831339135</v>
      </c>
    </row>
    <row r="110" spans="1:33" x14ac:dyDescent="0.25">
      <c r="A110">
        <v>104</v>
      </c>
      <c r="B110" t="s">
        <v>34</v>
      </c>
      <c r="C110">
        <v>1308</v>
      </c>
      <c r="D110">
        <v>15000</v>
      </c>
      <c r="E110">
        <v>-10.124831</v>
      </c>
      <c r="F110">
        <v>-1527953.2664049999</v>
      </c>
      <c r="G110">
        <v>-1133617.9886099999</v>
      </c>
      <c r="H110">
        <v>249.39776599999999</v>
      </c>
      <c r="I110">
        <v>123.714028</v>
      </c>
      <c r="J110">
        <v>30.124351000000001</v>
      </c>
      <c r="K110">
        <v>3.3199839999999998</v>
      </c>
      <c r="L110" t="s">
        <v>35</v>
      </c>
      <c r="M110">
        <v>100.012372</v>
      </c>
      <c r="N110" s="2">
        <v>4.732221</v>
      </c>
      <c r="O110">
        <v>95.280151000000004</v>
      </c>
      <c r="Q110">
        <v>40.062216999999997</v>
      </c>
      <c r="R110">
        <v>0.93413400000000002</v>
      </c>
      <c r="S110">
        <v>14.163968000000001</v>
      </c>
      <c r="T110">
        <v>0.47741099999999997</v>
      </c>
      <c r="U110">
        <v>17.25684</v>
      </c>
      <c r="V110">
        <v>7.8621999999999997E-2</v>
      </c>
      <c r="W110">
        <v>9.5487579999999994</v>
      </c>
      <c r="X110">
        <v>7.4346920000000001</v>
      </c>
      <c r="Y110">
        <v>6.4234530000000003</v>
      </c>
      <c r="Z110">
        <v>0.21293599999999999</v>
      </c>
      <c r="AA110">
        <v>3.4069699999999998</v>
      </c>
      <c r="AB110">
        <v>50.952537999999997</v>
      </c>
      <c r="AC110">
        <v>0</v>
      </c>
      <c r="AD110">
        <v>11.432195</v>
      </c>
      <c r="AE110">
        <v>32.895420000000001</v>
      </c>
      <c r="AF110">
        <f>(W110/40.31)/((W110/40.31)+((U110+T110*0.9)/71.85))</f>
        <v>0.49039866355778716</v>
      </c>
    </row>
    <row r="111" spans="1:33" x14ac:dyDescent="0.25">
      <c r="A111">
        <v>105</v>
      </c>
      <c r="B111" t="s">
        <v>34</v>
      </c>
      <c r="C111">
        <v>1310</v>
      </c>
      <c r="D111">
        <v>15000</v>
      </c>
      <c r="E111">
        <v>-10.106621000000001</v>
      </c>
      <c r="F111">
        <v>-1528452.466978</v>
      </c>
      <c r="G111">
        <v>-1133297.213576</v>
      </c>
      <c r="H111">
        <v>249.60064</v>
      </c>
      <c r="I111">
        <v>123.78322</v>
      </c>
      <c r="J111">
        <v>30.133412</v>
      </c>
      <c r="K111">
        <v>3.3189860000000002</v>
      </c>
      <c r="L111" t="s">
        <v>35</v>
      </c>
      <c r="M111">
        <v>100.012381</v>
      </c>
      <c r="N111" s="2">
        <v>4.894126</v>
      </c>
      <c r="O111">
        <v>95.118255000000005</v>
      </c>
      <c r="Q111">
        <v>40.135686999999997</v>
      </c>
      <c r="R111">
        <v>0.93368099999999998</v>
      </c>
      <c r="S111">
        <v>14.108644</v>
      </c>
      <c r="T111">
        <v>0.47625600000000001</v>
      </c>
      <c r="U111">
        <v>17.421900000000001</v>
      </c>
      <c r="V111">
        <v>7.8788999999999998E-2</v>
      </c>
      <c r="W111">
        <v>9.6522400000000008</v>
      </c>
      <c r="X111">
        <v>7.3848099999999999</v>
      </c>
      <c r="Y111">
        <v>6.3078390000000004</v>
      </c>
      <c r="Z111">
        <v>0.20589099999999999</v>
      </c>
      <c r="AA111">
        <v>3.2942610000000001</v>
      </c>
      <c r="AB111">
        <v>50.896473</v>
      </c>
      <c r="AC111">
        <v>0</v>
      </c>
      <c r="AD111">
        <v>11.480408000000001</v>
      </c>
      <c r="AE111">
        <v>32.741374999999998</v>
      </c>
      <c r="AF111">
        <f>(W111/40.31)/((W111/40.31)+((U111+T111*0.9)/71.85))</f>
        <v>0.49078549990333442</v>
      </c>
    </row>
    <row r="112" spans="1:33" x14ac:dyDescent="0.25">
      <c r="A112">
        <v>106</v>
      </c>
      <c r="B112" t="s">
        <v>34</v>
      </c>
      <c r="C112">
        <v>1312</v>
      </c>
      <c r="D112">
        <v>15000</v>
      </c>
      <c r="E112">
        <v>-10.088456000000001</v>
      </c>
      <c r="F112">
        <v>-1528952.075493</v>
      </c>
      <c r="G112">
        <v>-1132973.6362970001</v>
      </c>
      <c r="H112">
        <v>249.805027</v>
      </c>
      <c r="I112">
        <v>123.854719</v>
      </c>
      <c r="J112">
        <v>30.142651000000001</v>
      </c>
      <c r="K112">
        <v>3.3179690000000002</v>
      </c>
      <c r="L112" t="s">
        <v>35</v>
      </c>
      <c r="M112">
        <v>100.01239099999999</v>
      </c>
      <c r="N112" s="2">
        <v>5.0630059999999997</v>
      </c>
      <c r="O112">
        <v>94.949385000000007</v>
      </c>
      <c r="Q112">
        <v>40.205683999999998</v>
      </c>
      <c r="R112">
        <v>0.93283799999999995</v>
      </c>
      <c r="S112">
        <v>14.051316999999999</v>
      </c>
      <c r="T112">
        <v>0.47512900000000002</v>
      </c>
      <c r="U112">
        <v>17.585909999999998</v>
      </c>
      <c r="V112">
        <v>7.8965999999999995E-2</v>
      </c>
      <c r="W112">
        <v>9.7559880000000003</v>
      </c>
      <c r="X112">
        <v>7.3391799999999998</v>
      </c>
      <c r="Y112">
        <v>6.191586</v>
      </c>
      <c r="Z112">
        <v>0.19902400000000001</v>
      </c>
      <c r="AA112">
        <v>3.1843789999999998</v>
      </c>
      <c r="AB112">
        <v>50.838272000000003</v>
      </c>
      <c r="AC112">
        <v>0</v>
      </c>
      <c r="AD112">
        <v>11.546215999999999</v>
      </c>
      <c r="AE112">
        <v>32.564895999999997</v>
      </c>
      <c r="AF112">
        <f>(W112/40.31)/((W112/40.31)+((U112+T112*0.9)/71.85))</f>
        <v>0.49118575322924507</v>
      </c>
    </row>
    <row r="113" spans="1:32" x14ac:dyDescent="0.25">
      <c r="A113">
        <v>107</v>
      </c>
      <c r="B113" t="s">
        <v>34</v>
      </c>
      <c r="C113">
        <v>1314</v>
      </c>
      <c r="D113">
        <v>15000</v>
      </c>
      <c r="E113">
        <v>-10.070338</v>
      </c>
      <c r="F113">
        <v>-1529452.0957800001</v>
      </c>
      <c r="G113">
        <v>-1132647.1222969999</v>
      </c>
      <c r="H113">
        <v>250.011009</v>
      </c>
      <c r="I113">
        <v>123.92863800000001</v>
      </c>
      <c r="J113">
        <v>30.152073000000001</v>
      </c>
      <c r="K113">
        <v>3.3169330000000001</v>
      </c>
      <c r="L113" t="s">
        <v>35</v>
      </c>
      <c r="M113">
        <v>100.0124</v>
      </c>
      <c r="N113" s="2">
        <v>5.2391889999999997</v>
      </c>
      <c r="O113">
        <v>94.773212000000001</v>
      </c>
      <c r="Q113">
        <v>40.272368</v>
      </c>
      <c r="R113">
        <v>0.93159199999999998</v>
      </c>
      <c r="S113">
        <v>13.992000000000001</v>
      </c>
      <c r="T113">
        <v>0.47403099999999998</v>
      </c>
      <c r="U113">
        <v>17.748745</v>
      </c>
      <c r="V113">
        <v>7.9152E-2</v>
      </c>
      <c r="W113">
        <v>9.8599449999999997</v>
      </c>
      <c r="X113">
        <v>7.2977309999999997</v>
      </c>
      <c r="Y113">
        <v>6.0748100000000003</v>
      </c>
      <c r="Z113">
        <v>0.192331</v>
      </c>
      <c r="AA113">
        <v>3.0772949999999999</v>
      </c>
      <c r="AB113">
        <v>50.777836000000001</v>
      </c>
      <c r="AC113">
        <v>0</v>
      </c>
      <c r="AD113">
        <v>11.630565000000001</v>
      </c>
      <c r="AE113">
        <v>32.364811000000003</v>
      </c>
      <c r="AF113">
        <f>(W113/40.31)/((W113/40.31)+((U113+T113*0.9)/71.85))</f>
        <v>0.49159931197475965</v>
      </c>
    </row>
    <row r="114" spans="1:32" x14ac:dyDescent="0.25">
      <c r="A114">
        <v>108</v>
      </c>
      <c r="B114" t="s">
        <v>34</v>
      </c>
      <c r="C114">
        <v>1316</v>
      </c>
      <c r="D114">
        <v>15000</v>
      </c>
      <c r="E114">
        <v>-10.052265</v>
      </c>
      <c r="F114">
        <v>-1529952.5319079999</v>
      </c>
      <c r="G114">
        <v>-1132317.5314489999</v>
      </c>
      <c r="H114">
        <v>250.218671</v>
      </c>
      <c r="I114">
        <v>124.005095</v>
      </c>
      <c r="J114">
        <v>30.161687000000001</v>
      </c>
      <c r="K114">
        <v>3.3158759999999998</v>
      </c>
      <c r="L114" t="s">
        <v>35</v>
      </c>
      <c r="M114">
        <v>100.01241</v>
      </c>
      <c r="N114" s="2">
        <v>5.4230169999999998</v>
      </c>
      <c r="O114">
        <v>94.589393999999999</v>
      </c>
      <c r="Q114">
        <v>40.335903000000002</v>
      </c>
      <c r="R114">
        <v>0.92993400000000004</v>
      </c>
      <c r="S114">
        <v>13.930706000000001</v>
      </c>
      <c r="T114">
        <v>0.47296199999999999</v>
      </c>
      <c r="U114">
        <v>17.910278999999999</v>
      </c>
      <c r="V114">
        <v>7.9349000000000003E-2</v>
      </c>
      <c r="W114">
        <v>9.9640500000000003</v>
      </c>
      <c r="X114">
        <v>7.2603929999999997</v>
      </c>
      <c r="Y114">
        <v>5.9576310000000001</v>
      </c>
      <c r="Z114">
        <v>0.185811</v>
      </c>
      <c r="AA114">
        <v>2.972982</v>
      </c>
      <c r="AB114">
        <v>50.715057000000002</v>
      </c>
      <c r="AC114">
        <v>0</v>
      </c>
      <c r="AD114">
        <v>11.734448</v>
      </c>
      <c r="AE114">
        <v>32.139888999999997</v>
      </c>
      <c r="AF114">
        <f>(W114/40.31)/((W114/40.31)+((U114+T114*0.9)/71.85))</f>
        <v>0.49202600633178367</v>
      </c>
    </row>
    <row r="115" spans="1:32" x14ac:dyDescent="0.25">
      <c r="A115">
        <v>109</v>
      </c>
      <c r="B115" t="s">
        <v>34</v>
      </c>
      <c r="C115">
        <v>1318</v>
      </c>
      <c r="D115">
        <v>15000</v>
      </c>
      <c r="E115">
        <v>-10.034236999999999</v>
      </c>
      <c r="F115">
        <v>-1530453.388209</v>
      </c>
      <c r="G115">
        <v>-1131984.717918</v>
      </c>
      <c r="H115">
        <v>250.428099</v>
      </c>
      <c r="I115">
        <v>124.08421199999999</v>
      </c>
      <c r="J115">
        <v>30.171502</v>
      </c>
      <c r="K115">
        <v>3.3147980000000001</v>
      </c>
      <c r="L115" t="s">
        <v>35</v>
      </c>
      <c r="M115">
        <v>100.01242000000001</v>
      </c>
      <c r="N115" s="2">
        <v>5.6148439999999997</v>
      </c>
      <c r="O115">
        <v>94.397576000000001</v>
      </c>
      <c r="Q115">
        <v>40.396456000000001</v>
      </c>
      <c r="R115">
        <v>0.92785099999999998</v>
      </c>
      <c r="S115">
        <v>13.867448</v>
      </c>
      <c r="T115">
        <v>0.47192400000000001</v>
      </c>
      <c r="U115">
        <v>18.07038</v>
      </c>
      <c r="V115">
        <v>7.9557000000000003E-2</v>
      </c>
      <c r="W115">
        <v>10.068244999999999</v>
      </c>
      <c r="X115">
        <v>7.2270909999999997</v>
      </c>
      <c r="Y115">
        <v>5.8401709999999998</v>
      </c>
      <c r="Z115">
        <v>0.17946300000000001</v>
      </c>
      <c r="AA115">
        <v>2.8714119999999999</v>
      </c>
      <c r="AB115">
        <v>50.649818000000003</v>
      </c>
      <c r="AC115">
        <v>0</v>
      </c>
      <c r="AD115">
        <v>11.858907</v>
      </c>
      <c r="AE115">
        <v>31.888850999999999</v>
      </c>
      <c r="AF115">
        <f>(W115/40.31)/((W115/40.31)+((U115+T115*0.9)/71.85))</f>
        <v>0.4924658171961106</v>
      </c>
    </row>
    <row r="116" spans="1:32" x14ac:dyDescent="0.25">
      <c r="A116">
        <v>110</v>
      </c>
      <c r="B116" t="s">
        <v>34</v>
      </c>
      <c r="C116">
        <v>1320</v>
      </c>
      <c r="D116">
        <v>15000</v>
      </c>
      <c r="E116">
        <v>-10.016254999999999</v>
      </c>
      <c r="F116">
        <v>-1530954.6692860001</v>
      </c>
      <c r="G116">
        <v>-1131648.5301369999</v>
      </c>
      <c r="H116">
        <v>250.639387</v>
      </c>
      <c r="I116">
        <v>124.166115</v>
      </c>
      <c r="J116">
        <v>30.181524</v>
      </c>
      <c r="K116">
        <v>3.3136969999999999</v>
      </c>
      <c r="L116" t="s">
        <v>35</v>
      </c>
      <c r="M116">
        <v>100.01242999999999</v>
      </c>
      <c r="N116" s="2">
        <v>5.8150370000000002</v>
      </c>
      <c r="O116">
        <v>94.197393000000005</v>
      </c>
      <c r="Q116">
        <v>40.454199000000003</v>
      </c>
      <c r="R116">
        <v>0.92533600000000005</v>
      </c>
      <c r="S116">
        <v>13.802239</v>
      </c>
      <c r="T116">
        <v>0.47091699999999997</v>
      </c>
      <c r="U116">
        <v>18.228916999999999</v>
      </c>
      <c r="V116">
        <v>7.9777000000000001E-2</v>
      </c>
      <c r="W116">
        <v>10.172469</v>
      </c>
      <c r="X116">
        <v>7.1977520000000004</v>
      </c>
      <c r="Y116">
        <v>5.7225520000000003</v>
      </c>
      <c r="Z116">
        <v>0.17328499999999999</v>
      </c>
      <c r="AA116">
        <v>2.7725590000000002</v>
      </c>
      <c r="AB116">
        <v>50.582008000000002</v>
      </c>
      <c r="AC116">
        <v>0</v>
      </c>
      <c r="AD116">
        <v>12.005031000000001</v>
      </c>
      <c r="AE116">
        <v>31.610353</v>
      </c>
      <c r="AF116">
        <f>(W116/40.31)/((W116/40.31)+((U116+T116*0.9)/71.85))</f>
        <v>0.49291867685512009</v>
      </c>
    </row>
    <row r="117" spans="1:32" x14ac:dyDescent="0.25">
      <c r="A117">
        <v>111</v>
      </c>
      <c r="B117" t="s">
        <v>34</v>
      </c>
      <c r="C117">
        <v>1322</v>
      </c>
      <c r="D117">
        <v>15000</v>
      </c>
      <c r="E117">
        <v>-9.9983179999999994</v>
      </c>
      <c r="F117">
        <v>-1531456.3800339999</v>
      </c>
      <c r="G117">
        <v>-1131308.810794</v>
      </c>
      <c r="H117">
        <v>250.85262800000001</v>
      </c>
      <c r="I117">
        <v>124.250935</v>
      </c>
      <c r="J117">
        <v>30.191762000000001</v>
      </c>
      <c r="K117">
        <v>3.3125740000000001</v>
      </c>
      <c r="L117" t="s">
        <v>35</v>
      </c>
      <c r="M117">
        <v>100.01244</v>
      </c>
      <c r="N117" s="2">
        <v>6.0239750000000001</v>
      </c>
      <c r="O117">
        <v>93.988466000000003</v>
      </c>
      <c r="Q117">
        <v>40.509303000000003</v>
      </c>
      <c r="R117">
        <v>0.92237800000000003</v>
      </c>
      <c r="S117">
        <v>13.73509</v>
      </c>
      <c r="T117">
        <v>0.46994200000000003</v>
      </c>
      <c r="U117">
        <v>18.385755</v>
      </c>
      <c r="V117">
        <v>8.0009999999999998E-2</v>
      </c>
      <c r="W117">
        <v>10.276661000000001</v>
      </c>
      <c r="X117">
        <v>7.1722970000000004</v>
      </c>
      <c r="Y117">
        <v>5.604895</v>
      </c>
      <c r="Z117">
        <v>0.16727500000000001</v>
      </c>
      <c r="AA117">
        <v>2.6763940000000002</v>
      </c>
      <c r="AB117">
        <v>50.511513000000001</v>
      </c>
      <c r="AC117">
        <v>0</v>
      </c>
      <c r="AD117">
        <v>12.173952999999999</v>
      </c>
      <c r="AE117">
        <v>31.303000999999998</v>
      </c>
      <c r="AF117">
        <f>(W117/40.31)/((W117/40.31)+((U117+T117*0.9)/71.85))</f>
        <v>0.49338457596164947</v>
      </c>
    </row>
    <row r="118" spans="1:32" x14ac:dyDescent="0.25">
      <c r="A118">
        <v>112</v>
      </c>
      <c r="B118" t="s">
        <v>34</v>
      </c>
      <c r="C118">
        <v>1324</v>
      </c>
      <c r="D118">
        <v>15000</v>
      </c>
      <c r="E118">
        <v>-9.9804250000000003</v>
      </c>
      <c r="F118">
        <v>-1531958.525653</v>
      </c>
      <c r="G118">
        <v>-1130965.396858</v>
      </c>
      <c r="H118">
        <v>251.06791999999999</v>
      </c>
      <c r="I118">
        <v>124.338808</v>
      </c>
      <c r="J118">
        <v>30.202226</v>
      </c>
      <c r="K118">
        <v>3.311426</v>
      </c>
      <c r="L118" t="s">
        <v>35</v>
      </c>
      <c r="M118">
        <v>100.012451</v>
      </c>
      <c r="N118" s="2">
        <v>6.2420470000000003</v>
      </c>
      <c r="O118">
        <v>93.770403999999999</v>
      </c>
      <c r="Q118">
        <v>40.561945000000001</v>
      </c>
      <c r="R118">
        <v>0.91896999999999995</v>
      </c>
      <c r="S118">
        <v>13.666014000000001</v>
      </c>
      <c r="T118">
        <v>0.468999</v>
      </c>
      <c r="U118">
        <v>18.540759999999999</v>
      </c>
      <c r="V118">
        <v>8.0255999999999994E-2</v>
      </c>
      <c r="W118">
        <v>10.380761</v>
      </c>
      <c r="X118">
        <v>7.1506499999999997</v>
      </c>
      <c r="Y118">
        <v>5.487323</v>
      </c>
      <c r="Z118">
        <v>0.16143099999999999</v>
      </c>
      <c r="AA118">
        <v>2.5828920000000002</v>
      </c>
      <c r="AB118">
        <v>50.438198</v>
      </c>
      <c r="AC118">
        <v>0</v>
      </c>
      <c r="AD118">
        <v>12.366858000000001</v>
      </c>
      <c r="AE118">
        <v>30.965347000000001</v>
      </c>
      <c r="AF118">
        <f>(W118/40.31)/((W118/40.31)+((U118+T118*0.9)/71.85))</f>
        <v>0.49386354378784852</v>
      </c>
    </row>
    <row r="119" spans="1:32" x14ac:dyDescent="0.25">
      <c r="A119">
        <v>113</v>
      </c>
      <c r="B119" t="s">
        <v>34</v>
      </c>
      <c r="C119">
        <v>1326</v>
      </c>
      <c r="D119">
        <v>15000</v>
      </c>
      <c r="E119">
        <v>-9.9625780000000006</v>
      </c>
      <c r="F119">
        <v>-1532461.111666</v>
      </c>
      <c r="G119">
        <v>-1130618.119623</v>
      </c>
      <c r="H119">
        <v>251.28536500000001</v>
      </c>
      <c r="I119">
        <v>124.42987100000001</v>
      </c>
      <c r="J119">
        <v>30.212924000000001</v>
      </c>
      <c r="K119">
        <v>3.310254</v>
      </c>
      <c r="L119" t="s">
        <v>35</v>
      </c>
      <c r="M119">
        <v>100.012462</v>
      </c>
      <c r="N119" s="2">
        <v>6.4696540000000002</v>
      </c>
      <c r="O119">
        <v>93.542807999999994</v>
      </c>
      <c r="Q119">
        <v>40.612299999999998</v>
      </c>
      <c r="R119">
        <v>0.91510599999999998</v>
      </c>
      <c r="S119">
        <v>13.59502</v>
      </c>
      <c r="T119">
        <v>0.46808899999999998</v>
      </c>
      <c r="U119">
        <v>18.693795000000001</v>
      </c>
      <c r="V119">
        <v>8.0517000000000005E-2</v>
      </c>
      <c r="W119">
        <v>10.48471</v>
      </c>
      <c r="X119">
        <v>7.1327290000000003</v>
      </c>
      <c r="Y119">
        <v>5.3699589999999997</v>
      </c>
      <c r="Z119">
        <v>0.155751</v>
      </c>
      <c r="AA119">
        <v>2.4920239999999998</v>
      </c>
      <c r="AB119">
        <v>50.36195</v>
      </c>
      <c r="AC119">
        <v>0</v>
      </c>
      <c r="AD119">
        <v>12.584968999999999</v>
      </c>
      <c r="AE119">
        <v>30.595887999999999</v>
      </c>
      <c r="AF119">
        <f>(W119/40.31)/((W119/40.31)+((U119+T119*0.9)/71.85))</f>
        <v>0.49435567598091507</v>
      </c>
    </row>
    <row r="120" spans="1:32" x14ac:dyDescent="0.25">
      <c r="A120">
        <v>114</v>
      </c>
      <c r="B120" t="s">
        <v>34</v>
      </c>
      <c r="C120">
        <v>1328</v>
      </c>
      <c r="D120">
        <v>15000</v>
      </c>
      <c r="E120">
        <v>-9.9447749999999999</v>
      </c>
      <c r="F120">
        <v>-1532964.1439350001</v>
      </c>
      <c r="G120">
        <v>-1130266.804791</v>
      </c>
      <c r="H120">
        <v>251.50506799999999</v>
      </c>
      <c r="I120">
        <v>124.52426800000001</v>
      </c>
      <c r="J120">
        <v>30.223866000000001</v>
      </c>
      <c r="K120">
        <v>3.309056</v>
      </c>
      <c r="L120" t="s">
        <v>35</v>
      </c>
      <c r="M120">
        <v>100.012473</v>
      </c>
      <c r="N120" s="2">
        <v>6.7072070000000004</v>
      </c>
      <c r="O120">
        <v>93.305266000000003</v>
      </c>
      <c r="Q120">
        <v>40.660545999999997</v>
      </c>
      <c r="R120">
        <v>0.91077900000000001</v>
      </c>
      <c r="S120">
        <v>13.522118000000001</v>
      </c>
      <c r="T120">
        <v>0.46721299999999999</v>
      </c>
      <c r="U120">
        <v>18.844726000000001</v>
      </c>
      <c r="V120">
        <v>8.0793000000000004E-2</v>
      </c>
      <c r="W120">
        <v>10.588449000000001</v>
      </c>
      <c r="X120">
        <v>7.1184529999999997</v>
      </c>
      <c r="Y120">
        <v>5.2529250000000003</v>
      </c>
      <c r="Z120">
        <v>0.15023500000000001</v>
      </c>
      <c r="AA120">
        <v>2.403762</v>
      </c>
      <c r="AB120">
        <v>50.282639000000003</v>
      </c>
      <c r="AC120">
        <v>0</v>
      </c>
      <c r="AD120">
        <v>12.829556</v>
      </c>
      <c r="AE120">
        <v>30.193072999999998</v>
      </c>
      <c r="AF120">
        <f>(W120/40.31)/((W120/40.31)+((U120+T120*0.9)/71.85))</f>
        <v>0.49486104272858389</v>
      </c>
    </row>
    <row r="121" spans="1:32" x14ac:dyDescent="0.25">
      <c r="A121">
        <v>115</v>
      </c>
      <c r="B121" t="s">
        <v>34</v>
      </c>
      <c r="C121">
        <v>1330</v>
      </c>
      <c r="D121">
        <v>15000</v>
      </c>
      <c r="E121">
        <v>-9.9270160000000001</v>
      </c>
      <c r="F121">
        <v>-1533467.6286810001</v>
      </c>
      <c r="G121">
        <v>-1129911.2725859999</v>
      </c>
      <c r="H121">
        <v>251.727135</v>
      </c>
      <c r="I121">
        <v>124.62214400000001</v>
      </c>
      <c r="J121">
        <v>30.235060000000001</v>
      </c>
      <c r="K121">
        <v>3.3078319999999999</v>
      </c>
      <c r="L121" t="s">
        <v>35</v>
      </c>
      <c r="M121">
        <v>100.012485</v>
      </c>
      <c r="N121" s="2">
        <v>6.9551280000000002</v>
      </c>
      <c r="O121">
        <v>93.057356999999996</v>
      </c>
      <c r="Q121">
        <v>40.706859999999999</v>
      </c>
      <c r="R121">
        <v>0.90598800000000002</v>
      </c>
      <c r="S121">
        <v>13.447316000000001</v>
      </c>
      <c r="T121">
        <v>0.46637200000000001</v>
      </c>
      <c r="U121">
        <v>18.993417999999998</v>
      </c>
      <c r="V121">
        <v>8.1085000000000004E-2</v>
      </c>
      <c r="W121">
        <v>10.691922999999999</v>
      </c>
      <c r="X121">
        <v>7.1077399999999997</v>
      </c>
      <c r="Y121">
        <v>5.1363399999999997</v>
      </c>
      <c r="Z121">
        <v>0.14488000000000001</v>
      </c>
      <c r="AA121">
        <v>2.3180779999999999</v>
      </c>
      <c r="AB121">
        <v>50.200127000000002</v>
      </c>
      <c r="AC121">
        <v>0</v>
      </c>
      <c r="AD121">
        <v>13.101929</v>
      </c>
      <c r="AE121">
        <v>29.755300999999999</v>
      </c>
      <c r="AF121">
        <f>(W121/40.31)/((W121/40.31)+((U121+T121*0.9)/71.85))</f>
        <v>0.49537983557079962</v>
      </c>
    </row>
    <row r="122" spans="1:32" x14ac:dyDescent="0.25">
      <c r="A122">
        <v>116</v>
      </c>
      <c r="B122" t="s">
        <v>34</v>
      </c>
      <c r="C122">
        <v>1332</v>
      </c>
      <c r="D122">
        <v>15000</v>
      </c>
      <c r="E122">
        <v>-9.9093020000000003</v>
      </c>
      <c r="F122">
        <v>-1533971.572501</v>
      </c>
      <c r="G122">
        <v>-1129551.3379019999</v>
      </c>
      <c r="H122">
        <v>251.95167699999999</v>
      </c>
      <c r="I122">
        <v>124.72364899999999</v>
      </c>
      <c r="J122">
        <v>30.246516</v>
      </c>
      <c r="K122">
        <v>3.3065790000000002</v>
      </c>
      <c r="L122" t="s">
        <v>35</v>
      </c>
      <c r="M122">
        <v>100.012497</v>
      </c>
      <c r="N122" s="2">
        <v>7.2138450000000001</v>
      </c>
      <c r="O122">
        <v>92.798653000000002</v>
      </c>
      <c r="Q122">
        <v>40.751423000000003</v>
      </c>
      <c r="R122">
        <v>0.90072799999999997</v>
      </c>
      <c r="S122">
        <v>13.370621</v>
      </c>
      <c r="T122">
        <v>0.46556599999999998</v>
      </c>
      <c r="U122">
        <v>19.139738000000001</v>
      </c>
      <c r="V122">
        <v>8.1393999999999994E-2</v>
      </c>
      <c r="W122">
        <v>10.795076999999999</v>
      </c>
      <c r="X122">
        <v>7.1005029999999998</v>
      </c>
      <c r="Y122">
        <v>5.0203239999999996</v>
      </c>
      <c r="Z122">
        <v>0.139684</v>
      </c>
      <c r="AA122">
        <v>2.2349429999999999</v>
      </c>
      <c r="AB122">
        <v>50.114285000000002</v>
      </c>
      <c r="AC122">
        <v>0</v>
      </c>
      <c r="AD122">
        <v>13.403437</v>
      </c>
      <c r="AE122">
        <v>29.280930000000001</v>
      </c>
      <c r="AF122">
        <f>(W122/40.31)/((W122/40.31)+((U122+T122*0.9)/71.85))</f>
        <v>0.49591224321951921</v>
      </c>
    </row>
    <row r="123" spans="1:32" x14ac:dyDescent="0.25">
      <c r="A123">
        <v>117</v>
      </c>
      <c r="B123" t="s">
        <v>34</v>
      </c>
      <c r="C123">
        <v>1334</v>
      </c>
      <c r="D123">
        <v>15000</v>
      </c>
      <c r="E123">
        <v>-9.8916319999999995</v>
      </c>
      <c r="F123">
        <v>-1534475.982385</v>
      </c>
      <c r="G123">
        <v>-1129186.8104920001</v>
      </c>
      <c r="H123">
        <v>252.178808</v>
      </c>
      <c r="I123">
        <v>124.828936</v>
      </c>
      <c r="J123">
        <v>30.258244999999999</v>
      </c>
      <c r="K123">
        <v>3.3052980000000001</v>
      </c>
      <c r="L123" t="s">
        <v>35</v>
      </c>
      <c r="M123">
        <v>100.012511</v>
      </c>
      <c r="N123" s="2">
        <v>7.4837949999999998</v>
      </c>
      <c r="O123">
        <v>92.528716000000003</v>
      </c>
      <c r="Q123">
        <v>40.794409999999999</v>
      </c>
      <c r="R123">
        <v>0.89499899999999999</v>
      </c>
      <c r="S123">
        <v>13.292037000000001</v>
      </c>
      <c r="T123">
        <v>0.46479500000000001</v>
      </c>
      <c r="U123">
        <v>19.283555</v>
      </c>
      <c r="V123">
        <v>8.1721000000000002E-2</v>
      </c>
      <c r="W123">
        <v>10.89786</v>
      </c>
      <c r="X123">
        <v>7.0966579999999997</v>
      </c>
      <c r="Y123">
        <v>4.9049940000000003</v>
      </c>
      <c r="Z123">
        <v>0.13464499999999999</v>
      </c>
      <c r="AA123">
        <v>2.1543260000000002</v>
      </c>
      <c r="AB123">
        <v>50.024979000000002</v>
      </c>
      <c r="AC123">
        <v>0</v>
      </c>
      <c r="AD123">
        <v>13.735461000000001</v>
      </c>
      <c r="AE123">
        <v>28.768276</v>
      </c>
      <c r="AF123">
        <f>(W123/40.31)/((W123/40.31)+((U123+T123*0.9)/71.85))</f>
        <v>0.49645853287585401</v>
      </c>
    </row>
    <row r="124" spans="1:32" x14ac:dyDescent="0.25">
      <c r="A124">
        <v>118</v>
      </c>
      <c r="B124" t="s">
        <v>34</v>
      </c>
      <c r="C124">
        <v>1336</v>
      </c>
      <c r="D124">
        <v>15000</v>
      </c>
      <c r="E124">
        <v>-9.8740059999999996</v>
      </c>
      <c r="F124">
        <v>-1534980.865734</v>
      </c>
      <c r="G124">
        <v>-1128817.4951909999</v>
      </c>
      <c r="H124">
        <v>252.40864500000001</v>
      </c>
      <c r="I124">
        <v>124.938158</v>
      </c>
      <c r="J124">
        <v>30.270254999999999</v>
      </c>
      <c r="K124">
        <v>3.3039869999999998</v>
      </c>
      <c r="L124" t="s">
        <v>35</v>
      </c>
      <c r="M124">
        <v>100.012524</v>
      </c>
      <c r="N124" s="2">
        <v>7.765422</v>
      </c>
      <c r="O124">
        <v>92.247101999999998</v>
      </c>
      <c r="Q124">
        <v>40.835997999999996</v>
      </c>
      <c r="R124">
        <v>0.88880099999999995</v>
      </c>
      <c r="S124">
        <v>13.21157</v>
      </c>
      <c r="T124">
        <v>0.46406199999999997</v>
      </c>
      <c r="U124">
        <v>19.42474</v>
      </c>
      <c r="V124">
        <v>8.2068000000000002E-2</v>
      </c>
      <c r="W124">
        <v>11.000223999999999</v>
      </c>
      <c r="X124">
        <v>7.0961160000000003</v>
      </c>
      <c r="Y124">
        <v>4.7904640000000001</v>
      </c>
      <c r="Z124">
        <v>0.12976199999999999</v>
      </c>
      <c r="AA124">
        <v>2.0761949999999998</v>
      </c>
      <c r="AB124">
        <v>49.932063999999997</v>
      </c>
      <c r="AC124">
        <v>0</v>
      </c>
      <c r="AD124">
        <v>14.099417000000001</v>
      </c>
      <c r="AE124">
        <v>28.215620000000001</v>
      </c>
      <c r="AF124">
        <f>(W124/40.31)/((W124/40.31)+((U124+T124*0.9)/71.85))</f>
        <v>0.4970189905735784</v>
      </c>
    </row>
    <row r="125" spans="1:32" x14ac:dyDescent="0.25">
      <c r="A125">
        <v>119</v>
      </c>
      <c r="B125" t="s">
        <v>34</v>
      </c>
      <c r="C125">
        <v>1338</v>
      </c>
      <c r="D125">
        <v>15000</v>
      </c>
      <c r="E125">
        <v>-9.8564229999999995</v>
      </c>
      <c r="F125">
        <v>-1535486.2303820001</v>
      </c>
      <c r="G125">
        <v>-1128443.192184</v>
      </c>
      <c r="H125">
        <v>252.64130499999999</v>
      </c>
      <c r="I125">
        <v>125.051474</v>
      </c>
      <c r="J125">
        <v>30.282558000000002</v>
      </c>
      <c r="K125">
        <v>3.3026450000000001</v>
      </c>
      <c r="L125" t="s">
        <v>35</v>
      </c>
      <c r="M125">
        <v>100.012539</v>
      </c>
      <c r="N125" s="2">
        <v>8.0591749999999998</v>
      </c>
      <c r="O125">
        <v>91.953363999999993</v>
      </c>
      <c r="Q125">
        <v>40.876364000000002</v>
      </c>
      <c r="R125">
        <v>0.88213799999999998</v>
      </c>
      <c r="S125">
        <v>13.129222</v>
      </c>
      <c r="T125">
        <v>0.46336500000000003</v>
      </c>
      <c r="U125">
        <v>19.563167</v>
      </c>
      <c r="V125">
        <v>8.2435999999999995E-2</v>
      </c>
      <c r="W125">
        <v>11.102124</v>
      </c>
      <c r="X125">
        <v>7.0987879999999999</v>
      </c>
      <c r="Y125">
        <v>4.676844</v>
      </c>
      <c r="Z125">
        <v>0.125032</v>
      </c>
      <c r="AA125">
        <v>2.0005190000000002</v>
      </c>
      <c r="AB125">
        <v>49.835402999999999</v>
      </c>
      <c r="AC125">
        <v>0</v>
      </c>
      <c r="AD125">
        <v>14.496744</v>
      </c>
      <c r="AE125">
        <v>27.621213999999998</v>
      </c>
      <c r="AF125">
        <f>(W125/40.31)/((W125/40.31)+((U125+T125*0.9)/71.85))</f>
        <v>0.4975939982716196</v>
      </c>
    </row>
    <row r="126" spans="1:32" x14ac:dyDescent="0.25">
      <c r="A126">
        <v>120</v>
      </c>
      <c r="B126" t="s">
        <v>34</v>
      </c>
      <c r="C126">
        <v>1340</v>
      </c>
      <c r="D126">
        <v>15000</v>
      </c>
      <c r="E126">
        <v>-9.8388840000000002</v>
      </c>
      <c r="F126">
        <v>-1535992.08461</v>
      </c>
      <c r="G126">
        <v>-1128063.697313</v>
      </c>
      <c r="H126">
        <v>252.87691000000001</v>
      </c>
      <c r="I126">
        <v>125.169042</v>
      </c>
      <c r="J126">
        <v>30.295162999999999</v>
      </c>
      <c r="K126">
        <v>3.3012709999999998</v>
      </c>
      <c r="L126" t="s">
        <v>35</v>
      </c>
      <c r="M126">
        <v>100.01255500000001</v>
      </c>
      <c r="N126" s="2">
        <v>8.3655059999999999</v>
      </c>
      <c r="O126">
        <v>91.647048999999996</v>
      </c>
      <c r="Q126">
        <v>40.915678999999997</v>
      </c>
      <c r="R126">
        <v>0.87501300000000004</v>
      </c>
      <c r="S126">
        <v>13.044993</v>
      </c>
      <c r="T126">
        <v>0.46270600000000001</v>
      </c>
      <c r="U126">
        <v>19.698715</v>
      </c>
      <c r="V126">
        <v>8.2825999999999997E-2</v>
      </c>
      <c r="W126">
        <v>11.203519</v>
      </c>
      <c r="X126">
        <v>7.1045860000000003</v>
      </c>
      <c r="Y126">
        <v>4.5642449999999997</v>
      </c>
      <c r="Z126">
        <v>0.12045400000000001</v>
      </c>
      <c r="AA126">
        <v>1.9272629999999999</v>
      </c>
      <c r="AB126">
        <v>49.734856000000001</v>
      </c>
      <c r="AC126">
        <v>0</v>
      </c>
      <c r="AD126">
        <v>14.928905</v>
      </c>
      <c r="AE126">
        <v>26.983288000000002</v>
      </c>
      <c r="AF126">
        <f>(W126/40.31)/((W126/40.31)+((U126+T126*0.9)/71.85))</f>
        <v>0.49818392758502988</v>
      </c>
    </row>
    <row r="127" spans="1:32" x14ac:dyDescent="0.25">
      <c r="A127">
        <v>121</v>
      </c>
      <c r="B127" t="s">
        <v>34</v>
      </c>
      <c r="C127">
        <v>1342</v>
      </c>
      <c r="D127">
        <v>15000</v>
      </c>
      <c r="E127">
        <v>-9.8213889999999999</v>
      </c>
      <c r="F127">
        <v>-1536498.437165</v>
      </c>
      <c r="G127">
        <v>-1127678.8024170001</v>
      </c>
      <c r="H127">
        <v>253.11558400000001</v>
      </c>
      <c r="I127">
        <v>125.291022</v>
      </c>
      <c r="J127">
        <v>30.30808</v>
      </c>
      <c r="K127">
        <v>3.299865</v>
      </c>
      <c r="L127" t="s">
        <v>35</v>
      </c>
      <c r="M127">
        <v>100.01257200000001</v>
      </c>
      <c r="N127" s="2">
        <v>8.6848690000000008</v>
      </c>
      <c r="O127">
        <v>91.327703</v>
      </c>
      <c r="Q127">
        <v>40.954113999999997</v>
      </c>
      <c r="R127">
        <v>0.86743300000000001</v>
      </c>
      <c r="S127">
        <v>12.958885</v>
      </c>
      <c r="T127">
        <v>0.46208500000000002</v>
      </c>
      <c r="U127">
        <v>19.831264999999998</v>
      </c>
      <c r="V127">
        <v>8.3239999999999995E-2</v>
      </c>
      <c r="W127">
        <v>11.304372000000001</v>
      </c>
      <c r="X127">
        <v>7.1134180000000002</v>
      </c>
      <c r="Y127">
        <v>4.452769</v>
      </c>
      <c r="Z127">
        <v>0.116025</v>
      </c>
      <c r="AA127">
        <v>1.856393</v>
      </c>
      <c r="AB127">
        <v>49.630279999999999</v>
      </c>
      <c r="AC127">
        <v>0</v>
      </c>
      <c r="AD127">
        <v>15.397373999999999</v>
      </c>
      <c r="AE127">
        <v>26.300051</v>
      </c>
      <c r="AF127">
        <f>(W127/40.31)/((W127/40.31)+((U127+T127*0.9)/71.85))</f>
        <v>0.49878924382825812</v>
      </c>
    </row>
    <row r="128" spans="1:32" x14ac:dyDescent="0.25">
      <c r="A128">
        <v>122</v>
      </c>
      <c r="B128" t="s">
        <v>34</v>
      </c>
      <c r="C128">
        <v>1344</v>
      </c>
      <c r="D128">
        <v>15000</v>
      </c>
      <c r="E128">
        <v>-9.8039369999999995</v>
      </c>
      <c r="F128">
        <v>-1537005.2972800001</v>
      </c>
      <c r="G128">
        <v>-1127288.2957200001</v>
      </c>
      <c r="H128">
        <v>253.357451</v>
      </c>
      <c r="I128">
        <v>125.417576</v>
      </c>
      <c r="J128">
        <v>30.321318999999999</v>
      </c>
      <c r="K128">
        <v>3.2984249999999999</v>
      </c>
      <c r="L128" t="s">
        <v>35</v>
      </c>
      <c r="M128">
        <v>100.01259</v>
      </c>
      <c r="N128" s="2">
        <v>9.0177200000000006</v>
      </c>
      <c r="O128">
        <v>90.994870000000006</v>
      </c>
      <c r="Q128">
        <v>40.991835999999999</v>
      </c>
      <c r="R128">
        <v>0.85940499999999997</v>
      </c>
      <c r="S128">
        <v>12.870895000000001</v>
      </c>
      <c r="T128">
        <v>0.461503</v>
      </c>
      <c r="U128">
        <v>19.960705000000001</v>
      </c>
      <c r="V128">
        <v>8.3678000000000002E-2</v>
      </c>
      <c r="W128">
        <v>11.404653</v>
      </c>
      <c r="X128">
        <v>7.1251930000000003</v>
      </c>
      <c r="Y128">
        <v>4.342517</v>
      </c>
      <c r="Z128">
        <v>0.11174199999999999</v>
      </c>
      <c r="AA128">
        <v>1.7878719999999999</v>
      </c>
      <c r="AB128">
        <v>49.521523000000002</v>
      </c>
      <c r="AC128">
        <v>0</v>
      </c>
      <c r="AD128">
        <v>15.903639999999999</v>
      </c>
      <c r="AE128">
        <v>25.569707999999999</v>
      </c>
      <c r="AF128">
        <f>(W128/40.31)/((W128/40.31)+((U128+T128*0.9)/71.85))</f>
        <v>0.49941047426852053</v>
      </c>
    </row>
    <row r="129" spans="1:32" x14ac:dyDescent="0.25">
      <c r="A129">
        <v>123</v>
      </c>
      <c r="B129" t="s">
        <v>34</v>
      </c>
      <c r="C129">
        <v>1346</v>
      </c>
      <c r="D129">
        <v>15000</v>
      </c>
      <c r="E129">
        <v>-9.7865280000000006</v>
      </c>
      <c r="F129">
        <v>-1537512.674685</v>
      </c>
      <c r="G129">
        <v>-1126891.9622520001</v>
      </c>
      <c r="H129">
        <v>253.60263900000001</v>
      </c>
      <c r="I129">
        <v>125.54886399999999</v>
      </c>
      <c r="J129">
        <v>30.334892</v>
      </c>
      <c r="K129">
        <v>3.2969499999999998</v>
      </c>
      <c r="L129" t="s">
        <v>35</v>
      </c>
      <c r="M129">
        <v>100.01261</v>
      </c>
      <c r="N129" s="2">
        <v>9.3645130000000005</v>
      </c>
      <c r="O129">
        <v>90.648095999999995</v>
      </c>
      <c r="Q129">
        <v>41.029007999999997</v>
      </c>
      <c r="R129">
        <v>0.85094000000000003</v>
      </c>
      <c r="S129">
        <v>12.781021000000001</v>
      </c>
      <c r="T129">
        <v>0.46095999999999998</v>
      </c>
      <c r="U129">
        <v>20.086924</v>
      </c>
      <c r="V129">
        <v>8.4142999999999996E-2</v>
      </c>
      <c r="W129">
        <v>11.504333000000001</v>
      </c>
      <c r="X129">
        <v>7.1398190000000001</v>
      </c>
      <c r="Y129">
        <v>4.2335859999999998</v>
      </c>
      <c r="Z129">
        <v>0.10760400000000001</v>
      </c>
      <c r="AA129">
        <v>1.721662</v>
      </c>
      <c r="AB129">
        <v>49.408442999999998</v>
      </c>
      <c r="AC129">
        <v>0</v>
      </c>
      <c r="AD129">
        <v>16.449186000000001</v>
      </c>
      <c r="AE129">
        <v>24.790465999999999</v>
      </c>
      <c r="AF129">
        <f>(W129/40.31)/((W129/40.31)+((U129+T129*0.9)/71.85))</f>
        <v>0.50004817013884106</v>
      </c>
    </row>
    <row r="130" spans="1:32" x14ac:dyDescent="0.25">
      <c r="A130">
        <v>124</v>
      </c>
      <c r="B130" t="s">
        <v>34</v>
      </c>
      <c r="C130">
        <v>1348</v>
      </c>
      <c r="D130">
        <v>15000</v>
      </c>
      <c r="E130">
        <v>-9.7691619999999997</v>
      </c>
      <c r="F130">
        <v>-1538020.579628</v>
      </c>
      <c r="G130">
        <v>-1126489.5842919999</v>
      </c>
      <c r="H130">
        <v>253.85127600000001</v>
      </c>
      <c r="I130">
        <v>125.685047</v>
      </c>
      <c r="J130">
        <v>30.348807000000001</v>
      </c>
      <c r="K130">
        <v>3.295439</v>
      </c>
      <c r="L130" t="s">
        <v>35</v>
      </c>
      <c r="M130">
        <v>100.012631</v>
      </c>
      <c r="N130" s="2">
        <v>9.7256979999999995</v>
      </c>
      <c r="O130">
        <v>90.286931999999993</v>
      </c>
      <c r="Q130">
        <v>41.065787</v>
      </c>
      <c r="R130">
        <v>0.84204699999999999</v>
      </c>
      <c r="S130">
        <v>12.689259</v>
      </c>
      <c r="T130">
        <v>0.46045599999999998</v>
      </c>
      <c r="U130">
        <v>20.209819</v>
      </c>
      <c r="V130">
        <v>8.4636000000000003E-2</v>
      </c>
      <c r="W130">
        <v>11.603393000000001</v>
      </c>
      <c r="X130">
        <v>7.1572040000000001</v>
      </c>
      <c r="Y130">
        <v>4.1260649999999996</v>
      </c>
      <c r="Z130">
        <v>0.10360800000000001</v>
      </c>
      <c r="AA130">
        <v>1.6577249999999999</v>
      </c>
      <c r="AB130">
        <v>49.290900999999998</v>
      </c>
      <c r="AC130">
        <v>0</v>
      </c>
      <c r="AD130">
        <v>17.035492000000001</v>
      </c>
      <c r="AE130">
        <v>23.960539000000001</v>
      </c>
      <c r="AF130">
        <f>(W130/40.31)/((W130/40.31)+((U130+T130*0.9)/71.85))</f>
        <v>0.50070300494674702</v>
      </c>
    </row>
    <row r="131" spans="1:32" x14ac:dyDescent="0.25">
      <c r="A131">
        <v>125</v>
      </c>
      <c r="B131" t="s">
        <v>34</v>
      </c>
      <c r="C131">
        <v>1350</v>
      </c>
      <c r="D131">
        <v>15000</v>
      </c>
      <c r="E131">
        <v>-9.7518379999999993</v>
      </c>
      <c r="F131">
        <v>-1538529.0228870001</v>
      </c>
      <c r="G131">
        <v>-1126080.9418510001</v>
      </c>
      <c r="H131">
        <v>254.10349099999999</v>
      </c>
      <c r="I131">
        <v>125.826286</v>
      </c>
      <c r="J131">
        <v>30.363076</v>
      </c>
      <c r="K131">
        <v>3.2938909999999999</v>
      </c>
      <c r="L131" t="s">
        <v>35</v>
      </c>
      <c r="M131">
        <v>100.012654</v>
      </c>
      <c r="N131" s="2">
        <v>10.101721</v>
      </c>
      <c r="O131">
        <v>89.910932000000003</v>
      </c>
      <c r="Q131">
        <v>41.102328999999997</v>
      </c>
      <c r="R131">
        <v>0.83274199999999998</v>
      </c>
      <c r="S131">
        <v>12.595604</v>
      </c>
      <c r="T131">
        <v>0.45999200000000001</v>
      </c>
      <c r="U131">
        <v>20.329293</v>
      </c>
      <c r="V131">
        <v>8.5158999999999999E-2</v>
      </c>
      <c r="W131">
        <v>11.701816000000001</v>
      </c>
      <c r="X131">
        <v>7.1772549999999997</v>
      </c>
      <c r="Y131">
        <v>4.0200399999999998</v>
      </c>
      <c r="Z131">
        <v>9.9751000000000006E-2</v>
      </c>
      <c r="AA131">
        <v>1.5960179999999999</v>
      </c>
      <c r="AB131">
        <v>49.168742999999999</v>
      </c>
      <c r="AC131">
        <v>0</v>
      </c>
      <c r="AD131">
        <v>17.664021999999999</v>
      </c>
      <c r="AE131">
        <v>23.078164999999998</v>
      </c>
      <c r="AF131">
        <f>(W131/40.31)/((W131/40.31)+((U131+T131*0.9)/71.85))</f>
        <v>0.50137561163405409</v>
      </c>
    </row>
    <row r="132" spans="1:32" x14ac:dyDescent="0.25">
      <c r="A132">
        <v>126</v>
      </c>
      <c r="B132" t="s">
        <v>34</v>
      </c>
      <c r="C132">
        <v>1352</v>
      </c>
      <c r="D132">
        <v>15000</v>
      </c>
      <c r="E132">
        <v>-9.7345579999999998</v>
      </c>
      <c r="F132">
        <v>-1539038.015784</v>
      </c>
      <c r="G132">
        <v>-1125665.8131629999</v>
      </c>
      <c r="H132">
        <v>254.35941500000001</v>
      </c>
      <c r="I132">
        <v>125.97273800000001</v>
      </c>
      <c r="J132">
        <v>30.377707999999998</v>
      </c>
      <c r="K132">
        <v>3.2923049999999998</v>
      </c>
      <c r="L132" t="s">
        <v>35</v>
      </c>
      <c r="M132">
        <v>100.01267799999999</v>
      </c>
      <c r="N132" s="2">
        <v>10.493021000000001</v>
      </c>
      <c r="O132">
        <v>89.519658000000007</v>
      </c>
      <c r="Q132">
        <v>41.138781000000002</v>
      </c>
      <c r="R132">
        <v>0.82303899999999997</v>
      </c>
      <c r="S132">
        <v>12.500050999999999</v>
      </c>
      <c r="T132">
        <v>0.459567</v>
      </c>
      <c r="U132">
        <v>20.445250999999999</v>
      </c>
      <c r="V132">
        <v>8.5712999999999998E-2</v>
      </c>
      <c r="W132">
        <v>11.799593</v>
      </c>
      <c r="X132">
        <v>7.1998800000000003</v>
      </c>
      <c r="Y132">
        <v>3.9155929999999999</v>
      </c>
      <c r="Z132">
        <v>9.6031000000000005E-2</v>
      </c>
      <c r="AA132">
        <v>1.5365</v>
      </c>
      <c r="AB132">
        <v>49.041831999999999</v>
      </c>
      <c r="AC132">
        <v>0</v>
      </c>
      <c r="AD132">
        <v>18.336212</v>
      </c>
      <c r="AE132">
        <v>22.141615000000002</v>
      </c>
      <c r="AF132">
        <f>(W132/40.31)/((W132/40.31)+((U132+T132*0.9)/71.85))</f>
        <v>0.50206679182654568</v>
      </c>
    </row>
    <row r="133" spans="1:32" x14ac:dyDescent="0.25">
      <c r="A133">
        <v>127</v>
      </c>
      <c r="B133" t="s">
        <v>34</v>
      </c>
      <c r="C133">
        <v>1354</v>
      </c>
      <c r="D133">
        <v>15000</v>
      </c>
      <c r="E133">
        <v>-9.7173200000000008</v>
      </c>
      <c r="F133">
        <v>-1539547.5701959999</v>
      </c>
      <c r="G133">
        <v>-1125243.975196</v>
      </c>
      <c r="H133">
        <v>254.61917800000001</v>
      </c>
      <c r="I133">
        <v>126.124559</v>
      </c>
      <c r="J133">
        <v>30.392713000000001</v>
      </c>
      <c r="K133">
        <v>3.29068</v>
      </c>
      <c r="L133" t="s">
        <v>35</v>
      </c>
      <c r="M133">
        <v>100.012705</v>
      </c>
      <c r="N133" s="2">
        <v>10.900026</v>
      </c>
      <c r="O133">
        <v>89.112679999999997</v>
      </c>
      <c r="Q133">
        <v>41.175286</v>
      </c>
      <c r="R133">
        <v>0.81295300000000004</v>
      </c>
      <c r="S133">
        <v>12.402594000000001</v>
      </c>
      <c r="T133">
        <v>0.45918300000000001</v>
      </c>
      <c r="U133">
        <v>20.557607000000001</v>
      </c>
      <c r="V133">
        <v>8.6301000000000003E-2</v>
      </c>
      <c r="W133">
        <v>11.896718999999999</v>
      </c>
      <c r="X133">
        <v>7.2249850000000002</v>
      </c>
      <c r="Y133">
        <v>3.8127979999999999</v>
      </c>
      <c r="Z133">
        <v>9.2444999999999999E-2</v>
      </c>
      <c r="AA133">
        <v>1.479128</v>
      </c>
      <c r="AB133">
        <v>48.910015000000001</v>
      </c>
      <c r="AC133">
        <v>0</v>
      </c>
      <c r="AD133">
        <v>19.053463000000001</v>
      </c>
      <c r="AE133">
        <v>21.149201999999999</v>
      </c>
      <c r="AF133">
        <f>(W133/40.31)/((W133/40.31)+((U133+T133*0.9)/71.85))</f>
        <v>0.50277728900002561</v>
      </c>
    </row>
    <row r="134" spans="1:32" x14ac:dyDescent="0.25">
      <c r="A134">
        <v>128</v>
      </c>
      <c r="B134" t="s">
        <v>34</v>
      </c>
      <c r="C134">
        <v>1356</v>
      </c>
      <c r="D134">
        <v>15000</v>
      </c>
      <c r="E134">
        <v>-9.7001240000000006</v>
      </c>
      <c r="F134">
        <v>-1540057.698564</v>
      </c>
      <c r="G134">
        <v>-1124815.2041529999</v>
      </c>
      <c r="H134">
        <v>254.88291100000001</v>
      </c>
      <c r="I134">
        <v>126.281903</v>
      </c>
      <c r="J134">
        <v>30.408102</v>
      </c>
      <c r="K134">
        <v>3.2890160000000002</v>
      </c>
      <c r="L134" t="s">
        <v>35</v>
      </c>
      <c r="M134">
        <v>100.01273500000001</v>
      </c>
      <c r="N134" s="2">
        <v>11.323154000000001</v>
      </c>
      <c r="O134">
        <v>88.689581000000004</v>
      </c>
      <c r="Q134">
        <v>41.211979999999997</v>
      </c>
      <c r="R134">
        <v>0.802504</v>
      </c>
      <c r="S134">
        <v>12.303228000000001</v>
      </c>
      <c r="T134">
        <v>0.458839</v>
      </c>
      <c r="U134">
        <v>20.666278999999999</v>
      </c>
      <c r="V134">
        <v>8.6924000000000001E-2</v>
      </c>
      <c r="W134">
        <v>11.993198</v>
      </c>
      <c r="X134">
        <v>7.2524800000000003</v>
      </c>
      <c r="Y134">
        <v>3.7117230000000001</v>
      </c>
      <c r="Z134">
        <v>8.8991000000000001E-2</v>
      </c>
      <c r="AA134">
        <v>1.4238550000000001</v>
      </c>
      <c r="AB134">
        <v>48.773155000000003</v>
      </c>
      <c r="AC134">
        <v>0</v>
      </c>
      <c r="AD134">
        <v>19.817129000000001</v>
      </c>
      <c r="AE134">
        <v>20.099297</v>
      </c>
      <c r="AF134">
        <f>(W134/40.31)/((W134/40.31)+((U134+T134*0.9)/71.85))</f>
        <v>0.50350801772382781</v>
      </c>
    </row>
    <row r="135" spans="1:32" x14ac:dyDescent="0.25">
      <c r="A135">
        <v>129</v>
      </c>
      <c r="B135" t="s">
        <v>34</v>
      </c>
      <c r="C135">
        <v>1358</v>
      </c>
      <c r="D135">
        <v>15000</v>
      </c>
      <c r="E135">
        <v>-9.6829699999999992</v>
      </c>
      <c r="F135">
        <v>-1540568.4139040001</v>
      </c>
      <c r="G135">
        <v>-1124379.2759690001</v>
      </c>
      <c r="H135">
        <v>255.150745</v>
      </c>
      <c r="I135">
        <v>126.44492</v>
      </c>
      <c r="J135">
        <v>30.423884000000001</v>
      </c>
      <c r="K135">
        <v>3.2873109999999999</v>
      </c>
      <c r="L135" t="s">
        <v>35</v>
      </c>
      <c r="M135">
        <v>100.012767</v>
      </c>
      <c r="N135" s="2">
        <v>11.762810999999999</v>
      </c>
      <c r="O135">
        <v>88.249955</v>
      </c>
      <c r="Q135">
        <v>41.248992000000001</v>
      </c>
      <c r="R135">
        <v>0.79171000000000002</v>
      </c>
      <c r="S135">
        <v>12.201947000000001</v>
      </c>
      <c r="T135">
        <v>0.45853500000000003</v>
      </c>
      <c r="U135">
        <v>20.771190000000001</v>
      </c>
      <c r="V135">
        <v>8.7582999999999994E-2</v>
      </c>
      <c r="W135">
        <v>12.089038</v>
      </c>
      <c r="X135">
        <v>7.2822719999999999</v>
      </c>
      <c r="Y135">
        <v>3.6124320000000001</v>
      </c>
      <c r="Z135">
        <v>8.5665000000000005E-2</v>
      </c>
      <c r="AA135">
        <v>1.370636</v>
      </c>
      <c r="AB135">
        <v>48.631110999999997</v>
      </c>
      <c r="AC135">
        <v>0</v>
      </c>
      <c r="AD135">
        <v>20.628504</v>
      </c>
      <c r="AE135">
        <v>18.990338999999999</v>
      </c>
      <c r="AF135">
        <f>(W135/40.31)/((W135/40.31)+((U135+T135*0.9)/71.85))</f>
        <v>0.50425990020611855</v>
      </c>
    </row>
    <row r="136" spans="1:32" x14ac:dyDescent="0.25">
      <c r="A136">
        <v>130</v>
      </c>
      <c r="B136" t="s">
        <v>34</v>
      </c>
      <c r="C136">
        <v>1360</v>
      </c>
      <c r="D136">
        <v>15000</v>
      </c>
      <c r="E136">
        <v>-9.6658580000000001</v>
      </c>
      <c r="F136">
        <v>-1541079.7298079999</v>
      </c>
      <c r="G136">
        <v>-1123935.9667849999</v>
      </c>
      <c r="H136">
        <v>255.422811</v>
      </c>
      <c r="I136">
        <v>126.613755</v>
      </c>
      <c r="J136">
        <v>30.440068</v>
      </c>
      <c r="K136">
        <v>3.2855639999999999</v>
      </c>
      <c r="L136" t="s">
        <v>35</v>
      </c>
      <c r="M136">
        <v>100.012801</v>
      </c>
      <c r="N136" s="2">
        <v>12.219386999999999</v>
      </c>
      <c r="O136">
        <v>87.793413999999999</v>
      </c>
      <c r="Q136">
        <v>41.286445999999998</v>
      </c>
      <c r="R136">
        <v>0.78059299999999998</v>
      </c>
      <c r="S136">
        <v>12.098746999999999</v>
      </c>
      <c r="T136">
        <v>0.45827000000000001</v>
      </c>
      <c r="U136">
        <v>20.872271000000001</v>
      </c>
      <c r="V136">
        <v>8.8281999999999999E-2</v>
      </c>
      <c r="W136">
        <v>12.184253999999999</v>
      </c>
      <c r="X136">
        <v>7.3142699999999996</v>
      </c>
      <c r="Y136">
        <v>3.5149810000000001</v>
      </c>
      <c r="Z136">
        <v>8.2463999999999996E-2</v>
      </c>
      <c r="AA136">
        <v>1.3194220000000001</v>
      </c>
      <c r="AB136">
        <v>48.483741999999999</v>
      </c>
      <c r="AC136">
        <v>0</v>
      </c>
      <c r="AD136">
        <v>21.488814999999999</v>
      </c>
      <c r="AE136">
        <v>17.820858000000001</v>
      </c>
      <c r="AF136">
        <f>(W136/40.31)/((W136/40.31)+((U136+T136*0.9)/71.85))</f>
        <v>0.50503391373022677</v>
      </c>
    </row>
    <row r="137" spans="1:32" x14ac:dyDescent="0.25">
      <c r="A137">
        <v>131</v>
      </c>
      <c r="B137" t="s">
        <v>34</v>
      </c>
      <c r="C137">
        <v>1362</v>
      </c>
      <c r="D137">
        <v>15000</v>
      </c>
      <c r="E137">
        <v>-9.6487879999999997</v>
      </c>
      <c r="F137">
        <v>-1541591.6604480001</v>
      </c>
      <c r="G137">
        <v>-1123485.0533779999</v>
      </c>
      <c r="H137">
        <v>255.69923700000001</v>
      </c>
      <c r="I137">
        <v>126.78855</v>
      </c>
      <c r="J137">
        <v>30.456662999999999</v>
      </c>
      <c r="K137">
        <v>3.2837749999999999</v>
      </c>
      <c r="L137" t="s">
        <v>35</v>
      </c>
      <c r="M137">
        <v>100.012839</v>
      </c>
      <c r="N137" s="2">
        <v>12.693254</v>
      </c>
      <c r="O137">
        <v>87.319585000000004</v>
      </c>
      <c r="Q137">
        <v>41.324457000000002</v>
      </c>
      <c r="R137">
        <v>0.769173</v>
      </c>
      <c r="S137">
        <v>11.993625</v>
      </c>
      <c r="T137">
        <v>0.45804499999999998</v>
      </c>
      <c r="U137">
        <v>20.969456000000001</v>
      </c>
      <c r="V137">
        <v>8.9022000000000004E-2</v>
      </c>
      <c r="W137">
        <v>12.278867</v>
      </c>
      <c r="X137">
        <v>7.3483840000000002</v>
      </c>
      <c r="Y137">
        <v>3.4194209999999998</v>
      </c>
      <c r="Z137">
        <v>7.9384999999999997E-2</v>
      </c>
      <c r="AA137">
        <v>1.270165</v>
      </c>
      <c r="AB137">
        <v>48.330905999999999</v>
      </c>
      <c r="AC137">
        <v>0</v>
      </c>
      <c r="AD137">
        <v>22.399206</v>
      </c>
      <c r="AE137">
        <v>16.589472000000001</v>
      </c>
      <c r="AF137">
        <f>(W137/40.31)/((W137/40.31)+((U137+T137*0.9)/71.85))</f>
        <v>0.50583109504901758</v>
      </c>
    </row>
    <row r="138" spans="1:32" x14ac:dyDescent="0.25">
      <c r="A138">
        <v>132</v>
      </c>
      <c r="B138" t="s">
        <v>34</v>
      </c>
      <c r="C138">
        <v>1364</v>
      </c>
      <c r="D138">
        <v>15000</v>
      </c>
      <c r="E138">
        <v>-9.6317599999999999</v>
      </c>
      <c r="F138">
        <v>-1542104.220581</v>
      </c>
      <c r="G138">
        <v>-1123026.313542</v>
      </c>
      <c r="H138">
        <v>255.980153</v>
      </c>
      <c r="I138">
        <v>126.969441</v>
      </c>
      <c r="J138">
        <v>30.473679000000001</v>
      </c>
      <c r="K138">
        <v>3.2819430000000001</v>
      </c>
      <c r="L138" t="s">
        <v>35</v>
      </c>
      <c r="M138">
        <v>100.01288</v>
      </c>
      <c r="N138" s="2">
        <v>13.184767000000001</v>
      </c>
      <c r="O138">
        <v>86.828113999999999</v>
      </c>
      <c r="Q138">
        <v>41.363132999999998</v>
      </c>
      <c r="R138">
        <v>0.75747500000000001</v>
      </c>
      <c r="S138">
        <v>11.886578</v>
      </c>
      <c r="T138">
        <v>0.45785900000000002</v>
      </c>
      <c r="U138">
        <v>21.062684999999998</v>
      </c>
      <c r="V138">
        <v>8.9803999999999995E-2</v>
      </c>
      <c r="W138">
        <v>12.372906</v>
      </c>
      <c r="X138">
        <v>7.384525</v>
      </c>
      <c r="Y138">
        <v>3.3257949999999998</v>
      </c>
      <c r="Z138">
        <v>7.6425999999999994E-2</v>
      </c>
      <c r="AA138">
        <v>1.222815</v>
      </c>
      <c r="AB138">
        <v>48.172477999999998</v>
      </c>
      <c r="AC138">
        <v>0</v>
      </c>
      <c r="AD138">
        <v>23.360723</v>
      </c>
      <c r="AE138">
        <v>15.294914</v>
      </c>
      <c r="AF138">
        <f>(W138/40.31)/((W138/40.31)+((U138+T138*0.9)/71.85))</f>
        <v>0.50665258586089212</v>
      </c>
    </row>
    <row r="139" spans="1:32" x14ac:dyDescent="0.25">
      <c r="A139">
        <v>133</v>
      </c>
      <c r="B139" t="s">
        <v>34</v>
      </c>
      <c r="C139">
        <v>1366</v>
      </c>
      <c r="D139">
        <v>15000</v>
      </c>
      <c r="E139">
        <v>-9.6147740000000006</v>
      </c>
      <c r="F139">
        <v>-1542617.4255369999</v>
      </c>
      <c r="G139">
        <v>-1122559.5264030001</v>
      </c>
      <c r="H139">
        <v>256.26568600000002</v>
      </c>
      <c r="I139">
        <v>127.156558</v>
      </c>
      <c r="J139">
        <v>30.491123999999999</v>
      </c>
      <c r="K139">
        <v>3.2800669999999998</v>
      </c>
      <c r="L139" t="s">
        <v>35</v>
      </c>
      <c r="M139">
        <v>100.012925</v>
      </c>
      <c r="N139" s="2">
        <v>13.694260999999999</v>
      </c>
      <c r="O139">
        <v>86.318663999999998</v>
      </c>
      <c r="Q139">
        <v>41.402574000000001</v>
      </c>
      <c r="R139">
        <v>0.74551999999999996</v>
      </c>
      <c r="S139">
        <v>11.777608000000001</v>
      </c>
      <c r="T139">
        <v>0.45771099999999998</v>
      </c>
      <c r="U139">
        <v>21.151903000000001</v>
      </c>
      <c r="V139">
        <v>9.0632000000000004E-2</v>
      </c>
      <c r="W139">
        <v>12.466404000000001</v>
      </c>
      <c r="X139">
        <v>7.4226049999999999</v>
      </c>
      <c r="Y139">
        <v>3.23414</v>
      </c>
      <c r="Z139">
        <v>7.3582999999999996E-2</v>
      </c>
      <c r="AA139">
        <v>1.1773199999999999</v>
      </c>
      <c r="AB139">
        <v>48.008316000000001</v>
      </c>
      <c r="AC139">
        <v>0</v>
      </c>
      <c r="AD139">
        <v>24.374310000000001</v>
      </c>
      <c r="AE139">
        <v>13.93604</v>
      </c>
      <c r="AF139">
        <f>(W139/40.31)/((W139/40.31)+((U139+T139*0.9)/71.85))</f>
        <v>0.50749953981137663</v>
      </c>
    </row>
    <row r="140" spans="1:32" x14ac:dyDescent="0.25">
      <c r="A140">
        <v>134</v>
      </c>
      <c r="B140" t="s">
        <v>34</v>
      </c>
      <c r="C140">
        <v>1368</v>
      </c>
      <c r="D140">
        <v>15000</v>
      </c>
      <c r="E140">
        <v>-9.5978290000000008</v>
      </c>
      <c r="F140">
        <v>-1543131.291223</v>
      </c>
      <c r="G140">
        <v>-1122084.4726480001</v>
      </c>
      <c r="H140">
        <v>256.55596300000002</v>
      </c>
      <c r="I140">
        <v>127.35002900000001</v>
      </c>
      <c r="J140">
        <v>30.509005999999999</v>
      </c>
      <c r="K140">
        <v>3.278146</v>
      </c>
      <c r="L140" t="s">
        <v>35</v>
      </c>
      <c r="M140">
        <v>100.012974</v>
      </c>
      <c r="N140" s="2">
        <v>14.222051</v>
      </c>
      <c r="O140">
        <v>85.790923000000006</v>
      </c>
      <c r="Q140">
        <v>41.442874000000003</v>
      </c>
      <c r="R140">
        <v>0.73333400000000004</v>
      </c>
      <c r="S140">
        <v>11.666715999999999</v>
      </c>
      <c r="T140">
        <v>0.45760200000000001</v>
      </c>
      <c r="U140">
        <v>21.237058999999999</v>
      </c>
      <c r="V140">
        <v>9.1507000000000005E-2</v>
      </c>
      <c r="W140">
        <v>12.559400999999999</v>
      </c>
      <c r="X140">
        <v>7.4625370000000002</v>
      </c>
      <c r="Y140">
        <v>3.1444890000000001</v>
      </c>
      <c r="Z140">
        <v>7.0851999999999998E-2</v>
      </c>
      <c r="AA140">
        <v>1.133629</v>
      </c>
      <c r="AB140">
        <v>47.838295000000002</v>
      </c>
      <c r="AC140">
        <v>0</v>
      </c>
      <c r="AD140">
        <v>25.440788000000001</v>
      </c>
      <c r="AE140">
        <v>12.511837999999999</v>
      </c>
      <c r="AF140">
        <f>(W140/40.31)/((W140/40.31)+((U140+T140*0.9)/71.85))</f>
        <v>0.50837317274857408</v>
      </c>
    </row>
    <row r="141" spans="1:32" x14ac:dyDescent="0.25">
      <c r="A141">
        <v>135</v>
      </c>
      <c r="B141" t="s">
        <v>34</v>
      </c>
      <c r="C141">
        <v>1370</v>
      </c>
      <c r="D141">
        <v>15000</v>
      </c>
      <c r="E141">
        <v>-9.5809250000000006</v>
      </c>
      <c r="F141">
        <v>-1543645.8341089999</v>
      </c>
      <c r="G141">
        <v>-1121600.9346630001</v>
      </c>
      <c r="H141">
        <v>256.85110900000001</v>
      </c>
      <c r="I141">
        <v>127.549971</v>
      </c>
      <c r="J141">
        <v>30.527335000000001</v>
      </c>
      <c r="K141">
        <v>3.276179</v>
      </c>
      <c r="L141" t="s">
        <v>35</v>
      </c>
      <c r="M141">
        <v>100.01302699999999</v>
      </c>
      <c r="N141" s="2">
        <v>14.768428999999999</v>
      </c>
      <c r="O141">
        <v>85.244597999999996</v>
      </c>
      <c r="Q141">
        <v>41.484118000000002</v>
      </c>
      <c r="R141">
        <v>0.72094100000000005</v>
      </c>
      <c r="S141">
        <v>11.55391</v>
      </c>
      <c r="T141">
        <v>0.45752900000000002</v>
      </c>
      <c r="U141">
        <v>21.318106</v>
      </c>
      <c r="V141">
        <v>9.2432E-2</v>
      </c>
      <c r="W141">
        <v>12.651944</v>
      </c>
      <c r="X141">
        <v>7.5042359999999997</v>
      </c>
      <c r="Y141">
        <v>3.0568650000000002</v>
      </c>
      <c r="Z141">
        <v>6.8231E-2</v>
      </c>
      <c r="AA141">
        <v>1.0916889999999999</v>
      </c>
      <c r="AB141">
        <v>47.662292000000001</v>
      </c>
      <c r="AC141">
        <v>0</v>
      </c>
      <c r="AD141">
        <v>26.560856000000001</v>
      </c>
      <c r="AE141">
        <v>11.02145</v>
      </c>
      <c r="AF141">
        <f>(W141/40.31)/((W141/40.31)+((U141+T141*0.9)/71.85))</f>
        <v>0.50927482251043044</v>
      </c>
    </row>
    <row r="142" spans="1:32" x14ac:dyDescent="0.25">
      <c r="A142">
        <v>136</v>
      </c>
      <c r="B142" t="s">
        <v>34</v>
      </c>
      <c r="C142">
        <v>1372</v>
      </c>
      <c r="D142">
        <v>15000</v>
      </c>
      <c r="E142">
        <v>-9.5640619999999998</v>
      </c>
      <c r="F142">
        <v>-1544161.071216</v>
      </c>
      <c r="G142">
        <v>-1121108.696557</v>
      </c>
      <c r="H142">
        <v>257.15124700000001</v>
      </c>
      <c r="I142">
        <v>127.75649900000001</v>
      </c>
      <c r="J142">
        <v>30.546118</v>
      </c>
      <c r="K142">
        <v>3.2741669999999998</v>
      </c>
      <c r="L142" t="s">
        <v>35</v>
      </c>
      <c r="M142">
        <v>100.013085</v>
      </c>
      <c r="N142" s="2">
        <v>15.333667</v>
      </c>
      <c r="O142">
        <v>84.679417999999998</v>
      </c>
      <c r="Q142">
        <v>41.526383000000003</v>
      </c>
      <c r="R142">
        <v>0.70836600000000005</v>
      </c>
      <c r="S142">
        <v>11.439197999999999</v>
      </c>
      <c r="T142">
        <v>0.45749200000000001</v>
      </c>
      <c r="U142">
        <v>21.395002000000002</v>
      </c>
      <c r="V142">
        <v>9.3407000000000004E-2</v>
      </c>
      <c r="W142">
        <v>12.744084000000001</v>
      </c>
      <c r="X142">
        <v>7.5476179999999999</v>
      </c>
      <c r="Y142">
        <v>2.9712879999999999</v>
      </c>
      <c r="Z142">
        <v>6.5714999999999996E-2</v>
      </c>
      <c r="AA142">
        <v>1.051447</v>
      </c>
      <c r="AB142">
        <v>47.480179</v>
      </c>
      <c r="AC142">
        <v>0</v>
      </c>
      <c r="AD142">
        <v>27.735064999999999</v>
      </c>
      <c r="AE142">
        <v>9.4641719999999996</v>
      </c>
      <c r="AF142">
        <f>(W142/40.31)/((W142/40.31)+((U142+T142*0.9)/71.85))</f>
        <v>0.51020580300553819</v>
      </c>
    </row>
    <row r="143" spans="1:32" x14ac:dyDescent="0.25">
      <c r="A143">
        <v>137</v>
      </c>
      <c r="B143" t="s">
        <v>34</v>
      </c>
      <c r="C143">
        <v>1374</v>
      </c>
      <c r="D143">
        <v>15000</v>
      </c>
      <c r="E143">
        <v>-9.5472400000000004</v>
      </c>
      <c r="F143">
        <v>-1544677.0201069999</v>
      </c>
      <c r="G143">
        <v>-1120607.5440730001</v>
      </c>
      <c r="H143">
        <v>257.456501</v>
      </c>
      <c r="I143">
        <v>127.96972100000001</v>
      </c>
      <c r="J143">
        <v>30.565362</v>
      </c>
      <c r="K143">
        <v>3.2721070000000001</v>
      </c>
      <c r="L143" t="s">
        <v>35</v>
      </c>
      <c r="M143">
        <v>100.013147</v>
      </c>
      <c r="N143" s="2">
        <v>15.918013999999999</v>
      </c>
      <c r="O143">
        <v>84.095133000000004</v>
      </c>
      <c r="Q143">
        <v>41.569738999999998</v>
      </c>
      <c r="R143">
        <v>0.695635</v>
      </c>
      <c r="S143">
        <v>11.322594</v>
      </c>
      <c r="T143">
        <v>0.45749000000000001</v>
      </c>
      <c r="U143">
        <v>21.467706</v>
      </c>
      <c r="V143">
        <v>9.4436999999999993E-2</v>
      </c>
      <c r="W143">
        <v>12.835877</v>
      </c>
      <c r="X143">
        <v>7.5926020000000003</v>
      </c>
      <c r="Y143">
        <v>2.887769</v>
      </c>
      <c r="Z143">
        <v>6.3302999999999998E-2</v>
      </c>
      <c r="AA143">
        <v>1.012848</v>
      </c>
      <c r="AB143">
        <v>47.291840000000001</v>
      </c>
      <c r="AC143">
        <v>0</v>
      </c>
      <c r="AD143">
        <v>28.963820999999999</v>
      </c>
      <c r="AE143">
        <v>7.8394719999999998</v>
      </c>
      <c r="AF143">
        <f>(W143/40.31)/((W143/40.31)+((U143+T143*0.9)/71.85))</f>
        <v>0.51116751075168365</v>
      </c>
    </row>
    <row r="144" spans="1:32" x14ac:dyDescent="0.25">
      <c r="A144">
        <v>138</v>
      </c>
      <c r="B144" t="s">
        <v>34</v>
      </c>
      <c r="C144">
        <v>1376</v>
      </c>
      <c r="D144">
        <v>15000</v>
      </c>
      <c r="E144">
        <v>-9.5304590000000005</v>
      </c>
      <c r="F144">
        <v>-1545193.6988629999</v>
      </c>
      <c r="G144">
        <v>-1120097.264369</v>
      </c>
      <c r="H144">
        <v>257.76699200000002</v>
      </c>
      <c r="I144">
        <v>128.189739</v>
      </c>
      <c r="J144">
        <v>30.585076000000001</v>
      </c>
      <c r="K144">
        <v>3.2700010000000002</v>
      </c>
      <c r="L144" t="s">
        <v>35</v>
      </c>
      <c r="M144">
        <v>100.013215</v>
      </c>
      <c r="N144" s="2">
        <v>16.521699999999999</v>
      </c>
      <c r="O144">
        <v>83.491515000000007</v>
      </c>
      <c r="Q144">
        <v>41.614249000000001</v>
      </c>
      <c r="R144">
        <v>0.68277100000000002</v>
      </c>
      <c r="S144">
        <v>11.204115</v>
      </c>
      <c r="T144">
        <v>0.45752199999999998</v>
      </c>
      <c r="U144">
        <v>21.536182</v>
      </c>
      <c r="V144">
        <v>9.5522999999999997E-2</v>
      </c>
      <c r="W144">
        <v>12.927387</v>
      </c>
      <c r="X144">
        <v>7.639106</v>
      </c>
      <c r="Y144">
        <v>2.806314</v>
      </c>
      <c r="Z144">
        <v>6.0990000000000003E-2</v>
      </c>
      <c r="AA144">
        <v>0.97584000000000004</v>
      </c>
      <c r="AB144">
        <v>47.097157000000003</v>
      </c>
      <c r="AC144">
        <v>0</v>
      </c>
      <c r="AD144">
        <v>30.247368000000002</v>
      </c>
      <c r="AE144">
        <v>6.1469909999999999</v>
      </c>
      <c r="AF144">
        <f>(W144/40.31)/((W144/40.31)+((U144+T144*0.9)/71.85))</f>
        <v>0.51216142503506101</v>
      </c>
    </row>
    <row r="145" spans="1:33" x14ac:dyDescent="0.25">
      <c r="A145">
        <v>139</v>
      </c>
      <c r="B145" t="s">
        <v>34</v>
      </c>
      <c r="C145">
        <v>1378</v>
      </c>
      <c r="D145">
        <v>15000</v>
      </c>
      <c r="E145">
        <v>-9.513719</v>
      </c>
      <c r="F145">
        <v>-1545711.12607</v>
      </c>
      <c r="G145">
        <v>-1119577.645667</v>
      </c>
      <c r="H145">
        <v>258.08283899999998</v>
      </c>
      <c r="I145">
        <v>128.416651</v>
      </c>
      <c r="J145">
        <v>30.605266</v>
      </c>
      <c r="K145">
        <v>3.267846</v>
      </c>
      <c r="L145" t="s">
        <v>35</v>
      </c>
      <c r="M145">
        <v>100.013289</v>
      </c>
      <c r="N145" s="2">
        <v>17.144931</v>
      </c>
      <c r="O145">
        <v>82.868358000000001</v>
      </c>
      <c r="Q145">
        <v>41.659968999999997</v>
      </c>
      <c r="R145">
        <v>0.66980099999999998</v>
      </c>
      <c r="S145">
        <v>11.083784</v>
      </c>
      <c r="T145">
        <v>0.45758599999999999</v>
      </c>
      <c r="U145">
        <v>21.600394000000001</v>
      </c>
      <c r="V145">
        <v>9.6666000000000002E-2</v>
      </c>
      <c r="W145">
        <v>13.018679000000001</v>
      </c>
      <c r="X145">
        <v>7.6870539999999998</v>
      </c>
      <c r="Y145">
        <v>2.726925</v>
      </c>
      <c r="Z145">
        <v>5.8772999999999999E-2</v>
      </c>
      <c r="AA145">
        <v>0.94036699999999995</v>
      </c>
      <c r="AB145">
        <v>46.896014999999998</v>
      </c>
      <c r="AC145">
        <v>0</v>
      </c>
      <c r="AD145">
        <v>31.585782999999999</v>
      </c>
      <c r="AE145">
        <v>4.3865600000000002</v>
      </c>
      <c r="AF145">
        <f>(W145/40.31)/((W145/40.31)+((U145+T145*0.9)/71.85))</f>
        <v>0.51318903734213694</v>
      </c>
    </row>
    <row r="146" spans="1:33" x14ac:dyDescent="0.25">
      <c r="A146">
        <v>140</v>
      </c>
      <c r="B146" t="s">
        <v>34</v>
      </c>
      <c r="C146">
        <v>1380</v>
      </c>
      <c r="D146">
        <v>15000</v>
      </c>
      <c r="E146">
        <v>-9.4970189999999999</v>
      </c>
      <c r="F146">
        <v>-1546229.320792</v>
      </c>
      <c r="G146">
        <v>-1119048.4767710001</v>
      </c>
      <c r="H146">
        <v>258.40416399999998</v>
      </c>
      <c r="I146">
        <v>128.65055000000001</v>
      </c>
      <c r="J146">
        <v>30.625941000000001</v>
      </c>
      <c r="K146">
        <v>3.2656420000000002</v>
      </c>
      <c r="L146" t="s">
        <v>35</v>
      </c>
      <c r="M146">
        <v>100.013368</v>
      </c>
      <c r="N146" s="2">
        <v>17.787896</v>
      </c>
      <c r="O146">
        <v>82.225471999999996</v>
      </c>
      <c r="Q146">
        <v>41.706947</v>
      </c>
      <c r="R146">
        <v>0.656748</v>
      </c>
      <c r="S146">
        <v>10.961629</v>
      </c>
      <c r="T146">
        <v>0.457681</v>
      </c>
      <c r="U146">
        <v>21.660308000000001</v>
      </c>
      <c r="V146">
        <v>9.7869999999999999E-2</v>
      </c>
      <c r="W146">
        <v>13.109826</v>
      </c>
      <c r="X146">
        <v>7.73637</v>
      </c>
      <c r="Y146">
        <v>2.6495959999999998</v>
      </c>
      <c r="Z146">
        <v>5.6648999999999998E-2</v>
      </c>
      <c r="AA146">
        <v>0.90637699999999999</v>
      </c>
      <c r="AB146">
        <v>46.688305</v>
      </c>
      <c r="AC146">
        <v>0</v>
      </c>
      <c r="AD146">
        <v>32.978973000000003</v>
      </c>
      <c r="AE146">
        <v>2.5581939999999999</v>
      </c>
      <c r="AF146">
        <f>(W146/40.31)/((W146/40.31)+((U146+T146*0.9)/71.85))</f>
        <v>0.51425194229005899</v>
      </c>
    </row>
    <row r="147" spans="1:33" x14ac:dyDescent="0.25">
      <c r="A147">
        <v>141</v>
      </c>
      <c r="B147" t="s">
        <v>34</v>
      </c>
      <c r="C147">
        <v>1382</v>
      </c>
      <c r="D147">
        <v>15000</v>
      </c>
      <c r="E147">
        <v>-9.480359</v>
      </c>
      <c r="F147">
        <v>-1546748.3025489999</v>
      </c>
      <c r="G147">
        <v>-1118509.54645</v>
      </c>
      <c r="H147">
        <v>258.73108500000001</v>
      </c>
      <c r="I147">
        <v>128.89152300000001</v>
      </c>
      <c r="J147">
        <v>30.647106999999998</v>
      </c>
      <c r="K147">
        <v>3.2633899999999998</v>
      </c>
      <c r="L147" t="s">
        <v>35</v>
      </c>
      <c r="M147">
        <v>100.013454</v>
      </c>
      <c r="N147" s="2">
        <v>18.450768</v>
      </c>
      <c r="O147">
        <v>81.562685999999999</v>
      </c>
      <c r="Q147">
        <v>41.755226</v>
      </c>
      <c r="R147">
        <v>0.64363599999999999</v>
      </c>
      <c r="S147">
        <v>10.837681</v>
      </c>
      <c r="T147">
        <v>0.45780399999999999</v>
      </c>
      <c r="U147">
        <v>21.715890000000002</v>
      </c>
      <c r="V147">
        <v>9.9136000000000002E-2</v>
      </c>
      <c r="W147">
        <v>13.200901999999999</v>
      </c>
      <c r="X147">
        <v>7.7869789999999997</v>
      </c>
      <c r="Y147">
        <v>2.5743170000000002</v>
      </c>
      <c r="Z147">
        <v>5.4613000000000002E-2</v>
      </c>
      <c r="AA147">
        <v>0.87381399999999998</v>
      </c>
      <c r="AB147">
        <v>46.473922999999999</v>
      </c>
      <c r="AC147">
        <v>0</v>
      </c>
      <c r="AD147">
        <v>34.426654999999997</v>
      </c>
      <c r="AE147">
        <v>0.66210599999999997</v>
      </c>
      <c r="AF147">
        <f>(W147/40.31)/((W147/40.31)+((U147+T147*0.9)/71.85))</f>
        <v>0.51535175461538107</v>
      </c>
    </row>
    <row r="148" spans="1:33" x14ac:dyDescent="0.25">
      <c r="A148">
        <v>142</v>
      </c>
      <c r="B148" t="s">
        <v>34</v>
      </c>
      <c r="C148">
        <v>1384</v>
      </c>
      <c r="D148">
        <v>15000</v>
      </c>
      <c r="E148">
        <v>-9.4637399999999996</v>
      </c>
      <c r="F148">
        <v>-1547267.8815929999</v>
      </c>
      <c r="G148">
        <v>-1118045.6221950001</v>
      </c>
      <c r="H148">
        <v>259.012316</v>
      </c>
      <c r="I148">
        <v>129.06109699999999</v>
      </c>
      <c r="J148">
        <v>30.663205999999999</v>
      </c>
      <c r="K148">
        <v>3.261679</v>
      </c>
      <c r="L148" t="s">
        <v>35</v>
      </c>
      <c r="M148">
        <v>100.01353899999999</v>
      </c>
      <c r="N148" s="2">
        <v>18.911380999999999</v>
      </c>
      <c r="O148">
        <v>81.102158000000003</v>
      </c>
      <c r="Q148">
        <v>41.802973999999999</v>
      </c>
      <c r="R148">
        <v>0.63354699999999997</v>
      </c>
      <c r="S148">
        <v>10.727138</v>
      </c>
      <c r="T148">
        <v>0.45729199999999998</v>
      </c>
      <c r="U148">
        <v>21.780004999999999</v>
      </c>
      <c r="V148">
        <v>0.100539</v>
      </c>
      <c r="W148">
        <v>13.313402999999999</v>
      </c>
      <c r="X148">
        <v>7.7583780000000004</v>
      </c>
      <c r="Y148">
        <v>2.5209090000000001</v>
      </c>
      <c r="Z148">
        <v>5.3282999999999997E-2</v>
      </c>
      <c r="AA148">
        <v>0.85253100000000004</v>
      </c>
      <c r="AB148">
        <v>46.318317</v>
      </c>
      <c r="AC148">
        <v>0</v>
      </c>
      <c r="AD148">
        <v>34.783844000000002</v>
      </c>
      <c r="AE148">
        <v>0</v>
      </c>
      <c r="AF148">
        <f>(W148/40.31)/((W148/40.31)+((U148+T148*0.9)/71.85))</f>
        <v>0.51675370563113598</v>
      </c>
    </row>
    <row r="149" spans="1:33" x14ac:dyDescent="0.25">
      <c r="A149">
        <v>143</v>
      </c>
      <c r="B149" t="s">
        <v>34</v>
      </c>
      <c r="C149">
        <v>1386</v>
      </c>
      <c r="D149">
        <v>15000</v>
      </c>
      <c r="E149">
        <v>-9.4471609999999995</v>
      </c>
      <c r="F149">
        <v>-1547787.952271</v>
      </c>
      <c r="G149">
        <v>-1117620.403463</v>
      </c>
      <c r="H149">
        <v>259.269836</v>
      </c>
      <c r="I149">
        <v>129.19332499999999</v>
      </c>
      <c r="J149">
        <v>30.676673999999998</v>
      </c>
      <c r="K149">
        <v>3.2602500000000001</v>
      </c>
      <c r="L149" t="s">
        <v>35</v>
      </c>
      <c r="M149">
        <v>100.013622</v>
      </c>
      <c r="N149" s="2">
        <v>19.266446999999999</v>
      </c>
      <c r="O149">
        <v>80.747174999999999</v>
      </c>
      <c r="Q149">
        <v>41.850290999999999</v>
      </c>
      <c r="R149">
        <v>0.62505299999999997</v>
      </c>
      <c r="S149">
        <v>10.623803000000001</v>
      </c>
      <c r="T149">
        <v>0.45643400000000001</v>
      </c>
      <c r="U149">
        <v>21.848723</v>
      </c>
      <c r="V149">
        <v>0.10202</v>
      </c>
      <c r="W149">
        <v>13.438038000000001</v>
      </c>
      <c r="X149">
        <v>7.6879609999999996</v>
      </c>
      <c r="Y149">
        <v>2.4785560000000002</v>
      </c>
      <c r="Z149">
        <v>5.2301E-2</v>
      </c>
      <c r="AA149">
        <v>0.83681899999999998</v>
      </c>
      <c r="AB149">
        <v>46.192878999999998</v>
      </c>
      <c r="AC149">
        <v>0</v>
      </c>
      <c r="AD149">
        <v>34.554295000000003</v>
      </c>
      <c r="AE149">
        <v>0</v>
      </c>
      <c r="AF149">
        <f>(W149/40.31)/((W149/40.31)+((U149+T149*0.9)/71.85))</f>
        <v>0.5183170199931163</v>
      </c>
    </row>
    <row r="150" spans="1:33" x14ac:dyDescent="0.25">
      <c r="A150">
        <v>144</v>
      </c>
      <c r="B150" t="s">
        <v>34</v>
      </c>
      <c r="C150">
        <v>1388</v>
      </c>
      <c r="D150">
        <v>15000</v>
      </c>
      <c r="E150">
        <v>-9.4306210000000004</v>
      </c>
      <c r="F150">
        <v>-1548308.584211</v>
      </c>
      <c r="G150">
        <v>-1117190.7768590001</v>
      </c>
      <c r="H150">
        <v>259.52972799999998</v>
      </c>
      <c r="I150">
        <v>129.32813899999999</v>
      </c>
      <c r="J150">
        <v>30.690346000000002</v>
      </c>
      <c r="K150">
        <v>3.2587999999999999</v>
      </c>
      <c r="L150" t="s">
        <v>35</v>
      </c>
      <c r="M150">
        <v>100.013707</v>
      </c>
      <c r="N150" s="2">
        <v>19.629038999999999</v>
      </c>
      <c r="O150">
        <v>80.384668000000005</v>
      </c>
      <c r="Q150">
        <v>41.897990999999998</v>
      </c>
      <c r="R150">
        <v>0.61658299999999999</v>
      </c>
      <c r="S150">
        <v>10.520065000000001</v>
      </c>
      <c r="T150">
        <v>0.45556799999999997</v>
      </c>
      <c r="U150">
        <v>21.915792</v>
      </c>
      <c r="V150">
        <v>0.10353900000000001</v>
      </c>
      <c r="W150">
        <v>13.563936</v>
      </c>
      <c r="X150">
        <v>7.6170999999999998</v>
      </c>
      <c r="Y150">
        <v>2.4367299999999998</v>
      </c>
      <c r="Z150">
        <v>5.1334999999999999E-2</v>
      </c>
      <c r="AA150">
        <v>0.82136100000000001</v>
      </c>
      <c r="AB150">
        <v>46.064239999999998</v>
      </c>
      <c r="AC150">
        <v>0</v>
      </c>
      <c r="AD150">
        <v>34.320427000000002</v>
      </c>
      <c r="AE150">
        <v>0</v>
      </c>
      <c r="AF150">
        <f>(W150/40.31)/((W150/40.31)+((U150+T150*0.9)/71.85))</f>
        <v>0.51990258781983034</v>
      </c>
    </row>
    <row r="151" spans="1:33" s="1" customFormat="1" ht="31.5" x14ac:dyDescent="0.25">
      <c r="A151" s="1">
        <v>145</v>
      </c>
      <c r="B151" s="1" t="s">
        <v>34</v>
      </c>
      <c r="C151" s="1">
        <v>1390</v>
      </c>
      <c r="D151" s="1">
        <v>15000</v>
      </c>
      <c r="E151" s="1">
        <v>-9.4141220000000008</v>
      </c>
      <c r="F151" s="1">
        <v>-1548829.7837360001</v>
      </c>
      <c r="G151" s="1">
        <v>-1116756.6113710001</v>
      </c>
      <c r="H151" s="1">
        <v>259.79206499999998</v>
      </c>
      <c r="I151" s="1">
        <v>129.46562</v>
      </c>
      <c r="J151" s="1">
        <v>30.704228000000001</v>
      </c>
      <c r="K151" s="1">
        <v>3.2573300000000001</v>
      </c>
      <c r="L151" s="1" t="s">
        <v>35</v>
      </c>
      <c r="M151" s="1">
        <v>100.013794</v>
      </c>
      <c r="N151" s="3">
        <v>19.999365000000001</v>
      </c>
      <c r="O151" s="1">
        <v>80.014429000000007</v>
      </c>
      <c r="Q151" s="1">
        <v>41.946091000000003</v>
      </c>
      <c r="R151" s="1">
        <v>0.60813700000000004</v>
      </c>
      <c r="S151" s="1">
        <v>10.415936</v>
      </c>
      <c r="T151" s="1">
        <v>0.45469300000000001</v>
      </c>
      <c r="U151" s="1">
        <v>21.981152000000002</v>
      </c>
      <c r="V151" s="1">
        <v>0.10509599999999999</v>
      </c>
      <c r="W151" s="1">
        <v>13.691110999999999</v>
      </c>
      <c r="X151" s="1">
        <v>7.5458239999999996</v>
      </c>
      <c r="Y151" s="1">
        <v>2.3954249999999999</v>
      </c>
      <c r="Z151" s="1">
        <v>5.0384999999999999E-2</v>
      </c>
      <c r="AA151" s="1">
        <v>0.80615199999999998</v>
      </c>
      <c r="AB151" s="1">
        <v>45.932319999999997</v>
      </c>
      <c r="AC151" s="1">
        <v>0</v>
      </c>
      <c r="AD151" s="1">
        <v>34.082110999999998</v>
      </c>
      <c r="AE151" s="1">
        <v>0</v>
      </c>
      <c r="AF151" s="1">
        <f>(W151/40.31)/((W151/40.31)+((U151+T151*0.9)/71.85))</f>
        <v>0.52151086778316869</v>
      </c>
      <c r="AG151" s="9" t="s">
        <v>247</v>
      </c>
    </row>
    <row r="152" spans="1:33" s="1" customFormat="1" x14ac:dyDescent="0.25">
      <c r="N152" s="3"/>
      <c r="Q152" s="7">
        <f>(Q1-0.2*Q151)/0.8</f>
        <v>45.013477249999994</v>
      </c>
      <c r="R152" s="7">
        <f>(R1-0.2*R151)/0.8</f>
        <v>2.2965750000000004E-2</v>
      </c>
      <c r="S152" s="7">
        <f>(S1-0.2*S151)/0.8</f>
        <v>1.1710159999999996</v>
      </c>
      <c r="T152" s="7"/>
      <c r="U152" s="7">
        <f>(U1-0.2*U151)/0.8</f>
        <v>16.879711999999998</v>
      </c>
      <c r="V152" s="7">
        <f>(V1-0.2*V151)/0.8</f>
        <v>0.54872599999999994</v>
      </c>
      <c r="W152" s="7">
        <f>(W1-0.2*W151)/0.8</f>
        <v>34.327222249999998</v>
      </c>
      <c r="X152" s="7">
        <f>(X1-0.2*X151)/0.8</f>
        <v>1.1760440000000001</v>
      </c>
      <c r="Y152" s="7">
        <f>(Y1-0.2*Y151)/0.8</f>
        <v>2.6143750000000021E-2</v>
      </c>
      <c r="Z152" s="7">
        <v>0</v>
      </c>
      <c r="AA152" s="7">
        <v>0</v>
      </c>
      <c r="AG152" s="1" t="s">
        <v>250</v>
      </c>
    </row>
    <row r="153" spans="1:33" s="1" customFormat="1" x14ac:dyDescent="0.25">
      <c r="N153" s="3"/>
    </row>
    <row r="154" spans="1:33" x14ac:dyDescent="0.25">
      <c r="A154">
        <v>146</v>
      </c>
      <c r="B154" t="s">
        <v>34</v>
      </c>
      <c r="C154">
        <v>1392</v>
      </c>
      <c r="D154">
        <v>15000</v>
      </c>
      <c r="E154">
        <v>-9.3976620000000004</v>
      </c>
      <c r="F154">
        <v>-1549351.5573489999</v>
      </c>
      <c r="G154">
        <v>-1116317.7719990001</v>
      </c>
      <c r="H154">
        <v>260.05692299999998</v>
      </c>
      <c r="I154">
        <v>129.605851</v>
      </c>
      <c r="J154">
        <v>30.718325</v>
      </c>
      <c r="K154">
        <v>3.2558379999999998</v>
      </c>
      <c r="L154" t="s">
        <v>35</v>
      </c>
      <c r="M154">
        <v>100.013884</v>
      </c>
      <c r="N154" s="2">
        <v>20.377638000000001</v>
      </c>
      <c r="O154">
        <v>79.636246</v>
      </c>
      <c r="Q154">
        <v>41.994610000000002</v>
      </c>
      <c r="R154">
        <v>0.59971799999999997</v>
      </c>
      <c r="S154">
        <v>10.311427</v>
      </c>
      <c r="T154">
        <v>0.45380799999999999</v>
      </c>
      <c r="U154">
        <v>22.044740000000001</v>
      </c>
      <c r="V154">
        <v>0.106692</v>
      </c>
      <c r="W154">
        <v>13.819572000000001</v>
      </c>
      <c r="X154">
        <v>7.4741609999999996</v>
      </c>
      <c r="Y154">
        <v>2.354635</v>
      </c>
      <c r="Z154">
        <v>4.9449E-2</v>
      </c>
      <c r="AA154">
        <v>0.79118699999999997</v>
      </c>
      <c r="AB154">
        <v>45.797027999999997</v>
      </c>
      <c r="AC154">
        <v>0</v>
      </c>
      <c r="AD154">
        <v>33.839218000000002</v>
      </c>
      <c r="AE154">
        <v>0</v>
      </c>
      <c r="AF154">
        <f>(W154/40.31)/((W154/40.31)+((U154+T154*0.9)/71.85))</f>
        <v>0.52314225355003463</v>
      </c>
    </row>
    <row r="155" spans="1:33" x14ac:dyDescent="0.25">
      <c r="A155">
        <v>147</v>
      </c>
      <c r="B155" t="s">
        <v>34</v>
      </c>
      <c r="C155">
        <v>1394</v>
      </c>
      <c r="D155">
        <v>15000</v>
      </c>
      <c r="E155">
        <v>-9.3812409999999993</v>
      </c>
      <c r="F155">
        <v>-1549873.9117350001</v>
      </c>
      <c r="G155">
        <v>-1115874.1196590001</v>
      </c>
      <c r="H155">
        <v>260.32438100000002</v>
      </c>
      <c r="I155">
        <v>129.748918</v>
      </c>
      <c r="J155">
        <v>30.732645000000002</v>
      </c>
      <c r="K155">
        <v>3.254324</v>
      </c>
      <c r="L155" t="s">
        <v>35</v>
      </c>
      <c r="M155">
        <v>100.013975</v>
      </c>
      <c r="N155" s="2">
        <v>20.764077</v>
      </c>
      <c r="O155">
        <v>79.249898999999999</v>
      </c>
      <c r="Q155">
        <v>42.043567000000003</v>
      </c>
      <c r="R155">
        <v>0.59132700000000005</v>
      </c>
      <c r="S155">
        <v>10.206550999999999</v>
      </c>
      <c r="T155">
        <v>0.45291500000000001</v>
      </c>
      <c r="U155">
        <v>22.106493</v>
      </c>
      <c r="V155">
        <v>0.10832700000000001</v>
      </c>
      <c r="W155">
        <v>13.949331000000001</v>
      </c>
      <c r="X155">
        <v>7.4021410000000003</v>
      </c>
      <c r="Y155">
        <v>2.3143560000000001</v>
      </c>
      <c r="Z155">
        <v>4.8529000000000003E-2</v>
      </c>
      <c r="AA155">
        <v>0.77646300000000001</v>
      </c>
      <c r="AB155">
        <v>45.658287000000001</v>
      </c>
      <c r="AC155">
        <v>0</v>
      </c>
      <c r="AD155">
        <v>33.591614</v>
      </c>
      <c r="AE155">
        <v>0</v>
      </c>
      <c r="AF155">
        <f>(W155/40.31)/((W155/40.31)+((U155+T155*0.9)/71.85))</f>
        <v>0.52479715787486947</v>
      </c>
    </row>
    <row r="156" spans="1:33" x14ac:dyDescent="0.25">
      <c r="A156">
        <v>148</v>
      </c>
      <c r="B156" t="s">
        <v>34</v>
      </c>
      <c r="C156">
        <v>1396</v>
      </c>
      <c r="D156">
        <v>15000</v>
      </c>
      <c r="E156">
        <v>-9.3648600000000002</v>
      </c>
      <c r="F156">
        <v>-1550396.8537620001</v>
      </c>
      <c r="G156">
        <v>-1115425.5111070001</v>
      </c>
      <c r="H156">
        <v>260.59451999999999</v>
      </c>
      <c r="I156">
        <v>129.89490900000001</v>
      </c>
      <c r="J156">
        <v>30.747195000000001</v>
      </c>
      <c r="K156">
        <v>3.2527870000000001</v>
      </c>
      <c r="L156" t="s">
        <v>35</v>
      </c>
      <c r="M156">
        <v>100.01406900000001</v>
      </c>
      <c r="N156" s="2">
        <v>21.158906999999999</v>
      </c>
      <c r="O156">
        <v>78.855162000000007</v>
      </c>
      <c r="Q156">
        <v>42.092979</v>
      </c>
      <c r="R156">
        <v>0.58296599999999998</v>
      </c>
      <c r="S156">
        <v>10.101324</v>
      </c>
      <c r="T156">
        <v>0.452011</v>
      </c>
      <c r="U156">
        <v>22.166345</v>
      </c>
      <c r="V156">
        <v>0.110002</v>
      </c>
      <c r="W156">
        <v>14.080399999999999</v>
      </c>
      <c r="X156">
        <v>7.3297920000000003</v>
      </c>
      <c r="Y156">
        <v>2.2745820000000001</v>
      </c>
      <c r="Z156">
        <v>4.7622999999999999E-2</v>
      </c>
      <c r="AA156">
        <v>0.76197400000000004</v>
      </c>
      <c r="AB156">
        <v>45.516005999999997</v>
      </c>
      <c r="AC156">
        <v>0</v>
      </c>
      <c r="AD156">
        <v>33.339157</v>
      </c>
      <c r="AE156">
        <v>0</v>
      </c>
      <c r="AF156">
        <f>(W156/40.31)/((W156/40.31)+((U156+T156*0.9)/71.85))</f>
        <v>0.52647607032352717</v>
      </c>
    </row>
    <row r="157" spans="1:33" x14ac:dyDescent="0.25">
      <c r="A157">
        <v>149</v>
      </c>
      <c r="B157" t="s">
        <v>34</v>
      </c>
      <c r="C157">
        <v>1398</v>
      </c>
      <c r="D157">
        <v>15000</v>
      </c>
      <c r="E157">
        <v>-9.3485180000000003</v>
      </c>
      <c r="F157">
        <v>-1550920.3904840001</v>
      </c>
      <c r="G157">
        <v>-1114971.7988460001</v>
      </c>
      <c r="H157">
        <v>260.86742199999998</v>
      </c>
      <c r="I157">
        <v>130.043916</v>
      </c>
      <c r="J157">
        <v>30.761980000000001</v>
      </c>
      <c r="K157">
        <v>3.2512270000000001</v>
      </c>
      <c r="L157" t="s">
        <v>35</v>
      </c>
      <c r="M157">
        <v>100.01416500000001</v>
      </c>
      <c r="N157" s="2">
        <v>21.562359000000001</v>
      </c>
      <c r="O157">
        <v>78.451806000000005</v>
      </c>
      <c r="Q157">
        <v>42.142867000000003</v>
      </c>
      <c r="R157">
        <v>0.57463699999999995</v>
      </c>
      <c r="S157">
        <v>9.9957609999999999</v>
      </c>
      <c r="T157">
        <v>0.451098</v>
      </c>
      <c r="U157">
        <v>22.224229000000001</v>
      </c>
      <c r="V157">
        <v>0.111719</v>
      </c>
      <c r="W157">
        <v>14.212789000000001</v>
      </c>
      <c r="X157">
        <v>7.257142</v>
      </c>
      <c r="Y157">
        <v>2.2353079999999999</v>
      </c>
      <c r="Z157">
        <v>4.6732000000000003E-2</v>
      </c>
      <c r="AA157">
        <v>0.74771600000000005</v>
      </c>
      <c r="AB157">
        <v>45.370097999999999</v>
      </c>
      <c r="AC157">
        <v>0</v>
      </c>
      <c r="AD157">
        <v>33.081707000000002</v>
      </c>
      <c r="AE157">
        <v>0</v>
      </c>
      <c r="AF157">
        <f>(W157/40.31)/((W157/40.31)+((U157+T157*0.9)/71.85))</f>
        <v>0.52817940021577081</v>
      </c>
    </row>
    <row r="158" spans="1:33" x14ac:dyDescent="0.25">
      <c r="A158">
        <v>150</v>
      </c>
      <c r="B158" t="s">
        <v>34</v>
      </c>
      <c r="C158">
        <v>1400</v>
      </c>
      <c r="D158">
        <v>15000</v>
      </c>
      <c r="E158">
        <v>-9.3322160000000007</v>
      </c>
      <c r="F158">
        <v>-1551444.529144</v>
      </c>
      <c r="G158">
        <v>-1114512.8310410001</v>
      </c>
      <c r="H158">
        <v>261.14317199999999</v>
      </c>
      <c r="I158">
        <v>130.196032</v>
      </c>
      <c r="J158">
        <v>30.777007999999999</v>
      </c>
      <c r="K158">
        <v>3.2496420000000001</v>
      </c>
      <c r="L158" t="s">
        <v>35</v>
      </c>
      <c r="M158">
        <v>100.014264</v>
      </c>
      <c r="N158" s="2">
        <v>21.97467</v>
      </c>
      <c r="O158">
        <v>78.039593999999994</v>
      </c>
      <c r="Q158">
        <v>42.193247999999997</v>
      </c>
      <c r="R158">
        <v>0.56634099999999998</v>
      </c>
      <c r="S158">
        <v>9.8898799999999998</v>
      </c>
      <c r="T158">
        <v>0.45017400000000002</v>
      </c>
      <c r="U158">
        <v>22.280075</v>
      </c>
      <c r="V158">
        <v>0.113478</v>
      </c>
      <c r="W158">
        <v>14.34651</v>
      </c>
      <c r="X158">
        <v>7.184221</v>
      </c>
      <c r="Y158">
        <v>2.1965309999999998</v>
      </c>
      <c r="Z158">
        <v>4.5855E-2</v>
      </c>
      <c r="AA158">
        <v>0.73368699999999998</v>
      </c>
      <c r="AB158">
        <v>45.220481999999997</v>
      </c>
      <c r="AC158">
        <v>0</v>
      </c>
      <c r="AD158">
        <v>32.819110999999999</v>
      </c>
      <c r="AE158">
        <v>0</v>
      </c>
      <c r="AF158">
        <f>(W158/40.31)/((W158/40.31)+((U158+T158*0.9)/71.85))</f>
        <v>0.52990765963484221</v>
      </c>
    </row>
    <row r="159" spans="1:33" x14ac:dyDescent="0.25">
      <c r="A159">
        <v>151</v>
      </c>
      <c r="B159" t="s">
        <v>34</v>
      </c>
      <c r="C159">
        <v>1402</v>
      </c>
      <c r="D159">
        <v>15000</v>
      </c>
      <c r="E159">
        <v>-9.3159519999999993</v>
      </c>
      <c r="F159">
        <v>-1551969.2771749999</v>
      </c>
      <c r="G159">
        <v>-1114048.451437</v>
      </c>
      <c r="H159">
        <v>261.42185799999999</v>
      </c>
      <c r="I159">
        <v>130.35135299999999</v>
      </c>
      <c r="J159">
        <v>30.792287999999999</v>
      </c>
      <c r="K159">
        <v>3.2480329999999999</v>
      </c>
      <c r="L159" t="s">
        <v>35</v>
      </c>
      <c r="M159">
        <v>100.014365</v>
      </c>
      <c r="N159" s="2">
        <v>22.396083000000001</v>
      </c>
      <c r="O159">
        <v>77.618281999999994</v>
      </c>
      <c r="Q159">
        <v>42.244143999999999</v>
      </c>
      <c r="R159">
        <v>0.55808000000000002</v>
      </c>
      <c r="S159">
        <v>9.7836970000000001</v>
      </c>
      <c r="T159">
        <v>0.44923999999999997</v>
      </c>
      <c r="U159">
        <v>22.333811000000001</v>
      </c>
      <c r="V159">
        <v>0.11527999999999999</v>
      </c>
      <c r="W159">
        <v>14.481572999999999</v>
      </c>
      <c r="X159">
        <v>7.1110559999999996</v>
      </c>
      <c r="Y159">
        <v>2.1582439999999998</v>
      </c>
      <c r="Z159">
        <v>4.4992999999999998E-2</v>
      </c>
      <c r="AA159">
        <v>0.71988200000000002</v>
      </c>
      <c r="AB159">
        <v>45.067065999999997</v>
      </c>
      <c r="AC159">
        <v>0</v>
      </c>
      <c r="AD159">
        <v>32.551215999999997</v>
      </c>
      <c r="AE159">
        <v>0</v>
      </c>
      <c r="AF159">
        <f>(W159/40.31)/((W159/40.31)+((U159+T159*0.9)/71.85))</f>
        <v>0.53166131236220804</v>
      </c>
    </row>
    <row r="160" spans="1:33" x14ac:dyDescent="0.25">
      <c r="A160">
        <v>152</v>
      </c>
      <c r="B160" t="s">
        <v>34</v>
      </c>
      <c r="C160">
        <v>1404</v>
      </c>
      <c r="D160">
        <v>15000</v>
      </c>
      <c r="E160">
        <v>-9.2997270000000007</v>
      </c>
      <c r="F160">
        <v>-1552494.6422019999</v>
      </c>
      <c r="G160">
        <v>-1113578.499271</v>
      </c>
      <c r="H160">
        <v>261.70357000000001</v>
      </c>
      <c r="I160">
        <v>130.50998000000001</v>
      </c>
      <c r="J160">
        <v>30.807825000000001</v>
      </c>
      <c r="K160">
        <v>3.2463980000000001</v>
      </c>
      <c r="L160" t="s">
        <v>35</v>
      </c>
      <c r="M160">
        <v>100.01446900000001</v>
      </c>
      <c r="N160" s="2">
        <v>22.826847999999998</v>
      </c>
      <c r="O160">
        <v>77.187620999999993</v>
      </c>
      <c r="Q160">
        <v>42.295572999999997</v>
      </c>
      <c r="R160">
        <v>0.54985600000000001</v>
      </c>
      <c r="S160">
        <v>9.6772340000000003</v>
      </c>
      <c r="T160">
        <v>0.448295</v>
      </c>
      <c r="U160">
        <v>22.385365</v>
      </c>
      <c r="V160">
        <v>0.11712400000000001</v>
      </c>
      <c r="W160">
        <v>14.617991</v>
      </c>
      <c r="X160">
        <v>7.0376770000000004</v>
      </c>
      <c r="Y160">
        <v>2.1204450000000001</v>
      </c>
      <c r="Z160">
        <v>4.4144000000000003E-2</v>
      </c>
      <c r="AA160">
        <v>0.70629699999999995</v>
      </c>
      <c r="AB160">
        <v>44.909767000000002</v>
      </c>
      <c r="AC160">
        <v>0</v>
      </c>
      <c r="AD160">
        <v>32.277855000000002</v>
      </c>
      <c r="AE160">
        <v>0</v>
      </c>
      <c r="AF160">
        <f>(W160/40.31)/((W160/40.31)+((U160+T160*0.9)/71.85))</f>
        <v>0.53344088851239035</v>
      </c>
    </row>
    <row r="161" spans="1:32" x14ac:dyDescent="0.25">
      <c r="A161">
        <v>153</v>
      </c>
      <c r="B161" t="s">
        <v>34</v>
      </c>
      <c r="C161">
        <v>1406</v>
      </c>
      <c r="D161">
        <v>15000</v>
      </c>
      <c r="E161">
        <v>-9.2835400000000003</v>
      </c>
      <c r="F161">
        <v>-1553020.6320440001</v>
      </c>
      <c r="G161">
        <v>-1113102.8091859999</v>
      </c>
      <c r="H161">
        <v>261.98840100000001</v>
      </c>
      <c r="I161">
        <v>130.67201499999999</v>
      </c>
      <c r="J161">
        <v>30.823629</v>
      </c>
      <c r="K161">
        <v>3.2447370000000002</v>
      </c>
      <c r="L161" t="s">
        <v>35</v>
      </c>
      <c r="M161">
        <v>100.01457499999999</v>
      </c>
      <c r="N161" s="2">
        <v>23.267218</v>
      </c>
      <c r="O161">
        <v>76.747355999999996</v>
      </c>
      <c r="Q161">
        <v>42.347555999999997</v>
      </c>
      <c r="R161">
        <v>0.54166999999999998</v>
      </c>
      <c r="S161">
        <v>9.5705109999999998</v>
      </c>
      <c r="T161">
        <v>0.44733800000000001</v>
      </c>
      <c r="U161">
        <v>22.434660000000001</v>
      </c>
      <c r="V161">
        <v>0.11901299999999999</v>
      </c>
      <c r="W161">
        <v>14.755775</v>
      </c>
      <c r="X161">
        <v>6.9641109999999999</v>
      </c>
      <c r="Y161">
        <v>2.083129</v>
      </c>
      <c r="Z161">
        <v>4.3307999999999999E-2</v>
      </c>
      <c r="AA161">
        <v>0.69292900000000002</v>
      </c>
      <c r="AB161">
        <v>44.748488999999999</v>
      </c>
      <c r="AC161">
        <v>0</v>
      </c>
      <c r="AD161">
        <v>31.998864999999999</v>
      </c>
      <c r="AE161">
        <v>0</v>
      </c>
      <c r="AF161">
        <f>(W161/40.31)/((W161/40.31)+((U161+T161*0.9)/71.85))</f>
        <v>0.53524693271586288</v>
      </c>
    </row>
    <row r="162" spans="1:32" x14ac:dyDescent="0.25">
      <c r="A162">
        <v>154</v>
      </c>
      <c r="B162" t="s">
        <v>34</v>
      </c>
      <c r="C162">
        <v>1408</v>
      </c>
      <c r="D162">
        <v>15000</v>
      </c>
      <c r="E162">
        <v>-9.2673919999999992</v>
      </c>
      <c r="F162">
        <v>-1553547.254715</v>
      </c>
      <c r="G162">
        <v>-1112621.2111470001</v>
      </c>
      <c r="H162">
        <v>262.27644400000003</v>
      </c>
      <c r="I162">
        <v>130.83756399999999</v>
      </c>
      <c r="J162">
        <v>30.839707000000001</v>
      </c>
      <c r="K162">
        <v>3.2430490000000001</v>
      </c>
      <c r="L162" t="s">
        <v>35</v>
      </c>
      <c r="M162">
        <v>100.014684</v>
      </c>
      <c r="N162" s="2">
        <v>23.717457</v>
      </c>
      <c r="O162">
        <v>76.297227000000007</v>
      </c>
      <c r="Q162">
        <v>42.400114000000002</v>
      </c>
      <c r="R162">
        <v>0.53352500000000003</v>
      </c>
      <c r="S162">
        <v>9.4635499999999997</v>
      </c>
      <c r="T162">
        <v>0.44636900000000002</v>
      </c>
      <c r="U162">
        <v>22.481618999999998</v>
      </c>
      <c r="V162">
        <v>0.120947</v>
      </c>
      <c r="W162">
        <v>14.894935</v>
      </c>
      <c r="X162">
        <v>6.8903879999999997</v>
      </c>
      <c r="Y162">
        <v>2.0462929999999999</v>
      </c>
      <c r="Z162">
        <v>4.2486000000000003E-2</v>
      </c>
      <c r="AA162">
        <v>0.67977500000000002</v>
      </c>
      <c r="AB162">
        <v>44.583157</v>
      </c>
      <c r="AC162">
        <v>0</v>
      </c>
      <c r="AD162">
        <v>31.714071000000001</v>
      </c>
      <c r="AE162">
        <v>0</v>
      </c>
      <c r="AF162">
        <f>(W162/40.31)/((W162/40.31)+((U162+T162*0.9)/71.85))</f>
        <v>0.53707995810641318</v>
      </c>
    </row>
    <row r="163" spans="1:32" x14ac:dyDescent="0.25">
      <c r="A163">
        <v>155</v>
      </c>
      <c r="B163" t="s">
        <v>34</v>
      </c>
      <c r="C163">
        <v>1410</v>
      </c>
      <c r="D163">
        <v>15000</v>
      </c>
      <c r="E163">
        <v>-9.2512830000000008</v>
      </c>
      <c r="F163">
        <v>-1554074.5184259999</v>
      </c>
      <c r="G163">
        <v>-1112133.5303539999</v>
      </c>
      <c r="H163">
        <v>262.56779699999998</v>
      </c>
      <c r="I163">
        <v>131.00673399999999</v>
      </c>
      <c r="J163">
        <v>30.856068</v>
      </c>
      <c r="K163">
        <v>3.241333</v>
      </c>
      <c r="L163" t="s">
        <v>35</v>
      </c>
      <c r="M163">
        <v>100.014796</v>
      </c>
      <c r="N163" s="2">
        <v>24.177831999999999</v>
      </c>
      <c r="O163">
        <v>75.836963999999995</v>
      </c>
      <c r="Q163">
        <v>42.453266999999997</v>
      </c>
      <c r="R163">
        <v>0.52542199999999994</v>
      </c>
      <c r="S163">
        <v>9.3563749999999999</v>
      </c>
      <c r="T163">
        <v>0.44538699999999998</v>
      </c>
      <c r="U163">
        <v>22.526164999999999</v>
      </c>
      <c r="V163">
        <v>0.12292599999999999</v>
      </c>
      <c r="W163">
        <v>15.035482999999999</v>
      </c>
      <c r="X163">
        <v>6.816535</v>
      </c>
      <c r="Y163">
        <v>2.0099330000000002</v>
      </c>
      <c r="Z163">
        <v>4.1676999999999999E-2</v>
      </c>
      <c r="AA163">
        <v>0.66683099999999995</v>
      </c>
      <c r="AB163">
        <v>44.413670000000003</v>
      </c>
      <c r="AC163">
        <v>0</v>
      </c>
      <c r="AD163">
        <v>31.423293999999999</v>
      </c>
      <c r="AE163">
        <v>0</v>
      </c>
      <c r="AF163">
        <f>(W163/40.31)/((W163/40.31)+((U163+T163*0.9)/71.85))</f>
        <v>0.53894051680437316</v>
      </c>
    </row>
    <row r="164" spans="1:32" x14ac:dyDescent="0.25">
      <c r="A164">
        <v>156</v>
      </c>
      <c r="B164" t="s">
        <v>34</v>
      </c>
      <c r="C164">
        <v>1412</v>
      </c>
      <c r="D164">
        <v>15000</v>
      </c>
      <c r="E164">
        <v>-9.2352109999999996</v>
      </c>
      <c r="F164">
        <v>-1554602.4315849999</v>
      </c>
      <c r="G164">
        <v>-1111639.5871520001</v>
      </c>
      <c r="H164">
        <v>262.86256100000003</v>
      </c>
      <c r="I164">
        <v>131.17963800000001</v>
      </c>
      <c r="J164">
        <v>30.872720000000001</v>
      </c>
      <c r="K164">
        <v>3.2395890000000001</v>
      </c>
      <c r="L164" t="s">
        <v>35</v>
      </c>
      <c r="M164">
        <v>100.01491</v>
      </c>
      <c r="N164" s="2">
        <v>24.648616000000001</v>
      </c>
      <c r="O164">
        <v>75.366294999999994</v>
      </c>
      <c r="Q164">
        <v>42.507035999999999</v>
      </c>
      <c r="R164">
        <v>0.51736400000000005</v>
      </c>
      <c r="S164">
        <v>9.2490100000000002</v>
      </c>
      <c r="T164">
        <v>0.44439200000000001</v>
      </c>
      <c r="U164">
        <v>22.568216</v>
      </c>
      <c r="V164">
        <v>0.12495199999999999</v>
      </c>
      <c r="W164">
        <v>15.177429999999999</v>
      </c>
      <c r="X164">
        <v>6.7425800000000002</v>
      </c>
      <c r="Y164">
        <v>1.974045</v>
      </c>
      <c r="Z164">
        <v>4.0881000000000001E-2</v>
      </c>
      <c r="AA164">
        <v>0.65409499999999998</v>
      </c>
      <c r="AB164">
        <v>44.239947999999998</v>
      </c>
      <c r="AC164">
        <v>0</v>
      </c>
      <c r="AD164">
        <v>31.126346999999999</v>
      </c>
      <c r="AE164">
        <v>0</v>
      </c>
      <c r="AF164">
        <f>(W164/40.31)/((W164/40.31)+((U164+T164*0.9)/71.85))</f>
        <v>0.54082918409414571</v>
      </c>
    </row>
    <row r="165" spans="1:32" x14ac:dyDescent="0.25">
      <c r="A165">
        <v>157</v>
      </c>
      <c r="B165" t="s">
        <v>34</v>
      </c>
      <c r="C165">
        <v>1414</v>
      </c>
      <c r="D165">
        <v>15000</v>
      </c>
      <c r="E165">
        <v>-9.2191779999999994</v>
      </c>
      <c r="F165">
        <v>-1555131.0027989999</v>
      </c>
      <c r="G165">
        <v>-1111139.196943</v>
      </c>
      <c r="H165">
        <v>263.16083700000001</v>
      </c>
      <c r="I165">
        <v>131.35639</v>
      </c>
      <c r="J165">
        <v>30.889672999999998</v>
      </c>
      <c r="K165">
        <v>3.2378140000000002</v>
      </c>
      <c r="L165" t="s">
        <v>35</v>
      </c>
      <c r="M165">
        <v>100.015028</v>
      </c>
      <c r="N165" s="2">
        <v>25.130089999999999</v>
      </c>
      <c r="O165">
        <v>74.884938000000005</v>
      </c>
      <c r="Q165">
        <v>42.561442999999997</v>
      </c>
      <c r="R165">
        <v>0.509351</v>
      </c>
      <c r="S165">
        <v>9.1414819999999999</v>
      </c>
      <c r="T165">
        <v>0.443384</v>
      </c>
      <c r="U165">
        <v>22.607690999999999</v>
      </c>
      <c r="V165">
        <v>0.127024</v>
      </c>
      <c r="W165">
        <v>15.320786999999999</v>
      </c>
      <c r="X165">
        <v>6.668552</v>
      </c>
      <c r="Y165">
        <v>1.938626</v>
      </c>
      <c r="Z165">
        <v>4.0098000000000002E-2</v>
      </c>
      <c r="AA165">
        <v>0.64156299999999999</v>
      </c>
      <c r="AB165">
        <v>44.061900999999999</v>
      </c>
      <c r="AC165">
        <v>0</v>
      </c>
      <c r="AD165">
        <v>30.823035999999998</v>
      </c>
      <c r="AE165">
        <v>0</v>
      </c>
      <c r="AF165">
        <f>(W165/40.31)/((W165/40.31)+((U165+T165*0.9)/71.85))</f>
        <v>0.5427465203629761</v>
      </c>
    </row>
    <row r="166" spans="1:32" x14ac:dyDescent="0.25">
      <c r="A166">
        <v>158</v>
      </c>
      <c r="B166" t="s">
        <v>34</v>
      </c>
      <c r="C166">
        <v>1416</v>
      </c>
      <c r="D166">
        <v>15000</v>
      </c>
      <c r="E166">
        <v>-9.2031829999999992</v>
      </c>
      <c r="F166">
        <v>-1555660.2408759999</v>
      </c>
      <c r="G166">
        <v>-1110632.1700919999</v>
      </c>
      <c r="H166">
        <v>263.46273000000002</v>
      </c>
      <c r="I166">
        <v>131.53710899999999</v>
      </c>
      <c r="J166">
        <v>30.906936000000002</v>
      </c>
      <c r="K166">
        <v>3.2360099999999998</v>
      </c>
      <c r="L166" t="s">
        <v>35</v>
      </c>
      <c r="M166">
        <v>100.01514899999999</v>
      </c>
      <c r="N166" s="2">
        <v>25.622540999999998</v>
      </c>
      <c r="O166">
        <v>74.392606999999998</v>
      </c>
      <c r="Q166">
        <v>42.616509000000001</v>
      </c>
      <c r="R166">
        <v>0.50138499999999997</v>
      </c>
      <c r="S166">
        <v>9.0338180000000001</v>
      </c>
      <c r="T166">
        <v>0.44236199999999998</v>
      </c>
      <c r="U166">
        <v>22.644506</v>
      </c>
      <c r="V166">
        <v>0.12914300000000001</v>
      </c>
      <c r="W166">
        <v>15.465566000000001</v>
      </c>
      <c r="X166">
        <v>6.5944779999999996</v>
      </c>
      <c r="Y166">
        <v>1.9036740000000001</v>
      </c>
      <c r="Z166">
        <v>3.9327000000000001E-2</v>
      </c>
      <c r="AA166">
        <v>0.62923200000000001</v>
      </c>
      <c r="AB166">
        <v>43.879447999999996</v>
      </c>
      <c r="AC166">
        <v>0</v>
      </c>
      <c r="AD166">
        <v>30.513159000000002</v>
      </c>
      <c r="AE166">
        <v>0</v>
      </c>
      <c r="AF166">
        <f>(W166/40.31)/((W166/40.31)+((U166+T166*0.9)/71.85))</f>
        <v>0.54469314046974127</v>
      </c>
    </row>
    <row r="167" spans="1:32" x14ac:dyDescent="0.25">
      <c r="A167">
        <v>159</v>
      </c>
      <c r="B167" t="s">
        <v>34</v>
      </c>
      <c r="C167">
        <v>1418</v>
      </c>
      <c r="D167">
        <v>15000</v>
      </c>
      <c r="E167">
        <v>-9.1872260000000008</v>
      </c>
      <c r="F167">
        <v>-1556190.1548240001</v>
      </c>
      <c r="G167">
        <v>-1110118.311826</v>
      </c>
      <c r="H167">
        <v>263.768349</v>
      </c>
      <c r="I167">
        <v>131.721915</v>
      </c>
      <c r="J167">
        <v>30.924519</v>
      </c>
      <c r="K167">
        <v>3.2341739999999999</v>
      </c>
      <c r="L167" t="s">
        <v>35</v>
      </c>
      <c r="M167">
        <v>100.015272</v>
      </c>
      <c r="N167" s="2">
        <v>26.126263000000002</v>
      </c>
      <c r="O167">
        <v>73.889009000000001</v>
      </c>
      <c r="Q167">
        <v>42.672257000000002</v>
      </c>
      <c r="R167">
        <v>0.49346899999999999</v>
      </c>
      <c r="S167">
        <v>8.9260459999999995</v>
      </c>
      <c r="T167">
        <v>0.44132500000000002</v>
      </c>
      <c r="U167">
        <v>22.678576</v>
      </c>
      <c r="V167">
        <v>0.13131000000000001</v>
      </c>
      <c r="W167">
        <v>15.611777</v>
      </c>
      <c r="X167">
        <v>6.5203850000000001</v>
      </c>
      <c r="Y167">
        <v>1.869186</v>
      </c>
      <c r="Z167">
        <v>3.8568999999999999E-2</v>
      </c>
      <c r="AA167">
        <v>0.61710100000000001</v>
      </c>
      <c r="AB167">
        <v>43.692497000000003</v>
      </c>
      <c r="AC167">
        <v>0</v>
      </c>
      <c r="AD167">
        <v>30.19651</v>
      </c>
      <c r="AE167">
        <v>0</v>
      </c>
      <c r="AF167">
        <f>(W167/40.31)/((W167/40.31)+((U167+T167*0.9)/71.85))</f>
        <v>0.54666963417840586</v>
      </c>
    </row>
    <row r="168" spans="1:32" x14ac:dyDescent="0.25">
      <c r="A168">
        <v>160</v>
      </c>
      <c r="B168" t="s">
        <v>34</v>
      </c>
      <c r="C168">
        <v>1420</v>
      </c>
      <c r="D168">
        <v>15000</v>
      </c>
      <c r="E168">
        <v>-9.1713059999999995</v>
      </c>
      <c r="F168">
        <v>-1556720.753851</v>
      </c>
      <c r="G168">
        <v>-1109597.4221330001</v>
      </c>
      <c r="H168">
        <v>264.07780300000002</v>
      </c>
      <c r="I168">
        <v>131.910933</v>
      </c>
      <c r="J168">
        <v>30.942430000000002</v>
      </c>
      <c r="K168">
        <v>3.2323059999999999</v>
      </c>
      <c r="L168" t="s">
        <v>35</v>
      </c>
      <c r="M168">
        <v>100.015399</v>
      </c>
      <c r="N168" s="2">
        <v>26.641555</v>
      </c>
      <c r="O168">
        <v>73.373844000000005</v>
      </c>
      <c r="Q168">
        <v>42.728707999999997</v>
      </c>
      <c r="R168">
        <v>0.48560500000000001</v>
      </c>
      <c r="S168">
        <v>8.8181960000000004</v>
      </c>
      <c r="T168">
        <v>0.44027300000000003</v>
      </c>
      <c r="U168">
        <v>22.709816</v>
      </c>
      <c r="V168">
        <v>0.133525</v>
      </c>
      <c r="W168">
        <v>15.759432</v>
      </c>
      <c r="X168">
        <v>6.4463010000000001</v>
      </c>
      <c r="Y168">
        <v>1.8351569999999999</v>
      </c>
      <c r="Z168">
        <v>3.7823000000000002E-2</v>
      </c>
      <c r="AA168">
        <v>0.60516499999999995</v>
      </c>
      <c r="AB168">
        <v>43.500973000000002</v>
      </c>
      <c r="AC168">
        <v>0</v>
      </c>
      <c r="AD168">
        <v>29.872871</v>
      </c>
      <c r="AE168">
        <v>0</v>
      </c>
      <c r="AF168">
        <f>(W168/40.31)/((W168/40.31)+((U168+T168*0.9)/71.85))</f>
        <v>0.54867661064966144</v>
      </c>
    </row>
    <row r="169" spans="1:32" x14ac:dyDescent="0.25">
      <c r="A169">
        <v>161</v>
      </c>
      <c r="B169" t="s">
        <v>34</v>
      </c>
      <c r="C169">
        <v>1422</v>
      </c>
      <c r="D169">
        <v>15000</v>
      </c>
      <c r="E169">
        <v>-9.155424</v>
      </c>
      <c r="F169">
        <v>-1557252.0473710001</v>
      </c>
      <c r="G169">
        <v>-1109069.29565</v>
      </c>
      <c r="H169">
        <v>264.39120500000001</v>
      </c>
      <c r="I169">
        <v>132.10429199999999</v>
      </c>
      <c r="J169">
        <v>30.960681999999998</v>
      </c>
      <c r="K169">
        <v>3.2304050000000002</v>
      </c>
      <c r="L169" t="s">
        <v>35</v>
      </c>
      <c r="M169">
        <v>100.01553</v>
      </c>
      <c r="N169" s="2">
        <v>27.168724000000001</v>
      </c>
      <c r="O169">
        <v>72.846806000000001</v>
      </c>
      <c r="Q169">
        <v>42.785885999999998</v>
      </c>
      <c r="R169">
        <v>0.47779300000000002</v>
      </c>
      <c r="S169">
        <v>8.7102970000000006</v>
      </c>
      <c r="T169">
        <v>0.43920399999999998</v>
      </c>
      <c r="U169">
        <v>22.738137999999999</v>
      </c>
      <c r="V169">
        <v>0.13578799999999999</v>
      </c>
      <c r="W169">
        <v>15.908542000000001</v>
      </c>
      <c r="X169">
        <v>6.3722529999999997</v>
      </c>
      <c r="Y169">
        <v>1.801587</v>
      </c>
      <c r="Z169">
        <v>3.7088999999999997E-2</v>
      </c>
      <c r="AA169">
        <v>0.59342200000000001</v>
      </c>
      <c r="AB169">
        <v>43.304783</v>
      </c>
      <c r="AC169">
        <v>0</v>
      </c>
      <c r="AD169">
        <v>29.542023</v>
      </c>
      <c r="AE169">
        <v>0</v>
      </c>
      <c r="AF169">
        <f>(W169/40.31)/((W169/40.31)+((U169+T169*0.9)/71.85))</f>
        <v>0.55071471173749365</v>
      </c>
    </row>
    <row r="170" spans="1:32" x14ac:dyDescent="0.25">
      <c r="A170">
        <v>162</v>
      </c>
      <c r="B170" t="s">
        <v>34</v>
      </c>
      <c r="C170">
        <v>1424</v>
      </c>
      <c r="D170">
        <v>15000</v>
      </c>
      <c r="E170">
        <v>-9.1395789999999995</v>
      </c>
      <c r="F170">
        <v>-1557784.0449969999</v>
      </c>
      <c r="G170">
        <v>-1108533.721539</v>
      </c>
      <c r="H170">
        <v>264.70867199999998</v>
      </c>
      <c r="I170">
        <v>132.30212299999999</v>
      </c>
      <c r="J170">
        <v>30.979282999999999</v>
      </c>
      <c r="K170">
        <v>3.228469</v>
      </c>
      <c r="L170" t="s">
        <v>35</v>
      </c>
      <c r="M170">
        <v>100.015663</v>
      </c>
      <c r="N170" s="2">
        <v>27.708082000000001</v>
      </c>
      <c r="O170">
        <v>72.307580999999999</v>
      </c>
      <c r="Q170">
        <v>42.843812</v>
      </c>
      <c r="R170">
        <v>0.47003699999999998</v>
      </c>
      <c r="S170">
        <v>8.6023829999999997</v>
      </c>
      <c r="T170">
        <v>0.43811899999999998</v>
      </c>
      <c r="U170">
        <v>22.763453999999999</v>
      </c>
      <c r="V170">
        <v>0.138101</v>
      </c>
      <c r="W170">
        <v>16.059117000000001</v>
      </c>
      <c r="X170">
        <v>6.2982659999999999</v>
      </c>
      <c r="Y170">
        <v>1.768472</v>
      </c>
      <c r="Z170">
        <v>3.6366999999999997E-2</v>
      </c>
      <c r="AA170">
        <v>0.58187100000000003</v>
      </c>
      <c r="AB170">
        <v>43.103855000000003</v>
      </c>
      <c r="AC170">
        <v>0</v>
      </c>
      <c r="AD170">
        <v>29.203728000000002</v>
      </c>
      <c r="AE170">
        <v>0</v>
      </c>
      <c r="AF170">
        <f>(W170/40.31)/((W170/40.31)+((U170+T170*0.9)/71.85))</f>
        <v>0.55278453273027184</v>
      </c>
    </row>
    <row r="171" spans="1:32" x14ac:dyDescent="0.25">
      <c r="A171">
        <v>163</v>
      </c>
      <c r="B171" t="s">
        <v>34</v>
      </c>
      <c r="C171">
        <v>1426</v>
      </c>
      <c r="D171">
        <v>15000</v>
      </c>
      <c r="E171">
        <v>-9.1237720000000007</v>
      </c>
      <c r="F171">
        <v>-1558316.756548</v>
      </c>
      <c r="G171">
        <v>-1107990.4833569999</v>
      </c>
      <c r="H171">
        <v>265.03032300000001</v>
      </c>
      <c r="I171">
        <v>132.50456</v>
      </c>
      <c r="J171">
        <v>30.998246000000002</v>
      </c>
      <c r="K171">
        <v>3.226499</v>
      </c>
      <c r="L171" t="s">
        <v>35</v>
      </c>
      <c r="M171">
        <v>100.0158</v>
      </c>
      <c r="N171" s="2">
        <v>28.259951000000001</v>
      </c>
      <c r="O171">
        <v>71.755848999999998</v>
      </c>
      <c r="Q171">
        <v>42.902510999999997</v>
      </c>
      <c r="R171">
        <v>0.462337</v>
      </c>
      <c r="S171">
        <v>8.4944860000000002</v>
      </c>
      <c r="T171">
        <v>0.43701600000000002</v>
      </c>
      <c r="U171">
        <v>22.785675000000001</v>
      </c>
      <c r="V171">
        <v>0.140463</v>
      </c>
      <c r="W171">
        <v>16.211169000000002</v>
      </c>
      <c r="X171">
        <v>6.2243680000000001</v>
      </c>
      <c r="Y171">
        <v>1.7358100000000001</v>
      </c>
      <c r="Z171">
        <v>3.5657000000000001E-2</v>
      </c>
      <c r="AA171">
        <v>0.57050800000000002</v>
      </c>
      <c r="AB171">
        <v>42.898102000000002</v>
      </c>
      <c r="AC171">
        <v>0</v>
      </c>
      <c r="AD171">
        <v>28.857748000000001</v>
      </c>
      <c r="AE171">
        <v>0</v>
      </c>
      <c r="AF171">
        <f>(W171/40.31)/((W171/40.31)+((U171+T171*0.9)/71.85))</f>
        <v>0.55488673784542819</v>
      </c>
    </row>
    <row r="172" spans="1:32" x14ac:dyDescent="0.25">
      <c r="A172">
        <v>164</v>
      </c>
      <c r="B172" t="s">
        <v>34</v>
      </c>
      <c r="C172">
        <v>1428</v>
      </c>
      <c r="D172">
        <v>15000</v>
      </c>
      <c r="E172">
        <v>-9.1080009999999998</v>
      </c>
      <c r="F172">
        <v>-1558850.1920479999</v>
      </c>
      <c r="G172">
        <v>-1107439.3589049999</v>
      </c>
      <c r="H172">
        <v>265.35627799999997</v>
      </c>
      <c r="I172">
        <v>132.71174300000001</v>
      </c>
      <c r="J172">
        <v>31.017582000000001</v>
      </c>
      <c r="K172">
        <v>3.2244920000000001</v>
      </c>
      <c r="L172" t="s">
        <v>35</v>
      </c>
      <c r="M172">
        <v>100.01594</v>
      </c>
      <c r="N172" s="2">
        <v>28.824656000000001</v>
      </c>
      <c r="O172">
        <v>71.191283999999996</v>
      </c>
      <c r="Q172">
        <v>42.962004999999998</v>
      </c>
      <c r="R172">
        <v>0.45469599999999999</v>
      </c>
      <c r="S172">
        <v>8.3866379999999996</v>
      </c>
      <c r="T172">
        <v>0.43589499999999998</v>
      </c>
      <c r="U172">
        <v>22.804711999999999</v>
      </c>
      <c r="V172">
        <v>0.142874</v>
      </c>
      <c r="W172">
        <v>16.364709000000001</v>
      </c>
      <c r="X172">
        <v>6.1505840000000003</v>
      </c>
      <c r="Y172">
        <v>1.7035979999999999</v>
      </c>
      <c r="Z172">
        <v>3.4958000000000003E-2</v>
      </c>
      <c r="AA172">
        <v>0.55933100000000002</v>
      </c>
      <c r="AB172">
        <v>42.687446999999999</v>
      </c>
      <c r="AC172">
        <v>0</v>
      </c>
      <c r="AD172">
        <v>28.503836</v>
      </c>
      <c r="AE172">
        <v>0</v>
      </c>
      <c r="AF172">
        <f>(W172/40.31)/((W172/40.31)+((U172+T172*0.9)/71.85))</f>
        <v>0.55702195507299079</v>
      </c>
    </row>
    <row r="173" spans="1:32" x14ac:dyDescent="0.25">
      <c r="A173">
        <v>165</v>
      </c>
      <c r="B173" t="s">
        <v>34</v>
      </c>
      <c r="C173">
        <v>1430</v>
      </c>
      <c r="D173">
        <v>15000</v>
      </c>
      <c r="E173">
        <v>-9.0922680000000007</v>
      </c>
      <c r="F173">
        <v>-1559384.361727</v>
      </c>
      <c r="G173">
        <v>-1106880.1200629999</v>
      </c>
      <c r="H173">
        <v>265.68666400000001</v>
      </c>
      <c r="I173">
        <v>132.92381499999999</v>
      </c>
      <c r="J173">
        <v>31.037302</v>
      </c>
      <c r="K173">
        <v>3.222448</v>
      </c>
      <c r="L173" t="s">
        <v>35</v>
      </c>
      <c r="M173">
        <v>100.01608400000001</v>
      </c>
      <c r="N173" s="2">
        <v>29.402532999999998</v>
      </c>
      <c r="O173">
        <v>70.613551000000001</v>
      </c>
      <c r="Q173">
        <v>43.022317999999999</v>
      </c>
      <c r="R173">
        <v>0.44711499999999998</v>
      </c>
      <c r="S173">
        <v>8.2788740000000001</v>
      </c>
      <c r="T173">
        <v>0.434755</v>
      </c>
      <c r="U173">
        <v>22.820474999999998</v>
      </c>
      <c r="V173">
        <v>0.14533399999999999</v>
      </c>
      <c r="W173">
        <v>16.519746000000001</v>
      </c>
      <c r="X173">
        <v>6.0769390000000003</v>
      </c>
      <c r="Y173">
        <v>1.671835</v>
      </c>
      <c r="Z173">
        <v>3.4271000000000003E-2</v>
      </c>
      <c r="AA173">
        <v>0.54833799999999999</v>
      </c>
      <c r="AB173">
        <v>42.471820999999998</v>
      </c>
      <c r="AC173">
        <v>0</v>
      </c>
      <c r="AD173">
        <v>28.141731</v>
      </c>
      <c r="AE173">
        <v>0</v>
      </c>
      <c r="AF173">
        <f>(W173/40.31)/((W173/40.31)+((U173+T173*0.9)/71.85))</f>
        <v>0.55919080203997795</v>
      </c>
    </row>
    <row r="174" spans="1:32" x14ac:dyDescent="0.25">
      <c r="A174">
        <v>166</v>
      </c>
      <c r="B174" t="s">
        <v>34</v>
      </c>
      <c r="C174">
        <v>1432</v>
      </c>
      <c r="D174">
        <v>15000</v>
      </c>
      <c r="E174">
        <v>-9.0765720000000005</v>
      </c>
      <c r="F174">
        <v>-1559919.276022</v>
      </c>
      <c r="G174">
        <v>-1106312.5326050001</v>
      </c>
      <c r="H174">
        <v>266.02160700000002</v>
      </c>
      <c r="I174">
        <v>133.14091999999999</v>
      </c>
      <c r="J174">
        <v>31.057417999999998</v>
      </c>
      <c r="K174">
        <v>3.2203650000000001</v>
      </c>
      <c r="L174" t="s">
        <v>35</v>
      </c>
      <c r="M174">
        <v>100.016231</v>
      </c>
      <c r="N174" s="2">
        <v>29.993922000000001</v>
      </c>
      <c r="O174">
        <v>70.022310000000004</v>
      </c>
      <c r="Q174">
        <v>43.083472999999998</v>
      </c>
      <c r="R174">
        <v>0.43959599999999999</v>
      </c>
      <c r="S174">
        <v>8.1712279999999993</v>
      </c>
      <c r="T174">
        <v>0.43359500000000001</v>
      </c>
      <c r="U174">
        <v>22.832874</v>
      </c>
      <c r="V174">
        <v>0.147844</v>
      </c>
      <c r="W174">
        <v>16.676292</v>
      </c>
      <c r="X174">
        <v>6.0034580000000002</v>
      </c>
      <c r="Y174">
        <v>1.640517</v>
      </c>
      <c r="Z174">
        <v>3.3595E-2</v>
      </c>
      <c r="AA174">
        <v>0.53752699999999998</v>
      </c>
      <c r="AB174">
        <v>42.251143999999996</v>
      </c>
      <c r="AC174">
        <v>0</v>
      </c>
      <c r="AD174">
        <v>27.771166000000001</v>
      </c>
      <c r="AE174">
        <v>0</v>
      </c>
      <c r="AF174">
        <f>(W174/40.31)/((W174/40.31)+((U174+T174*0.9)/71.85))</f>
        <v>0.56139394161862188</v>
      </c>
    </row>
    <row r="175" spans="1:32" x14ac:dyDescent="0.25">
      <c r="A175">
        <v>167</v>
      </c>
      <c r="B175" t="s">
        <v>34</v>
      </c>
      <c r="C175">
        <v>1434</v>
      </c>
      <c r="D175">
        <v>15000</v>
      </c>
      <c r="E175">
        <v>-9.0609120000000001</v>
      </c>
      <c r="F175">
        <v>-1560454.9455790001</v>
      </c>
      <c r="G175">
        <v>-1105736.355983</v>
      </c>
      <c r="H175">
        <v>266.36123900000001</v>
      </c>
      <c r="I175">
        <v>133.36321000000001</v>
      </c>
      <c r="J175">
        <v>31.077942</v>
      </c>
      <c r="K175">
        <v>3.2182430000000002</v>
      </c>
      <c r="L175" t="s">
        <v>35</v>
      </c>
      <c r="M175">
        <v>100.01638199999999</v>
      </c>
      <c r="N175" s="2">
        <v>30.599171999999999</v>
      </c>
      <c r="O175">
        <v>69.417210999999995</v>
      </c>
      <c r="Q175">
        <v>43.145494999999997</v>
      </c>
      <c r="R175">
        <v>0.43214000000000002</v>
      </c>
      <c r="S175">
        <v>8.0637369999999997</v>
      </c>
      <c r="T175">
        <v>0.43241499999999999</v>
      </c>
      <c r="U175">
        <v>22.841819000000001</v>
      </c>
      <c r="V175">
        <v>0.15040400000000001</v>
      </c>
      <c r="W175">
        <v>16.834358000000002</v>
      </c>
      <c r="X175">
        <v>5.9301649999999997</v>
      </c>
      <c r="Y175">
        <v>1.609642</v>
      </c>
      <c r="Z175">
        <v>3.2931000000000002E-2</v>
      </c>
      <c r="AA175">
        <v>0.52689399999999997</v>
      </c>
      <c r="AB175">
        <v>42.025348999999999</v>
      </c>
      <c r="AC175">
        <v>0</v>
      </c>
      <c r="AD175">
        <v>27.391863000000001</v>
      </c>
      <c r="AE175">
        <v>0</v>
      </c>
      <c r="AF175">
        <f>(W175/40.31)/((W175/40.31)+((U175+T175*0.9)/71.85))</f>
        <v>0.56363201215678149</v>
      </c>
    </row>
    <row r="176" spans="1:32" x14ac:dyDescent="0.25">
      <c r="A176">
        <v>168</v>
      </c>
      <c r="B176" t="s">
        <v>34</v>
      </c>
      <c r="C176">
        <v>1436</v>
      </c>
      <c r="D176">
        <v>15000</v>
      </c>
      <c r="E176">
        <v>-9.0452890000000004</v>
      </c>
      <c r="F176">
        <v>-1560991.3812559999</v>
      </c>
      <c r="G176">
        <v>-1105151.3430910001</v>
      </c>
      <c r="H176">
        <v>266.70569499999999</v>
      </c>
      <c r="I176">
        <v>133.59083999999999</v>
      </c>
      <c r="J176">
        <v>31.098889</v>
      </c>
      <c r="K176">
        <v>3.216081</v>
      </c>
      <c r="L176" t="s">
        <v>35</v>
      </c>
      <c r="M176">
        <v>100.016537</v>
      </c>
      <c r="N176" s="2">
        <v>31.218640000000001</v>
      </c>
      <c r="O176">
        <v>68.797897000000006</v>
      </c>
      <c r="Q176">
        <v>43.208407999999999</v>
      </c>
      <c r="R176">
        <v>0.42475000000000002</v>
      </c>
      <c r="S176">
        <v>7.9564349999999999</v>
      </c>
      <c r="T176">
        <v>0.43121300000000001</v>
      </c>
      <c r="U176">
        <v>22.84722</v>
      </c>
      <c r="V176">
        <v>0.15301300000000001</v>
      </c>
      <c r="W176">
        <v>16.993953000000001</v>
      </c>
      <c r="X176">
        <v>5.8570840000000004</v>
      </c>
      <c r="Y176">
        <v>1.5792079999999999</v>
      </c>
      <c r="Z176">
        <v>3.2277E-2</v>
      </c>
      <c r="AA176">
        <v>0.51643899999999998</v>
      </c>
      <c r="AB176">
        <v>41.794361000000002</v>
      </c>
      <c r="AC176">
        <v>0</v>
      </c>
      <c r="AD176">
        <v>27.003536</v>
      </c>
      <c r="AE176">
        <v>0</v>
      </c>
      <c r="AF176">
        <f>(W176/40.31)/((W176/40.31)+((U176+T176*0.9)/71.85))</f>
        <v>0.56590564295699186</v>
      </c>
    </row>
    <row r="177" spans="1:33" x14ac:dyDescent="0.25">
      <c r="A177">
        <v>169</v>
      </c>
      <c r="B177" t="s">
        <v>34</v>
      </c>
      <c r="C177">
        <v>1438</v>
      </c>
      <c r="D177">
        <v>15000</v>
      </c>
      <c r="E177">
        <v>-9.0297029999999996</v>
      </c>
      <c r="F177">
        <v>-1561528.5941250001</v>
      </c>
      <c r="G177">
        <v>-1104557.2399869999</v>
      </c>
      <c r="H177">
        <v>267.05511200000001</v>
      </c>
      <c r="I177">
        <v>133.82396700000001</v>
      </c>
      <c r="J177">
        <v>31.120270000000001</v>
      </c>
      <c r="K177">
        <v>3.213876</v>
      </c>
      <c r="L177" t="s">
        <v>35</v>
      </c>
      <c r="M177">
        <v>100.016696</v>
      </c>
      <c r="N177" s="2">
        <v>31.852691</v>
      </c>
      <c r="O177">
        <v>68.164004000000006</v>
      </c>
      <c r="Q177">
        <v>43.272235000000002</v>
      </c>
      <c r="R177">
        <v>0.41742699999999999</v>
      </c>
      <c r="S177">
        <v>7.8493589999999998</v>
      </c>
      <c r="T177">
        <v>0.42998799999999998</v>
      </c>
      <c r="U177">
        <v>22.848987000000001</v>
      </c>
      <c r="V177">
        <v>0.15567</v>
      </c>
      <c r="W177">
        <v>17.155087999999999</v>
      </c>
      <c r="X177">
        <v>5.7842380000000002</v>
      </c>
      <c r="Y177">
        <v>1.549213</v>
      </c>
      <c r="Z177">
        <v>3.1635000000000003E-2</v>
      </c>
      <c r="AA177">
        <v>0.50615900000000003</v>
      </c>
      <c r="AB177">
        <v>41.558121</v>
      </c>
      <c r="AC177">
        <v>0</v>
      </c>
      <c r="AD177">
        <v>26.605882999999999</v>
      </c>
      <c r="AE177">
        <v>0</v>
      </c>
      <c r="AF177">
        <f>(W177/40.31)/((W177/40.31)+((U177+T177*0.9)/71.85))</f>
        <v>0.56821548492320373</v>
      </c>
    </row>
    <row r="178" spans="1:33" x14ac:dyDescent="0.25">
      <c r="A178">
        <v>170</v>
      </c>
      <c r="B178" t="s">
        <v>34</v>
      </c>
      <c r="C178">
        <v>1440</v>
      </c>
      <c r="D178">
        <v>15000</v>
      </c>
      <c r="E178">
        <v>-9.0141530000000003</v>
      </c>
      <c r="F178">
        <v>-1562066.5954760001</v>
      </c>
      <c r="G178">
        <v>-1103953.7855839999</v>
      </c>
      <c r="H178">
        <v>267.40963099999999</v>
      </c>
      <c r="I178">
        <v>134.06275500000001</v>
      </c>
      <c r="J178">
        <v>31.142099999999999</v>
      </c>
      <c r="K178">
        <v>3.2116289999999998</v>
      </c>
      <c r="L178" t="s">
        <v>35</v>
      </c>
      <c r="M178">
        <v>100.016858</v>
      </c>
      <c r="N178" s="2">
        <v>32.501699000000002</v>
      </c>
      <c r="O178">
        <v>67.515158</v>
      </c>
      <c r="Q178">
        <v>43.337001999999998</v>
      </c>
      <c r="R178">
        <v>0.41017199999999998</v>
      </c>
      <c r="S178">
        <v>7.7425449999999998</v>
      </c>
      <c r="T178">
        <v>0.42874000000000001</v>
      </c>
      <c r="U178">
        <v>22.847031000000001</v>
      </c>
      <c r="V178">
        <v>0.15837699999999999</v>
      </c>
      <c r="W178">
        <v>17.317774</v>
      </c>
      <c r="X178">
        <v>5.7116499999999997</v>
      </c>
      <c r="Y178">
        <v>1.5196540000000001</v>
      </c>
      <c r="Z178">
        <v>3.1002999999999999E-2</v>
      </c>
      <c r="AA178">
        <v>0.49605199999999999</v>
      </c>
      <c r="AB178">
        <v>41.316563000000002</v>
      </c>
      <c r="AC178">
        <v>0</v>
      </c>
      <c r="AD178">
        <v>26.198595000000001</v>
      </c>
      <c r="AE178">
        <v>0</v>
      </c>
      <c r="AF178">
        <f>(W178/40.31)/((W178/40.31)+((U178+T178*0.9)/71.85))</f>
        <v>0.57056217078063687</v>
      </c>
    </row>
    <row r="179" spans="1:33" x14ac:dyDescent="0.25">
      <c r="A179">
        <v>171</v>
      </c>
      <c r="B179" t="s">
        <v>34</v>
      </c>
      <c r="C179">
        <v>1442</v>
      </c>
      <c r="D179">
        <v>15000</v>
      </c>
      <c r="E179">
        <v>-8.9986390000000007</v>
      </c>
      <c r="F179">
        <v>-1562605.3968189999</v>
      </c>
      <c r="G179">
        <v>-1103340.711291</v>
      </c>
      <c r="H179">
        <v>267.76939900000002</v>
      </c>
      <c r="I179">
        <v>134.30737300000001</v>
      </c>
      <c r="J179">
        <v>31.164393</v>
      </c>
      <c r="K179">
        <v>3.209336</v>
      </c>
      <c r="L179" t="s">
        <v>35</v>
      </c>
      <c r="M179">
        <v>100.01702400000001</v>
      </c>
      <c r="N179" s="2">
        <v>33.166046999999999</v>
      </c>
      <c r="O179">
        <v>66.850977</v>
      </c>
      <c r="Q179">
        <v>43.402732</v>
      </c>
      <c r="R179">
        <v>0.40298699999999998</v>
      </c>
      <c r="S179">
        <v>7.6360289999999997</v>
      </c>
      <c r="T179">
        <v>0.42746800000000001</v>
      </c>
      <c r="U179">
        <v>22.841266000000001</v>
      </c>
      <c r="V179">
        <v>0.161131</v>
      </c>
      <c r="W179">
        <v>17.482021</v>
      </c>
      <c r="X179">
        <v>5.6393409999999999</v>
      </c>
      <c r="Y179">
        <v>1.490529</v>
      </c>
      <c r="Z179">
        <v>3.0381999999999999E-2</v>
      </c>
      <c r="AA179">
        <v>0.48611599999999999</v>
      </c>
      <c r="AB179">
        <v>41.069626</v>
      </c>
      <c r="AC179">
        <v>0</v>
      </c>
      <c r="AD179">
        <v>25.781351000000001</v>
      </c>
      <c r="AE179">
        <v>0</v>
      </c>
      <c r="AF179">
        <f>(W179/40.31)/((W179/40.31)+((U179+T179*0.9)/71.85))</f>
        <v>0.57294629962616983</v>
      </c>
    </row>
    <row r="180" spans="1:33" x14ac:dyDescent="0.25">
      <c r="A180">
        <v>172</v>
      </c>
      <c r="B180" t="s">
        <v>34</v>
      </c>
      <c r="C180">
        <v>1444</v>
      </c>
      <c r="D180">
        <v>15000</v>
      </c>
      <c r="E180">
        <v>-8.9831620000000001</v>
      </c>
      <c r="F180">
        <v>-1563145.0098910001</v>
      </c>
      <c r="G180">
        <v>-1102717.740608</v>
      </c>
      <c r="H180">
        <v>268.13456600000001</v>
      </c>
      <c r="I180">
        <v>134.55799200000001</v>
      </c>
      <c r="J180">
        <v>31.187163999999999</v>
      </c>
      <c r="K180">
        <v>3.2069990000000002</v>
      </c>
      <c r="L180" t="s">
        <v>35</v>
      </c>
      <c r="M180">
        <v>100.017194</v>
      </c>
      <c r="N180" s="2">
        <v>33.846125000000001</v>
      </c>
      <c r="O180">
        <v>66.171069000000003</v>
      </c>
      <c r="Q180">
        <v>43.469448999999997</v>
      </c>
      <c r="R180">
        <v>0.39587299999999997</v>
      </c>
      <c r="S180">
        <v>7.529846</v>
      </c>
      <c r="T180">
        <v>0.42616999999999999</v>
      </c>
      <c r="U180">
        <v>22.831602</v>
      </c>
      <c r="V180">
        <v>0.163933</v>
      </c>
      <c r="W180">
        <v>17.647839999999999</v>
      </c>
      <c r="X180">
        <v>5.5673310000000003</v>
      </c>
      <c r="Y180">
        <v>1.461835</v>
      </c>
      <c r="Z180">
        <v>2.9772E-2</v>
      </c>
      <c r="AA180">
        <v>0.47634799999999999</v>
      </c>
      <c r="AB180">
        <v>40.817253000000001</v>
      </c>
      <c r="AC180">
        <v>0</v>
      </c>
      <c r="AD180">
        <v>25.353816999999999</v>
      </c>
      <c r="AE180">
        <v>0</v>
      </c>
      <c r="AF180">
        <f>(W180/40.31)/((W180/40.31)+((U180+T180*0.9)/71.85))</f>
        <v>0.57536853968000123</v>
      </c>
    </row>
    <row r="181" spans="1:33" x14ac:dyDescent="0.25">
      <c r="A181">
        <v>173</v>
      </c>
      <c r="B181" t="s">
        <v>34</v>
      </c>
      <c r="C181">
        <v>1446</v>
      </c>
      <c r="D181">
        <v>15000</v>
      </c>
      <c r="E181">
        <v>-8.9677199999999999</v>
      </c>
      <c r="F181">
        <v>-1563685.4466609999</v>
      </c>
      <c r="G181">
        <v>-1102084.5886649999</v>
      </c>
      <c r="H181">
        <v>268.50528300000002</v>
      </c>
      <c r="I181">
        <v>134.81478999999999</v>
      </c>
      <c r="J181">
        <v>31.210428</v>
      </c>
      <c r="K181">
        <v>3.2046139999999999</v>
      </c>
      <c r="L181" t="s">
        <v>35</v>
      </c>
      <c r="M181">
        <v>100.017368</v>
      </c>
      <c r="N181" s="2">
        <v>34.542338000000001</v>
      </c>
      <c r="O181">
        <v>65.475030000000004</v>
      </c>
      <c r="Q181">
        <v>43.537179999999999</v>
      </c>
      <c r="R181">
        <v>0.38883099999999998</v>
      </c>
      <c r="S181">
        <v>7.4240339999999998</v>
      </c>
      <c r="T181">
        <v>0.42484699999999997</v>
      </c>
      <c r="U181">
        <v>22.817955999999999</v>
      </c>
      <c r="V181">
        <v>0.16678100000000001</v>
      </c>
      <c r="W181">
        <v>17.815238999999998</v>
      </c>
      <c r="X181">
        <v>5.4956430000000003</v>
      </c>
      <c r="Y181">
        <v>1.43357</v>
      </c>
      <c r="Z181">
        <v>2.9172E-2</v>
      </c>
      <c r="AA181">
        <v>0.46674700000000002</v>
      </c>
      <c r="AB181">
        <v>40.559382999999997</v>
      </c>
      <c r="AC181">
        <v>0</v>
      </c>
      <c r="AD181">
        <v>24.915645999999999</v>
      </c>
      <c r="AE181">
        <v>0</v>
      </c>
      <c r="AF181">
        <f>(W181/40.31)/((W181/40.31)+((U181+T181*0.9)/71.85))</f>
        <v>0.57782941950774513</v>
      </c>
    </row>
    <row r="182" spans="1:33" s="1" customFormat="1" x14ac:dyDescent="0.25">
      <c r="A182" s="1">
        <v>174</v>
      </c>
      <c r="B182" s="1" t="s">
        <v>34</v>
      </c>
      <c r="C182" s="1">
        <v>1448</v>
      </c>
      <c r="D182" s="1">
        <v>15000</v>
      </c>
      <c r="E182" s="1">
        <v>-8.9523150000000005</v>
      </c>
      <c r="F182" s="1">
        <v>-1564226.719337</v>
      </c>
      <c r="G182" s="1">
        <v>-1101440.9617029999</v>
      </c>
      <c r="H182" s="1">
        <v>268.881711</v>
      </c>
      <c r="I182" s="1">
        <v>135.07795200000001</v>
      </c>
      <c r="J182" s="1">
        <v>31.234200999999999</v>
      </c>
      <c r="K182" s="1">
        <v>3.2021799999999998</v>
      </c>
      <c r="L182" s="1" t="s">
        <v>35</v>
      </c>
      <c r="M182" s="1">
        <v>100.017546</v>
      </c>
      <c r="N182" s="3">
        <v>35.255097999999997</v>
      </c>
      <c r="O182" s="1">
        <v>64.762448000000006</v>
      </c>
      <c r="Q182" s="1">
        <v>43.605947</v>
      </c>
      <c r="R182" s="1">
        <v>0.38186399999999998</v>
      </c>
      <c r="S182" s="1">
        <v>7.3186270000000002</v>
      </c>
      <c r="T182" s="1">
        <v>0.42349599999999998</v>
      </c>
      <c r="U182" s="1">
        <v>22.800243999999999</v>
      </c>
      <c r="V182" s="1">
        <v>0.16967599999999999</v>
      </c>
      <c r="W182" s="1">
        <v>17.984231000000001</v>
      </c>
      <c r="X182" s="1">
        <v>5.4242929999999996</v>
      </c>
      <c r="Y182" s="1">
        <v>1.4057310000000001</v>
      </c>
      <c r="Z182" s="1">
        <v>2.8582E-2</v>
      </c>
      <c r="AA182" s="1">
        <v>0.45731100000000002</v>
      </c>
      <c r="AB182" s="1">
        <v>40.295974999999999</v>
      </c>
      <c r="AC182" s="1">
        <v>0</v>
      </c>
      <c r="AD182" s="1">
        <v>24.466474999999999</v>
      </c>
      <c r="AE182" s="1">
        <v>0</v>
      </c>
      <c r="AF182" s="1">
        <f>(W182/40.31)/((W182/40.31)+((U182+T182*0.9)/71.85))</f>
        <v>0.5803295898221793</v>
      </c>
      <c r="AG182" s="8" t="s">
        <v>246</v>
      </c>
    </row>
    <row r="183" spans="1:33" s="1" customFormat="1" x14ac:dyDescent="0.25">
      <c r="A183" s="1">
        <v>175</v>
      </c>
      <c r="B183" s="1" t="s">
        <v>34</v>
      </c>
      <c r="C183" s="1">
        <v>1450</v>
      </c>
      <c r="D183" s="1">
        <v>15000</v>
      </c>
      <c r="E183" s="1">
        <v>-8.9369449999999997</v>
      </c>
      <c r="F183" s="1">
        <v>-1564768.8403749999</v>
      </c>
      <c r="G183" s="1">
        <v>-1100786.55648</v>
      </c>
      <c r="H183" s="1">
        <v>269.26401299999998</v>
      </c>
      <c r="I183" s="1">
        <v>135.347667</v>
      </c>
      <c r="J183" s="1">
        <v>31.258499</v>
      </c>
      <c r="K183" s="1">
        <v>3.199697</v>
      </c>
      <c r="L183" s="1" t="s">
        <v>35</v>
      </c>
      <c r="M183" s="1">
        <v>100.01772800000001</v>
      </c>
      <c r="N183" s="3">
        <v>35.984831</v>
      </c>
      <c r="O183" s="1">
        <v>64.032895999999994</v>
      </c>
      <c r="Q183" s="1">
        <v>43.675775000000002</v>
      </c>
      <c r="R183" s="1">
        <v>0.374971</v>
      </c>
      <c r="S183" s="1">
        <v>7.21366</v>
      </c>
      <c r="T183" s="1">
        <v>0.42211700000000002</v>
      </c>
      <c r="U183" s="1">
        <v>22.778383000000002</v>
      </c>
      <c r="V183" s="1">
        <v>0.17261399999999999</v>
      </c>
      <c r="W183" s="1">
        <v>18.154824000000001</v>
      </c>
      <c r="X183" s="1">
        <v>5.3533020000000002</v>
      </c>
      <c r="Y183" s="1">
        <v>1.378315</v>
      </c>
      <c r="Z183" s="1">
        <v>2.8001999999999999E-2</v>
      </c>
      <c r="AA183" s="1">
        <v>0.44803700000000002</v>
      </c>
      <c r="AB183" s="1">
        <v>40.026966000000002</v>
      </c>
      <c r="AC183" s="1">
        <v>0</v>
      </c>
      <c r="AD183" s="1">
        <v>24.005929999999999</v>
      </c>
      <c r="AE183" s="1">
        <v>0</v>
      </c>
      <c r="AF183" s="1">
        <f>(W183/40.31)/((W183/40.31)+((U183+T183*0.9)/71.85))</f>
        <v>0.58286959893650769</v>
      </c>
      <c r="AG183" s="8"/>
    </row>
    <row r="184" spans="1:33" s="1" customFormat="1" x14ac:dyDescent="0.25">
      <c r="A184" s="1">
        <v>176</v>
      </c>
      <c r="B184" s="1" t="s">
        <v>34</v>
      </c>
      <c r="C184" s="1">
        <v>1452</v>
      </c>
      <c r="D184" s="1">
        <v>15000</v>
      </c>
      <c r="E184" s="1">
        <v>-8.9216110000000004</v>
      </c>
      <c r="F184" s="1">
        <v>-1565311.8224859999</v>
      </c>
      <c r="G184" s="1">
        <v>-1100121.0596060001</v>
      </c>
      <c r="H184" s="1">
        <v>269.65235699999999</v>
      </c>
      <c r="I184" s="1">
        <v>135.62413000000001</v>
      </c>
      <c r="J184" s="1">
        <v>31.283339999999999</v>
      </c>
      <c r="K184" s="1">
        <v>3.1971620000000001</v>
      </c>
      <c r="L184" s="1" t="s">
        <v>35</v>
      </c>
      <c r="M184" s="1">
        <v>100.017914</v>
      </c>
      <c r="N184" s="3">
        <v>36.731976000000003</v>
      </c>
      <c r="O184" s="1">
        <v>63.285938000000002</v>
      </c>
      <c r="Q184" s="1">
        <v>43.746689000000003</v>
      </c>
      <c r="R184" s="1">
        <v>0.36815500000000001</v>
      </c>
      <c r="S184" s="1">
        <v>7.1091670000000002</v>
      </c>
      <c r="T184" s="1">
        <v>0.42070800000000003</v>
      </c>
      <c r="U184" s="1">
        <v>22.752293999999999</v>
      </c>
      <c r="V184" s="1">
        <v>0.175597</v>
      </c>
      <c r="W184" s="1">
        <v>18.327029</v>
      </c>
      <c r="X184" s="1">
        <v>5.282686</v>
      </c>
      <c r="Y184" s="1">
        <v>1.3513200000000001</v>
      </c>
      <c r="Z184" s="1">
        <v>2.7432999999999999E-2</v>
      </c>
      <c r="AA184" s="1">
        <v>0.43892399999999998</v>
      </c>
      <c r="AB184" s="1">
        <v>39.752316</v>
      </c>
      <c r="AC184" s="1">
        <v>0</v>
      </c>
      <c r="AD184" s="1">
        <v>23.533621</v>
      </c>
      <c r="AE184" s="1">
        <v>0</v>
      </c>
      <c r="AF184" s="1">
        <f>(W184/40.31)/((W184/40.31)+((U184+T184*0.9)/71.85))</f>
        <v>0.58545001881553149</v>
      </c>
      <c r="AG184" s="8"/>
    </row>
    <row r="185" spans="1:33" s="1" customFormat="1" x14ac:dyDescent="0.25">
      <c r="A185" s="1">
        <v>177</v>
      </c>
      <c r="B185" s="1" t="s">
        <v>34</v>
      </c>
      <c r="C185" s="1">
        <v>1454</v>
      </c>
      <c r="D185" s="1">
        <v>15000</v>
      </c>
      <c r="E185" s="1">
        <v>-8.9063119999999998</v>
      </c>
      <c r="F185" s="1">
        <v>-1565855.6786519999</v>
      </c>
      <c r="G185" s="1">
        <v>-1099444.146797</v>
      </c>
      <c r="H185" s="1">
        <v>270.04691700000001</v>
      </c>
      <c r="I185" s="1">
        <v>135.907543</v>
      </c>
      <c r="J185" s="1">
        <v>31.308741000000001</v>
      </c>
      <c r="K185" s="1">
        <v>3.1945739999999998</v>
      </c>
      <c r="L185" s="1" t="s">
        <v>35</v>
      </c>
      <c r="M185" s="1">
        <v>100.01810399999999</v>
      </c>
      <c r="N185" s="3">
        <v>37.496983999999998</v>
      </c>
      <c r="O185" s="1">
        <v>62.521120000000003</v>
      </c>
      <c r="Q185" s="1">
        <v>43.818711999999998</v>
      </c>
      <c r="R185" s="1">
        <v>0.36141499999999999</v>
      </c>
      <c r="S185" s="1">
        <v>7.0051800000000002</v>
      </c>
      <c r="T185" s="1">
        <v>0.419269</v>
      </c>
      <c r="U185" s="1">
        <v>22.721899000000001</v>
      </c>
      <c r="V185" s="1">
        <v>0.178621</v>
      </c>
      <c r="W185" s="1">
        <v>18.500858000000001</v>
      </c>
      <c r="X185" s="1">
        <v>5.2124620000000004</v>
      </c>
      <c r="Y185" s="1">
        <v>1.3247409999999999</v>
      </c>
      <c r="Z185" s="1">
        <v>2.6873000000000001E-2</v>
      </c>
      <c r="AA185" s="1">
        <v>0.42996899999999999</v>
      </c>
      <c r="AB185" s="1">
        <v>39.471977000000003</v>
      </c>
      <c r="AC185" s="1">
        <v>0</v>
      </c>
      <c r="AD185" s="1">
        <v>23.049143000000001</v>
      </c>
      <c r="AE185" s="1">
        <v>0</v>
      </c>
      <c r="AF185" s="1">
        <f>(W185/40.31)/((W185/40.31)+((U185+T185*0.9)/71.85))</f>
        <v>0.58807141086971559</v>
      </c>
      <c r="AG185" s="8"/>
    </row>
    <row r="186" spans="1:33" s="1" customFormat="1" x14ac:dyDescent="0.25">
      <c r="A186" s="1">
        <v>178</v>
      </c>
      <c r="B186" s="1" t="s">
        <v>34</v>
      </c>
      <c r="C186" s="1">
        <v>1456</v>
      </c>
      <c r="D186" s="1">
        <v>15000</v>
      </c>
      <c r="E186" s="1">
        <v>-8.8910479999999996</v>
      </c>
      <c r="F186" s="1">
        <v>-1566400.4221300001</v>
      </c>
      <c r="G186" s="1">
        <v>-1098755.4820359999</v>
      </c>
      <c r="H186" s="1">
        <v>270.44787300000002</v>
      </c>
      <c r="I186" s="1">
        <v>136.198116</v>
      </c>
      <c r="J186" s="1">
        <v>31.334720000000001</v>
      </c>
      <c r="K186" s="1">
        <v>3.191932</v>
      </c>
      <c r="L186" s="1" t="s">
        <v>35</v>
      </c>
      <c r="M186" s="1">
        <v>100.018298</v>
      </c>
      <c r="N186" s="3">
        <v>38.280323000000003</v>
      </c>
      <c r="O186" s="1">
        <v>61.737974000000001</v>
      </c>
      <c r="Q186" s="1">
        <v>43.891869999999997</v>
      </c>
      <c r="R186" s="1">
        <v>0.35475400000000001</v>
      </c>
      <c r="S186" s="1">
        <v>6.9017330000000001</v>
      </c>
      <c r="T186" s="1">
        <v>0.41779899999999998</v>
      </c>
      <c r="U186" s="1">
        <v>22.687123</v>
      </c>
      <c r="V186" s="1">
        <v>0.18168500000000001</v>
      </c>
      <c r="W186" s="1">
        <v>18.67632</v>
      </c>
      <c r="X186" s="1">
        <v>5.1426460000000001</v>
      </c>
      <c r="Y186" s="1">
        <v>1.2985770000000001</v>
      </c>
      <c r="Z186" s="1">
        <v>2.6322999999999999E-2</v>
      </c>
      <c r="AA186" s="1">
        <v>0.42116999999999999</v>
      </c>
      <c r="AB186" s="1">
        <v>39.185904999999998</v>
      </c>
      <c r="AC186" s="1">
        <v>0</v>
      </c>
      <c r="AD186" s="1">
        <v>22.552068999999999</v>
      </c>
      <c r="AE186" s="1">
        <v>0</v>
      </c>
      <c r="AF186" s="1">
        <f>(W186/40.31)/((W186/40.31)+((U186+T186*0.9)/71.85))</f>
        <v>0.59073428127431504</v>
      </c>
      <c r="AG186" s="8"/>
    </row>
    <row r="187" spans="1:33" s="1" customFormat="1" x14ac:dyDescent="0.25">
      <c r="A187" s="1">
        <v>179</v>
      </c>
      <c r="B187" s="1" t="s">
        <v>34</v>
      </c>
      <c r="C187" s="1">
        <v>1458</v>
      </c>
      <c r="D187" s="1">
        <v>15000</v>
      </c>
      <c r="E187" s="1">
        <v>-8.8758199999999992</v>
      </c>
      <c r="F187" s="1">
        <v>-1566946.066477</v>
      </c>
      <c r="G187" s="1">
        <v>-1098054.716639</v>
      </c>
      <c r="H187" s="1">
        <v>270.855414</v>
      </c>
      <c r="I187" s="1">
        <v>136.49606600000001</v>
      </c>
      <c r="J187" s="1">
        <v>31.361298000000001</v>
      </c>
      <c r="K187" s="1">
        <v>3.1892330000000002</v>
      </c>
      <c r="L187" s="1" t="s">
        <v>35</v>
      </c>
      <c r="M187" s="1">
        <v>100.018496</v>
      </c>
      <c r="N187" s="3">
        <v>39.082478999999999</v>
      </c>
      <c r="O187" s="1">
        <v>60.936017</v>
      </c>
      <c r="Q187" s="1">
        <v>43.966186</v>
      </c>
      <c r="R187" s="1">
        <v>0.34817100000000001</v>
      </c>
      <c r="S187" s="1">
        <v>6.7988559999999998</v>
      </c>
      <c r="T187" s="1">
        <v>0.416296</v>
      </c>
      <c r="U187" s="1">
        <v>22.647894999999998</v>
      </c>
      <c r="V187" s="1">
        <v>0.18478900000000001</v>
      </c>
      <c r="W187" s="1">
        <v>18.853425999999999</v>
      </c>
      <c r="X187" s="1">
        <v>5.073251</v>
      </c>
      <c r="Y187" s="1">
        <v>1.272823</v>
      </c>
      <c r="Z187" s="1">
        <v>2.5783E-2</v>
      </c>
      <c r="AA187" s="1">
        <v>0.412526</v>
      </c>
      <c r="AB187" s="1">
        <v>38.894058000000001</v>
      </c>
      <c r="AC187" s="1">
        <v>0</v>
      </c>
      <c r="AD187" s="1">
        <v>22.04196</v>
      </c>
      <c r="AE187" s="1">
        <v>0</v>
      </c>
      <c r="AF187" s="1">
        <f>(W187/40.31)/((W187/40.31)+((U187+T187*0.9)/71.85))</f>
        <v>0.59343913715022234</v>
      </c>
      <c r="AG187" s="8"/>
    </row>
    <row r="188" spans="1:33" s="1" customFormat="1" x14ac:dyDescent="0.25">
      <c r="A188" s="1">
        <v>180</v>
      </c>
      <c r="B188" s="1" t="s">
        <v>34</v>
      </c>
      <c r="C188" s="1">
        <v>1460</v>
      </c>
      <c r="D188" s="1">
        <v>15000</v>
      </c>
      <c r="E188" s="1">
        <v>-8.8606269999999991</v>
      </c>
      <c r="F188" s="1">
        <v>-1567492.6255590001</v>
      </c>
      <c r="G188" s="1">
        <v>-1097341.4882149999</v>
      </c>
      <c r="H188" s="1">
        <v>271.26973299999997</v>
      </c>
      <c r="I188" s="1">
        <v>136.80161899999999</v>
      </c>
      <c r="J188" s="1">
        <v>31.388493</v>
      </c>
      <c r="K188" s="1">
        <v>3.186477</v>
      </c>
      <c r="L188" s="1" t="s">
        <v>35</v>
      </c>
      <c r="M188" s="1">
        <v>100.018698</v>
      </c>
      <c r="N188" s="3">
        <v>39.903953000000001</v>
      </c>
      <c r="O188" s="1">
        <v>60.114744999999999</v>
      </c>
      <c r="Q188" s="1">
        <v>44.041682999999999</v>
      </c>
      <c r="R188" s="1">
        <v>0.341667</v>
      </c>
      <c r="S188" s="1">
        <v>6.6965789999999998</v>
      </c>
      <c r="T188" s="1">
        <v>0.41476000000000002</v>
      </c>
      <c r="U188" s="1">
        <v>22.604143000000001</v>
      </c>
      <c r="V188" s="1">
        <v>0.18792900000000001</v>
      </c>
      <c r="W188" s="1">
        <v>19.032187</v>
      </c>
      <c r="X188" s="1">
        <v>5.0042910000000003</v>
      </c>
      <c r="Y188" s="1">
        <v>1.2474749999999999</v>
      </c>
      <c r="Z188" s="1">
        <v>2.5252E-2</v>
      </c>
      <c r="AA188" s="1">
        <v>0.40403299999999998</v>
      </c>
      <c r="AB188" s="1">
        <v>38.59639</v>
      </c>
      <c r="AC188" s="1">
        <v>0</v>
      </c>
      <c r="AD188" s="1">
        <v>21.518353999999999</v>
      </c>
      <c r="AE188" s="1">
        <v>0</v>
      </c>
      <c r="AF188" s="1">
        <f>(W188/40.31)/((W188/40.31)+((U188+T188*0.9)/71.85))</f>
        <v>0.59618648430659715</v>
      </c>
      <c r="AG188" s="8"/>
    </row>
    <row r="189" spans="1:33" s="1" customFormat="1" x14ac:dyDescent="0.25">
      <c r="A189" s="1">
        <v>181</v>
      </c>
      <c r="B189" s="1" t="s">
        <v>34</v>
      </c>
      <c r="C189" s="1">
        <v>1462</v>
      </c>
      <c r="D189" s="1">
        <v>15000</v>
      </c>
      <c r="E189" s="1">
        <v>-8.8454700000000006</v>
      </c>
      <c r="F189" s="1">
        <v>-1568040.11357</v>
      </c>
      <c r="G189" s="1">
        <v>-1096615.4195069999</v>
      </c>
      <c r="H189" s="1">
        <v>271.69103200000001</v>
      </c>
      <c r="I189" s="1">
        <v>137.11501000000001</v>
      </c>
      <c r="J189" s="1">
        <v>31.416326999999999</v>
      </c>
      <c r="K189" s="1">
        <v>3.1836600000000002</v>
      </c>
      <c r="L189" s="1" t="s">
        <v>35</v>
      </c>
      <c r="M189" s="1">
        <v>100.018905</v>
      </c>
      <c r="N189" s="3">
        <v>40.745269</v>
      </c>
      <c r="O189" s="1">
        <v>59.273636000000003</v>
      </c>
      <c r="Q189" s="1">
        <v>44.118386000000001</v>
      </c>
      <c r="R189" s="1">
        <v>0.33524300000000001</v>
      </c>
      <c r="S189" s="1">
        <v>6.5949289999999996</v>
      </c>
      <c r="T189" s="1">
        <v>0.413188</v>
      </c>
      <c r="U189" s="1">
        <v>22.555803000000001</v>
      </c>
      <c r="V189" s="1">
        <v>0.191103</v>
      </c>
      <c r="W189" s="1">
        <v>19.212615</v>
      </c>
      <c r="X189" s="1">
        <v>4.935778</v>
      </c>
      <c r="Y189" s="1">
        <v>1.222531</v>
      </c>
      <c r="Z189" s="1">
        <v>2.4731E-2</v>
      </c>
      <c r="AA189" s="1">
        <v>0.39569100000000001</v>
      </c>
      <c r="AB189" s="1">
        <v>38.292865999999997</v>
      </c>
      <c r="AC189" s="1">
        <v>0</v>
      </c>
      <c r="AD189" s="1">
        <v>20.980772000000002</v>
      </c>
      <c r="AE189" s="1">
        <v>0</v>
      </c>
      <c r="AF189" s="1">
        <f>(W189/40.31)/((W189/40.31)+((U189+T189*0.9)/71.85))</f>
        <v>0.59897679296755846</v>
      </c>
      <c r="AG189" s="8"/>
    </row>
    <row r="190" spans="1:33" s="1" customFormat="1" x14ac:dyDescent="0.25">
      <c r="A190" s="1">
        <v>182</v>
      </c>
      <c r="B190" s="1" t="s">
        <v>34</v>
      </c>
      <c r="C190" s="1">
        <v>1464</v>
      </c>
      <c r="D190" s="1">
        <v>15000</v>
      </c>
      <c r="E190" s="1">
        <v>-8.8303469999999997</v>
      </c>
      <c r="F190" s="1">
        <v>-1568588.5450569999</v>
      </c>
      <c r="G190" s="1">
        <v>-1095876.1171200001</v>
      </c>
      <c r="H190" s="1">
        <v>272.11952200000002</v>
      </c>
      <c r="I190" s="1">
        <v>137.43648300000001</v>
      </c>
      <c r="J190" s="1">
        <v>31.444821000000001</v>
      </c>
      <c r="K190" s="1">
        <v>3.1807820000000002</v>
      </c>
      <c r="L190" s="1" t="s">
        <v>35</v>
      </c>
      <c r="M190" s="1">
        <v>100.019116</v>
      </c>
      <c r="N190" s="3">
        <v>41.606971999999999</v>
      </c>
      <c r="O190" s="1">
        <v>58.412143</v>
      </c>
      <c r="Q190" s="1">
        <v>44.196317999999998</v>
      </c>
      <c r="R190" s="1">
        <v>0.32890000000000003</v>
      </c>
      <c r="S190" s="1">
        <v>6.4939340000000003</v>
      </c>
      <c r="T190" s="1">
        <v>0.411582</v>
      </c>
      <c r="U190" s="1">
        <v>22.502811999999999</v>
      </c>
      <c r="V190" s="1">
        <v>0.19431100000000001</v>
      </c>
      <c r="W190" s="1">
        <v>19.394721000000001</v>
      </c>
      <c r="X190" s="1">
        <v>4.8677239999999999</v>
      </c>
      <c r="Y190" s="1">
        <v>1.1979850000000001</v>
      </c>
      <c r="Z190" s="1">
        <v>2.4218E-2</v>
      </c>
      <c r="AA190" s="1">
        <v>0.38749600000000001</v>
      </c>
      <c r="AB190" s="1">
        <v>37.983437000000002</v>
      </c>
      <c r="AC190" s="1">
        <v>0</v>
      </c>
      <c r="AD190" s="1">
        <v>20.428705000000001</v>
      </c>
      <c r="AE190" s="1">
        <v>0</v>
      </c>
      <c r="AF190" s="1">
        <f>(W190/40.31)/((W190/40.31)+((U190+T190*0.9)/71.85))</f>
        <v>0.6018104705887245</v>
      </c>
      <c r="AG190" s="8"/>
    </row>
    <row r="191" spans="1:33" s="1" customFormat="1" x14ac:dyDescent="0.25">
      <c r="A191" s="1">
        <v>183</v>
      </c>
      <c r="B191" s="1" t="s">
        <v>34</v>
      </c>
      <c r="C191" s="1">
        <v>1466</v>
      </c>
      <c r="D191" s="1">
        <v>15000</v>
      </c>
      <c r="E191" s="1">
        <v>-8.815258</v>
      </c>
      <c r="F191" s="1">
        <v>-1569137.934937</v>
      </c>
      <c r="G191" s="1">
        <v>-1095123.170106</v>
      </c>
      <c r="H191" s="1">
        <v>272.55542400000002</v>
      </c>
      <c r="I191" s="1">
        <v>137.76629299999999</v>
      </c>
      <c r="J191" s="1">
        <v>31.473998999999999</v>
      </c>
      <c r="K191" s="1">
        <v>3.1778400000000002</v>
      </c>
      <c r="L191" s="1" t="s">
        <v>35</v>
      </c>
      <c r="M191" s="1">
        <v>100.01933099999999</v>
      </c>
      <c r="N191" s="3">
        <v>42.489631000000003</v>
      </c>
      <c r="O191" s="1">
        <v>57.529699000000001</v>
      </c>
      <c r="Q191" s="1">
        <v>44.275502000000003</v>
      </c>
      <c r="R191" s="1">
        <v>0.32263700000000001</v>
      </c>
      <c r="S191" s="1">
        <v>6.393618</v>
      </c>
      <c r="T191" s="1">
        <v>0.40993800000000002</v>
      </c>
      <c r="U191" s="1">
        <v>22.445108000000001</v>
      </c>
      <c r="V191" s="1">
        <v>0.197547</v>
      </c>
      <c r="W191" s="1">
        <v>19.578517000000002</v>
      </c>
      <c r="X191" s="1">
        <v>4.8001370000000003</v>
      </c>
      <c r="Y191" s="1">
        <v>1.173834</v>
      </c>
      <c r="Z191" s="1">
        <v>2.3715E-2</v>
      </c>
      <c r="AA191" s="1">
        <v>0.37944600000000001</v>
      </c>
      <c r="AB191" s="1">
        <v>37.668067999999998</v>
      </c>
      <c r="AC191" s="1">
        <v>0</v>
      </c>
      <c r="AD191" s="1">
        <v>19.861630999999999</v>
      </c>
      <c r="AE191" s="1">
        <v>0</v>
      </c>
      <c r="AF191" s="1">
        <f>(W191/40.31)/((W191/40.31)+((U191+T191*0.9)/71.85))</f>
        <v>0.60468799101404569</v>
      </c>
      <c r="AG191" s="8"/>
    </row>
    <row r="192" spans="1:33" s="1" customFormat="1" x14ac:dyDescent="0.25">
      <c r="A192" s="1">
        <v>184</v>
      </c>
      <c r="B192" s="1" t="s">
        <v>34</v>
      </c>
      <c r="C192" s="1">
        <v>1468</v>
      </c>
      <c r="D192" s="1">
        <v>15000</v>
      </c>
      <c r="E192" s="1">
        <v>-8.8002050000000001</v>
      </c>
      <c r="F192" s="1">
        <v>-1569688.298528</v>
      </c>
      <c r="G192" s="1">
        <v>-1094356.148417</v>
      </c>
      <c r="H192" s="1">
        <v>272.998966</v>
      </c>
      <c r="I192" s="1">
        <v>138.10470799999999</v>
      </c>
      <c r="J192" s="1">
        <v>31.503883999999999</v>
      </c>
      <c r="K192" s="1">
        <v>3.1748319999999999</v>
      </c>
      <c r="L192" s="1" t="s">
        <v>35</v>
      </c>
      <c r="M192" s="1">
        <v>100.01955</v>
      </c>
      <c r="N192" s="3">
        <v>43.393842999999997</v>
      </c>
      <c r="O192" s="1">
        <v>56.625706000000001</v>
      </c>
      <c r="Q192" s="1">
        <v>44.355960000000003</v>
      </c>
      <c r="R192" s="1">
        <v>0.31645499999999999</v>
      </c>
      <c r="S192" s="1">
        <v>6.294003</v>
      </c>
      <c r="T192" s="1">
        <v>0.40825600000000001</v>
      </c>
      <c r="U192" s="1">
        <v>22.382636000000002</v>
      </c>
      <c r="V192" s="1">
        <v>0.20081099999999999</v>
      </c>
      <c r="W192" s="1">
        <v>19.764016999999999</v>
      </c>
      <c r="X192" s="1">
        <v>4.7330259999999997</v>
      </c>
      <c r="Y192" s="1">
        <v>1.1500729999999999</v>
      </c>
      <c r="Z192" s="1">
        <v>2.3220999999999999E-2</v>
      </c>
      <c r="AA192" s="1">
        <v>0.37153999999999998</v>
      </c>
      <c r="AB192" s="1">
        <v>37.346713999999999</v>
      </c>
      <c r="AC192" s="1">
        <v>0</v>
      </c>
      <c r="AD192" s="1">
        <v>19.278994000000001</v>
      </c>
      <c r="AE192" s="1">
        <v>0</v>
      </c>
      <c r="AF192" s="1">
        <f>(W192/40.31)/((W192/40.31)+((U192+T192*0.9)/71.85))</f>
        <v>0.60760974890527175</v>
      </c>
      <c r="AG192" s="8"/>
    </row>
    <row r="193" spans="1:32" s="1" customFormat="1" x14ac:dyDescent="0.25">
      <c r="N193" s="3"/>
      <c r="Q193" s="1">
        <f>AVERAGE(Q182:Q192)</f>
        <v>43.972093454545451</v>
      </c>
      <c r="R193" s="1">
        <f t="shared" ref="R193:AA193" si="0">AVERAGE(R182:R192)</f>
        <v>0.34856654545454546</v>
      </c>
      <c r="S193" s="1">
        <f t="shared" si="0"/>
        <v>6.8018441818181827</v>
      </c>
      <c r="T193" s="1">
        <f t="shared" si="0"/>
        <v>0.41612809090909092</v>
      </c>
      <c r="U193" s="1">
        <f t="shared" si="0"/>
        <v>22.625303636363636</v>
      </c>
      <c r="V193" s="1">
        <f t="shared" si="0"/>
        <v>0.18497118181818184</v>
      </c>
      <c r="W193" s="1">
        <f t="shared" si="0"/>
        <v>18.86170409090909</v>
      </c>
      <c r="X193" s="1">
        <f t="shared" si="0"/>
        <v>5.0754178181818181</v>
      </c>
      <c r="Y193" s="1">
        <f t="shared" si="0"/>
        <v>1.2748550000000001</v>
      </c>
      <c r="Z193" s="1">
        <f t="shared" si="0"/>
        <v>2.5830272727272726E-2</v>
      </c>
      <c r="AA193" s="1">
        <f t="shared" si="0"/>
        <v>0.41328572727272733</v>
      </c>
    </row>
    <row r="194" spans="1:32" s="1" customFormat="1" x14ac:dyDescent="0.25">
      <c r="N194" s="3"/>
    </row>
    <row r="195" spans="1:32" x14ac:dyDescent="0.25">
      <c r="A195">
        <v>185</v>
      </c>
      <c r="B195" t="s">
        <v>34</v>
      </c>
      <c r="C195">
        <v>1470</v>
      </c>
      <c r="D195">
        <v>15000</v>
      </c>
      <c r="E195">
        <v>-8.7851859999999995</v>
      </c>
      <c r="F195">
        <v>-1570239.651572</v>
      </c>
      <c r="G195">
        <v>-1093574.6011969999</v>
      </c>
      <c r="H195">
        <v>273.45039200000002</v>
      </c>
      <c r="I195">
        <v>138.45200600000001</v>
      </c>
      <c r="J195">
        <v>31.534502</v>
      </c>
      <c r="K195">
        <v>3.1717569999999999</v>
      </c>
      <c r="L195" t="s">
        <v>35</v>
      </c>
      <c r="M195">
        <v>100.019773</v>
      </c>
      <c r="N195" s="2">
        <v>44.320233000000002</v>
      </c>
      <c r="O195">
        <v>55.699539999999999</v>
      </c>
      <c r="Q195">
        <v>44.437716999999999</v>
      </c>
      <c r="R195">
        <v>0.31035499999999999</v>
      </c>
      <c r="S195">
        <v>6.195112</v>
      </c>
      <c r="T195">
        <v>0.40653499999999998</v>
      </c>
      <c r="U195">
        <v>22.315344</v>
      </c>
      <c r="V195">
        <v>0.204099</v>
      </c>
      <c r="W195">
        <v>19.951232999999998</v>
      </c>
      <c r="X195">
        <v>4.666398</v>
      </c>
      <c r="Y195">
        <v>1.126698</v>
      </c>
      <c r="Z195">
        <v>2.2735999999999999E-2</v>
      </c>
      <c r="AA195">
        <v>0.36377399999999999</v>
      </c>
      <c r="AB195">
        <v>37.019325000000002</v>
      </c>
      <c r="AC195">
        <v>0</v>
      </c>
      <c r="AD195">
        <v>18.680213999999999</v>
      </c>
      <c r="AE195">
        <v>0</v>
      </c>
      <c r="AF195">
        <f>(W195/40.31)/((W195/40.31)+((U195+T195*0.9)/71.85))</f>
        <v>0.61057609984931727</v>
      </c>
    </row>
    <row r="196" spans="1:32" x14ac:dyDescent="0.25">
      <c r="A196">
        <v>186</v>
      </c>
      <c r="B196" t="s">
        <v>34</v>
      </c>
      <c r="C196">
        <v>1472</v>
      </c>
      <c r="D196">
        <v>15000</v>
      </c>
      <c r="E196">
        <v>-8.7702010000000001</v>
      </c>
      <c r="F196">
        <v>-1570792.01027</v>
      </c>
      <c r="G196">
        <v>-1092778.054913</v>
      </c>
      <c r="H196">
        <v>273.90995400000003</v>
      </c>
      <c r="I196">
        <v>138.808482</v>
      </c>
      <c r="J196">
        <v>31.565878000000001</v>
      </c>
      <c r="K196">
        <v>3.1686109999999998</v>
      </c>
      <c r="L196" t="s">
        <v>35</v>
      </c>
      <c r="M196">
        <v>100.02</v>
      </c>
      <c r="N196" s="2">
        <v>45.269458999999998</v>
      </c>
      <c r="O196">
        <v>54.750542000000003</v>
      </c>
      <c r="Q196">
        <v>44.520792999999998</v>
      </c>
      <c r="R196">
        <v>0.30433399999999999</v>
      </c>
      <c r="S196">
        <v>6.0969629999999997</v>
      </c>
      <c r="T196">
        <v>0.40477299999999999</v>
      </c>
      <c r="U196">
        <v>22.243181</v>
      </c>
      <c r="V196">
        <v>0.20740800000000001</v>
      </c>
      <c r="W196">
        <v>20.140180000000001</v>
      </c>
      <c r="X196">
        <v>4.6002599999999996</v>
      </c>
      <c r="Y196">
        <v>1.103702</v>
      </c>
      <c r="Z196">
        <v>2.2259000000000001E-2</v>
      </c>
      <c r="AA196">
        <v>0.35614600000000002</v>
      </c>
      <c r="AB196">
        <v>36.685859999999998</v>
      </c>
      <c r="AC196">
        <v>0</v>
      </c>
      <c r="AD196">
        <v>18.064684</v>
      </c>
      <c r="AE196">
        <v>0</v>
      </c>
      <c r="AF196">
        <f>(W196/40.31)/((W196/40.31)+((U196+T196*0.9)/71.85))</f>
        <v>0.61358744179897973</v>
      </c>
    </row>
    <row r="197" spans="1:32" x14ac:dyDescent="0.25">
      <c r="A197">
        <v>187</v>
      </c>
      <c r="B197" t="s">
        <v>34</v>
      </c>
      <c r="C197">
        <v>1474</v>
      </c>
      <c r="D197">
        <v>15000</v>
      </c>
      <c r="E197">
        <v>-8.7552509999999995</v>
      </c>
      <c r="F197">
        <v>-1571345.3913139999</v>
      </c>
      <c r="G197">
        <v>-1091966.011316</v>
      </c>
      <c r="H197">
        <v>274.37791800000002</v>
      </c>
      <c r="I197">
        <v>139.174443</v>
      </c>
      <c r="J197">
        <v>31.598040000000001</v>
      </c>
      <c r="K197">
        <v>3.165394</v>
      </c>
      <c r="L197" t="s">
        <v>35</v>
      </c>
      <c r="M197">
        <v>100.02023199999999</v>
      </c>
      <c r="N197" s="2">
        <v>46.242213</v>
      </c>
      <c r="O197">
        <v>53.778019</v>
      </c>
      <c r="Q197">
        <v>44.605210999999997</v>
      </c>
      <c r="R197">
        <v>0.29839500000000002</v>
      </c>
      <c r="S197">
        <v>5.9995729999999998</v>
      </c>
      <c r="T197">
        <v>0.40296999999999999</v>
      </c>
      <c r="U197">
        <v>22.166101000000001</v>
      </c>
      <c r="V197">
        <v>0.21073500000000001</v>
      </c>
      <c r="W197">
        <v>20.330870999999998</v>
      </c>
      <c r="X197">
        <v>4.5346149999999996</v>
      </c>
      <c r="Y197">
        <v>1.0810820000000001</v>
      </c>
      <c r="Z197">
        <v>2.1791000000000001E-2</v>
      </c>
      <c r="AA197">
        <v>0.34865400000000002</v>
      </c>
      <c r="AB197">
        <v>36.346260000000001</v>
      </c>
      <c r="AC197">
        <v>0</v>
      </c>
      <c r="AD197">
        <v>17.431759</v>
      </c>
      <c r="AE197">
        <v>0</v>
      </c>
      <c r="AF197">
        <f>(W197/40.31)/((W197/40.31)+((U197+T197*0.9)/71.85))</f>
        <v>0.61664408462476905</v>
      </c>
    </row>
    <row r="198" spans="1:32" x14ac:dyDescent="0.25">
      <c r="A198">
        <v>188</v>
      </c>
      <c r="B198" t="s">
        <v>34</v>
      </c>
      <c r="C198">
        <v>1476</v>
      </c>
      <c r="D198">
        <v>15000</v>
      </c>
      <c r="E198">
        <v>-8.740335</v>
      </c>
      <c r="F198">
        <v>-1571899.811921</v>
      </c>
      <c r="G198">
        <v>-1091137.945202</v>
      </c>
      <c r="H198">
        <v>274.85456699999997</v>
      </c>
      <c r="I198">
        <v>139.55021600000001</v>
      </c>
      <c r="J198">
        <v>31.631018999999998</v>
      </c>
      <c r="K198">
        <v>3.1621009999999998</v>
      </c>
      <c r="L198" t="s">
        <v>35</v>
      </c>
      <c r="M198">
        <v>100.02046799999999</v>
      </c>
      <c r="N198" s="2">
        <v>47.239229999999999</v>
      </c>
      <c r="O198">
        <v>52.781238000000002</v>
      </c>
      <c r="Q198">
        <v>44.690994000000003</v>
      </c>
      <c r="R198">
        <v>0.29253600000000002</v>
      </c>
      <c r="S198">
        <v>5.9029569999999998</v>
      </c>
      <c r="T198">
        <v>0.40112500000000001</v>
      </c>
      <c r="U198">
        <v>22.084063</v>
      </c>
      <c r="V198">
        <v>0.21407599999999999</v>
      </c>
      <c r="W198">
        <v>20.523322</v>
      </c>
      <c r="X198">
        <v>4.469468</v>
      </c>
      <c r="Y198">
        <v>1.058832</v>
      </c>
      <c r="Z198">
        <v>2.1330999999999999E-2</v>
      </c>
      <c r="AA198">
        <v>0.34129500000000002</v>
      </c>
      <c r="AB198">
        <v>36.000469000000002</v>
      </c>
      <c r="AC198">
        <v>0</v>
      </c>
      <c r="AD198">
        <v>16.780768999999999</v>
      </c>
      <c r="AE198">
        <v>0</v>
      </c>
      <c r="AF198">
        <f>(W198/40.31)/((W198/40.31)+((U198+T198*0.9)/71.85))</f>
        <v>0.61974633728432271</v>
      </c>
    </row>
    <row r="199" spans="1:32" x14ac:dyDescent="0.25">
      <c r="A199">
        <v>189</v>
      </c>
      <c r="B199" t="s">
        <v>34</v>
      </c>
      <c r="C199">
        <v>1478</v>
      </c>
      <c r="D199">
        <v>15000</v>
      </c>
      <c r="E199">
        <v>-8.7254529999999999</v>
      </c>
      <c r="F199">
        <v>-1572455.289878</v>
      </c>
      <c r="G199">
        <v>-1090293.301978</v>
      </c>
      <c r="H199">
        <v>275.34019799999999</v>
      </c>
      <c r="I199">
        <v>139.93614199999999</v>
      </c>
      <c r="J199">
        <v>31.664843000000001</v>
      </c>
      <c r="K199">
        <v>3.158731</v>
      </c>
      <c r="L199" t="s">
        <v>35</v>
      </c>
      <c r="M199">
        <v>100.020708</v>
      </c>
      <c r="N199" s="2">
        <v>48.261282000000001</v>
      </c>
      <c r="O199">
        <v>51.759425999999998</v>
      </c>
      <c r="Q199">
        <v>44.778162999999999</v>
      </c>
      <c r="R199">
        <v>0.28675800000000001</v>
      </c>
      <c r="S199">
        <v>5.8071279999999996</v>
      </c>
      <c r="T199">
        <v>0.39923500000000001</v>
      </c>
      <c r="U199">
        <v>21.997026999999999</v>
      </c>
      <c r="V199">
        <v>0.21742600000000001</v>
      </c>
      <c r="W199">
        <v>20.717549999999999</v>
      </c>
      <c r="X199">
        <v>4.40482</v>
      </c>
      <c r="Y199">
        <v>1.0369459999999999</v>
      </c>
      <c r="Z199">
        <v>2.0879000000000002E-2</v>
      </c>
      <c r="AA199">
        <v>0.33406799999999998</v>
      </c>
      <c r="AB199">
        <v>35.648426000000001</v>
      </c>
      <c r="AC199">
        <v>0</v>
      </c>
      <c r="AD199">
        <v>16.110997999999999</v>
      </c>
      <c r="AE199">
        <v>0</v>
      </c>
      <c r="AF199">
        <f>(W199/40.31)/((W199/40.31)+((U199+T199*0.9)/71.85))</f>
        <v>0.62289453441382225</v>
      </c>
    </row>
    <row r="200" spans="1:32" x14ac:dyDescent="0.25">
      <c r="A200">
        <v>190</v>
      </c>
      <c r="B200" t="s">
        <v>34</v>
      </c>
      <c r="C200">
        <v>1480</v>
      </c>
      <c r="D200">
        <v>15000</v>
      </c>
      <c r="E200">
        <v>-8.7106049999999993</v>
      </c>
      <c r="F200">
        <v>-1573011.8435839999</v>
      </c>
      <c r="G200">
        <v>-1089431.4950019999</v>
      </c>
      <c r="H200">
        <v>275.83512500000001</v>
      </c>
      <c r="I200">
        <v>140.332584</v>
      </c>
      <c r="J200">
        <v>31.699546000000002</v>
      </c>
      <c r="K200">
        <v>3.1552799999999999</v>
      </c>
      <c r="L200">
        <v>3.733997</v>
      </c>
      <c r="M200">
        <v>100.02095199999999</v>
      </c>
      <c r="N200" s="2">
        <v>49.309192000000003</v>
      </c>
      <c r="O200">
        <v>50.711759999999998</v>
      </c>
      <c r="Q200">
        <v>44.866739000000003</v>
      </c>
      <c r="R200">
        <v>0.28105799999999997</v>
      </c>
      <c r="S200">
        <v>5.712097</v>
      </c>
      <c r="T200">
        <v>0.39730100000000002</v>
      </c>
      <c r="U200">
        <v>21.904957</v>
      </c>
      <c r="V200">
        <v>0.22078300000000001</v>
      </c>
      <c r="W200">
        <v>20.913571999999998</v>
      </c>
      <c r="X200">
        <v>4.3406729999999998</v>
      </c>
      <c r="Y200">
        <v>1.0154179999999999</v>
      </c>
      <c r="Z200">
        <v>2.0435999999999999E-2</v>
      </c>
      <c r="AA200">
        <v>0.32696799999999998</v>
      </c>
      <c r="AB200">
        <v>35.290061999999999</v>
      </c>
      <c r="AC200">
        <v>0</v>
      </c>
      <c r="AD200">
        <v>15.421699</v>
      </c>
      <c r="AE200">
        <v>0</v>
      </c>
      <c r="AF200">
        <f>(W200/40.31)/((W200/40.31)+((U200+T200*0.9)/71.85))</f>
        <v>0.6260889361889953</v>
      </c>
    </row>
    <row r="201" spans="1:32" x14ac:dyDescent="0.25">
      <c r="A201">
        <v>191</v>
      </c>
      <c r="B201" t="s">
        <v>34</v>
      </c>
      <c r="C201">
        <v>1482</v>
      </c>
      <c r="D201">
        <v>15000</v>
      </c>
      <c r="E201">
        <v>-8.6957900000000006</v>
      </c>
      <c r="F201">
        <v>-1573569.4920940001</v>
      </c>
      <c r="G201">
        <v>-1088551.9026850001</v>
      </c>
      <c r="H201">
        <v>276.33967999999999</v>
      </c>
      <c r="I201">
        <v>140.739925</v>
      </c>
      <c r="J201">
        <v>31.735163</v>
      </c>
      <c r="K201">
        <v>3.1517469999999999</v>
      </c>
      <c r="L201">
        <v>2.976423</v>
      </c>
      <c r="M201">
        <v>100.021201</v>
      </c>
      <c r="N201" s="2">
        <v>50.383831999999998</v>
      </c>
      <c r="O201">
        <v>49.637368000000002</v>
      </c>
      <c r="Q201">
        <v>44.956743000000003</v>
      </c>
      <c r="R201">
        <v>0.27543800000000002</v>
      </c>
      <c r="S201">
        <v>5.6178699999999999</v>
      </c>
      <c r="T201">
        <v>0.39532</v>
      </c>
      <c r="U201">
        <v>21.807822000000002</v>
      </c>
      <c r="V201">
        <v>0.22414200000000001</v>
      </c>
      <c r="W201">
        <v>21.111405000000001</v>
      </c>
      <c r="X201">
        <v>4.2770239999999999</v>
      </c>
      <c r="Y201">
        <v>0.99424199999999996</v>
      </c>
      <c r="Z201">
        <v>0.02</v>
      </c>
      <c r="AA201">
        <v>0.319994</v>
      </c>
      <c r="AB201">
        <v>34.925297</v>
      </c>
      <c r="AC201">
        <v>0</v>
      </c>
      <c r="AD201">
        <v>14.712071999999999</v>
      </c>
      <c r="AE201">
        <v>0</v>
      </c>
      <c r="AF201">
        <f>(W201/40.31)/((W201/40.31)+((U201+T201*0.9)/71.85))</f>
        <v>0.6293297933012505</v>
      </c>
    </row>
    <row r="202" spans="1:32" x14ac:dyDescent="0.25">
      <c r="A202">
        <v>192</v>
      </c>
      <c r="B202" t="s">
        <v>34</v>
      </c>
      <c r="C202">
        <v>1484</v>
      </c>
      <c r="D202">
        <v>15000</v>
      </c>
      <c r="E202">
        <v>-8.6810100000000006</v>
      </c>
      <c r="F202">
        <v>-1574128.2551750001</v>
      </c>
      <c r="G202">
        <v>-1087653.865332</v>
      </c>
      <c r="H202">
        <v>276.854218</v>
      </c>
      <c r="I202">
        <v>141.15857299999999</v>
      </c>
      <c r="J202">
        <v>31.771730000000002</v>
      </c>
      <c r="K202">
        <v>3.1481270000000001</v>
      </c>
      <c r="L202">
        <v>2.565312</v>
      </c>
      <c r="M202">
        <v>100.02145299999999</v>
      </c>
      <c r="N202" s="2">
        <v>51.486131999999998</v>
      </c>
      <c r="O202">
        <v>48.535321000000003</v>
      </c>
      <c r="Q202">
        <v>45.048197999999999</v>
      </c>
      <c r="R202">
        <v>0.26989600000000002</v>
      </c>
      <c r="S202">
        <v>5.5244559999999998</v>
      </c>
      <c r="T202">
        <v>0.393291</v>
      </c>
      <c r="U202">
        <v>21.705590999999998</v>
      </c>
      <c r="V202">
        <v>0.227497</v>
      </c>
      <c r="W202">
        <v>21.311070000000001</v>
      </c>
      <c r="X202">
        <v>4.2138739999999997</v>
      </c>
      <c r="Y202">
        <v>0.97341200000000005</v>
      </c>
      <c r="Z202">
        <v>1.9571000000000002E-2</v>
      </c>
      <c r="AA202">
        <v>0.313143</v>
      </c>
      <c r="AB202">
        <v>34.554039000000003</v>
      </c>
      <c r="AC202">
        <v>0</v>
      </c>
      <c r="AD202">
        <v>13.98128</v>
      </c>
      <c r="AE202">
        <v>0</v>
      </c>
      <c r="AF202">
        <f>(W202/40.31)/((W202/40.31)+((U202+T202*0.9)/71.85))</f>
        <v>0.63261738630033448</v>
      </c>
    </row>
    <row r="203" spans="1:32" x14ac:dyDescent="0.25">
      <c r="A203">
        <v>193</v>
      </c>
      <c r="B203" t="s">
        <v>34</v>
      </c>
      <c r="C203">
        <v>1486</v>
      </c>
      <c r="D203">
        <v>15000</v>
      </c>
      <c r="E203">
        <v>-8.6662630000000007</v>
      </c>
      <c r="F203">
        <v>-1574688.1533580001</v>
      </c>
      <c r="G203">
        <v>-1086736.6817000001</v>
      </c>
      <c r="H203">
        <v>277.37911600000001</v>
      </c>
      <c r="I203">
        <v>141.58895999999999</v>
      </c>
      <c r="J203">
        <v>31.809284999999999</v>
      </c>
      <c r="K203">
        <v>3.1444190000000001</v>
      </c>
      <c r="L203">
        <v>2.2779959999999999</v>
      </c>
      <c r="M203">
        <v>100.02171</v>
      </c>
      <c r="N203" s="2">
        <v>52.617080999999999</v>
      </c>
      <c r="O203">
        <v>47.404629</v>
      </c>
      <c r="Q203">
        <v>45.141123999999998</v>
      </c>
      <c r="R203">
        <v>0.26443100000000003</v>
      </c>
      <c r="S203">
        <v>5.4318569999999999</v>
      </c>
      <c r="T203">
        <v>0.39121400000000001</v>
      </c>
      <c r="U203">
        <v>21.598239</v>
      </c>
      <c r="V203">
        <v>0.23084499999999999</v>
      </c>
      <c r="W203">
        <v>21.512587</v>
      </c>
      <c r="X203">
        <v>4.1512180000000001</v>
      </c>
      <c r="Y203">
        <v>0.95292100000000002</v>
      </c>
      <c r="Z203">
        <v>1.9151000000000001E-2</v>
      </c>
      <c r="AA203">
        <v>0.30641200000000002</v>
      </c>
      <c r="AB203">
        <v>34.176197000000002</v>
      </c>
      <c r="AC203">
        <v>0</v>
      </c>
      <c r="AD203">
        <v>13.228431</v>
      </c>
      <c r="AE203">
        <v>0</v>
      </c>
      <c r="AF203">
        <f>(W203/40.31)/((W203/40.31)+((U203+T203*0.9)/71.85))</f>
        <v>0.63595191500965298</v>
      </c>
    </row>
    <row r="204" spans="1:32" x14ac:dyDescent="0.25">
      <c r="A204">
        <v>194</v>
      </c>
      <c r="B204" t="s">
        <v>34</v>
      </c>
      <c r="C204">
        <v>1488</v>
      </c>
      <c r="D204">
        <v>15000</v>
      </c>
      <c r="E204">
        <v>-8.6515500000000003</v>
      </c>
      <c r="F204">
        <v>-1575249.2079970001</v>
      </c>
      <c r="G204">
        <v>-1085799.605241</v>
      </c>
      <c r="H204">
        <v>277.91477300000003</v>
      </c>
      <c r="I204">
        <v>142.03154499999999</v>
      </c>
      <c r="J204">
        <v>31.847868999999999</v>
      </c>
      <c r="K204">
        <v>3.1406170000000002</v>
      </c>
      <c r="L204">
        <v>2.0549580000000001</v>
      </c>
      <c r="M204">
        <v>100.02197099999999</v>
      </c>
      <c r="N204" s="2">
        <v>53.777735999999997</v>
      </c>
      <c r="O204">
        <v>46.244236000000001</v>
      </c>
      <c r="Q204">
        <v>45.235543</v>
      </c>
      <c r="R204">
        <v>0.25904300000000002</v>
      </c>
      <c r="S204">
        <v>5.3400749999999997</v>
      </c>
      <c r="T204">
        <v>0.38908700000000002</v>
      </c>
      <c r="U204">
        <v>21.485741000000001</v>
      </c>
      <c r="V204">
        <v>0.23418</v>
      </c>
      <c r="W204">
        <v>21.715978</v>
      </c>
      <c r="X204">
        <v>4.0890529999999998</v>
      </c>
      <c r="Y204">
        <v>0.93276300000000001</v>
      </c>
      <c r="Z204">
        <v>1.8737E-2</v>
      </c>
      <c r="AA204">
        <v>0.29979899999999998</v>
      </c>
      <c r="AB204">
        <v>33.79166</v>
      </c>
      <c r="AC204">
        <v>0</v>
      </c>
      <c r="AD204">
        <v>12.452577</v>
      </c>
      <c r="AE204">
        <v>0</v>
      </c>
      <c r="AF204">
        <f>(W204/40.31)/((W204/40.31)+((U204+T204*0.9)/71.85))</f>
        <v>0.63933362252136006</v>
      </c>
    </row>
    <row r="205" spans="1:32" x14ac:dyDescent="0.25">
      <c r="A205">
        <v>195</v>
      </c>
      <c r="B205" t="s">
        <v>34</v>
      </c>
      <c r="C205">
        <v>1490</v>
      </c>
      <c r="D205">
        <v>15000</v>
      </c>
      <c r="E205">
        <v>-8.63687</v>
      </c>
      <c r="F205">
        <v>-1575811.4413360001</v>
      </c>
      <c r="G205">
        <v>-1084841.8400069999</v>
      </c>
      <c r="H205">
        <v>278.46161799999999</v>
      </c>
      <c r="I205">
        <v>142.486819</v>
      </c>
      <c r="J205">
        <v>31.887526999999999</v>
      </c>
      <c r="K205">
        <v>3.13672</v>
      </c>
      <c r="L205">
        <v>1.8713770000000001</v>
      </c>
      <c r="M205">
        <v>100.02223600000001</v>
      </c>
      <c r="N205" s="2">
        <v>54.969225999999999</v>
      </c>
      <c r="O205">
        <v>45.05301</v>
      </c>
      <c r="Q205">
        <v>45.331474</v>
      </c>
      <c r="R205">
        <v>0.25373099999999998</v>
      </c>
      <c r="S205">
        <v>5.2491089999999998</v>
      </c>
      <c r="T205">
        <v>0.386909</v>
      </c>
      <c r="U205">
        <v>21.368078000000001</v>
      </c>
      <c r="V205">
        <v>0.23749700000000001</v>
      </c>
      <c r="W205">
        <v>21.921265999999999</v>
      </c>
      <c r="X205">
        <v>4.0273719999999997</v>
      </c>
      <c r="Y205">
        <v>0.91293100000000005</v>
      </c>
      <c r="Z205">
        <v>1.8331E-2</v>
      </c>
      <c r="AA205">
        <v>0.29330099999999998</v>
      </c>
      <c r="AB205">
        <v>33.400298999999997</v>
      </c>
      <c r="AC205">
        <v>0</v>
      </c>
      <c r="AD205">
        <v>11.652713</v>
      </c>
      <c r="AE205">
        <v>0</v>
      </c>
      <c r="AF205">
        <f>(W205/40.31)/((W205/40.31)+((U205+T205*0.9)/71.85))</f>
        <v>0.64276269133598485</v>
      </c>
    </row>
    <row r="206" spans="1:32" x14ac:dyDescent="0.25">
      <c r="A206">
        <v>196</v>
      </c>
      <c r="B206" t="s">
        <v>34</v>
      </c>
      <c r="C206">
        <v>1492</v>
      </c>
      <c r="D206">
        <v>15000</v>
      </c>
      <c r="E206">
        <v>-8.622223</v>
      </c>
      <c r="F206">
        <v>-1576374.8765779999</v>
      </c>
      <c r="G206">
        <v>-1083862.5361659999</v>
      </c>
      <c r="H206">
        <v>279.020106</v>
      </c>
      <c r="I206">
        <v>142.95530500000001</v>
      </c>
      <c r="J206">
        <v>31.928305000000002</v>
      </c>
      <c r="K206">
        <v>3.1327219999999998</v>
      </c>
      <c r="L206">
        <v>1.7144999999999999</v>
      </c>
      <c r="M206">
        <v>100.02250600000001</v>
      </c>
      <c r="N206" s="2">
        <v>56.192762999999999</v>
      </c>
      <c r="O206">
        <v>43.829743000000001</v>
      </c>
      <c r="Q206">
        <v>45.428939999999997</v>
      </c>
      <c r="R206">
        <v>0.24849199999999999</v>
      </c>
      <c r="S206">
        <v>5.158957</v>
      </c>
      <c r="T206">
        <v>0.38467800000000002</v>
      </c>
      <c r="U206">
        <v>21.245228999999998</v>
      </c>
      <c r="V206">
        <v>0.24079</v>
      </c>
      <c r="W206">
        <v>22.128477</v>
      </c>
      <c r="X206">
        <v>3.96617</v>
      </c>
      <c r="Y206">
        <v>0.89341800000000005</v>
      </c>
      <c r="Z206">
        <v>1.7932E-2</v>
      </c>
      <c r="AA206">
        <v>0.28691499999999998</v>
      </c>
      <c r="AB206">
        <v>33.001975999999999</v>
      </c>
      <c r="AC206">
        <v>0</v>
      </c>
      <c r="AD206">
        <v>10.827768000000001</v>
      </c>
      <c r="AE206">
        <v>0</v>
      </c>
      <c r="AF206">
        <f>(W206/40.31)/((W206/40.31)+((U206+T206*0.9)/71.85))</f>
        <v>0.64623936650689429</v>
      </c>
    </row>
    <row r="207" spans="1:32" x14ac:dyDescent="0.25">
      <c r="A207">
        <v>197</v>
      </c>
      <c r="B207" t="s">
        <v>34</v>
      </c>
      <c r="C207">
        <v>1494</v>
      </c>
      <c r="D207">
        <v>15000</v>
      </c>
      <c r="E207">
        <v>-8.6076090000000001</v>
      </c>
      <c r="F207">
        <v>-1576939.5379580001</v>
      </c>
      <c r="G207">
        <v>-1082860.7851120001</v>
      </c>
      <c r="H207">
        <v>279.59072700000002</v>
      </c>
      <c r="I207">
        <v>143.43756200000001</v>
      </c>
      <c r="J207">
        <v>31.970251999999999</v>
      </c>
      <c r="K207">
        <v>3.1286200000000002</v>
      </c>
      <c r="L207">
        <v>1.5768960000000001</v>
      </c>
      <c r="M207">
        <v>100.02278</v>
      </c>
      <c r="N207" s="2">
        <v>57.449643000000002</v>
      </c>
      <c r="O207">
        <v>42.573137000000003</v>
      </c>
      <c r="Q207">
        <v>45.527962000000002</v>
      </c>
      <c r="R207">
        <v>0.24332699999999999</v>
      </c>
      <c r="S207">
        <v>5.0696149999999998</v>
      </c>
      <c r="T207">
        <v>0.38239400000000001</v>
      </c>
      <c r="U207">
        <v>21.117180000000001</v>
      </c>
      <c r="V207">
        <v>0.24405299999999999</v>
      </c>
      <c r="W207">
        <v>22.337637000000001</v>
      </c>
      <c r="X207">
        <v>3.9054389999999999</v>
      </c>
      <c r="Y207">
        <v>0.87421599999999999</v>
      </c>
      <c r="Z207">
        <v>1.754E-2</v>
      </c>
      <c r="AA207">
        <v>0.280638</v>
      </c>
      <c r="AB207">
        <v>32.596535000000003</v>
      </c>
      <c r="AC207">
        <v>0</v>
      </c>
      <c r="AD207">
        <v>9.9766030000000008</v>
      </c>
      <c r="AE207">
        <v>0</v>
      </c>
      <c r="AF207">
        <f>(W207/40.31)/((W207/40.31)+((U207+T207*0.9)/71.85))</f>
        <v>0.64976379896121816</v>
      </c>
    </row>
    <row r="208" spans="1:32" x14ac:dyDescent="0.25">
      <c r="A208">
        <v>198</v>
      </c>
      <c r="B208" t="s">
        <v>34</v>
      </c>
      <c r="C208">
        <v>1496</v>
      </c>
      <c r="D208">
        <v>15000</v>
      </c>
      <c r="E208">
        <v>-8.5930289999999996</v>
      </c>
      <c r="F208">
        <v>-1577505.450827</v>
      </c>
      <c r="G208">
        <v>-1081835.6140920001</v>
      </c>
      <c r="H208">
        <v>280.17400300000003</v>
      </c>
      <c r="I208">
        <v>143.93418600000001</v>
      </c>
      <c r="J208">
        <v>32.013421999999998</v>
      </c>
      <c r="K208">
        <v>3.1244100000000001</v>
      </c>
      <c r="L208">
        <v>1.4538519999999999</v>
      </c>
      <c r="M208">
        <v>100.02305800000001</v>
      </c>
      <c r="N208" s="2">
        <v>58.741258000000002</v>
      </c>
      <c r="O208">
        <v>41.281799999999997</v>
      </c>
      <c r="Q208">
        <v>45.628560999999998</v>
      </c>
      <c r="R208">
        <v>0.238233</v>
      </c>
      <c r="S208">
        <v>4.9810739999999996</v>
      </c>
      <c r="T208">
        <v>0.380054</v>
      </c>
      <c r="U208">
        <v>20.983913999999999</v>
      </c>
      <c r="V208">
        <v>0.247281</v>
      </c>
      <c r="W208">
        <v>22.548774000000002</v>
      </c>
      <c r="X208">
        <v>3.8451689999999998</v>
      </c>
      <c r="Y208">
        <v>0.85531900000000005</v>
      </c>
      <c r="Z208">
        <v>1.7153999999999999E-2</v>
      </c>
      <c r="AA208">
        <v>0.27446700000000002</v>
      </c>
      <c r="AB208">
        <v>32.183804000000002</v>
      </c>
      <c r="AC208">
        <v>0</v>
      </c>
      <c r="AD208">
        <v>9.0979980000000005</v>
      </c>
      <c r="AE208">
        <v>0</v>
      </c>
      <c r="AF208">
        <f>(W208/40.31)/((W208/40.31)+((U208+T208*0.9)/71.85))</f>
        <v>0.65333621875989079</v>
      </c>
    </row>
    <row r="209" spans="1:32" x14ac:dyDescent="0.25">
      <c r="A209">
        <v>199</v>
      </c>
      <c r="B209" t="s">
        <v>34</v>
      </c>
      <c r="C209">
        <v>1498</v>
      </c>
      <c r="D209">
        <v>15000</v>
      </c>
      <c r="E209">
        <v>-8.578481</v>
      </c>
      <c r="F209">
        <v>-1578072.6417350001</v>
      </c>
      <c r="G209">
        <v>-1080785.9803259999</v>
      </c>
      <c r="H209">
        <v>280.77049499999998</v>
      </c>
      <c r="I209">
        <v>144.445821</v>
      </c>
      <c r="J209">
        <v>32.057870999999999</v>
      </c>
      <c r="K209">
        <v>3.1200869999999998</v>
      </c>
      <c r="L209">
        <v>1.34219</v>
      </c>
      <c r="M209">
        <v>100.02334</v>
      </c>
      <c r="N209" s="2">
        <v>60.069105</v>
      </c>
      <c r="O209">
        <v>39.954234999999997</v>
      </c>
      <c r="Q209">
        <v>45.730758999999999</v>
      </c>
      <c r="R209">
        <v>0.23321</v>
      </c>
      <c r="S209">
        <v>4.8933270000000002</v>
      </c>
      <c r="T209">
        <v>0.37765799999999999</v>
      </c>
      <c r="U209">
        <v>20.845419</v>
      </c>
      <c r="V209">
        <v>0.25046600000000002</v>
      </c>
      <c r="W209">
        <v>22.761917</v>
      </c>
      <c r="X209">
        <v>3.7853509999999999</v>
      </c>
      <c r="Y209">
        <v>0.83671899999999999</v>
      </c>
      <c r="Z209">
        <v>1.6775000000000002E-2</v>
      </c>
      <c r="AA209">
        <v>0.26840000000000003</v>
      </c>
      <c r="AB209">
        <v>31.763580000000001</v>
      </c>
      <c r="AC209">
        <v>0</v>
      </c>
      <c r="AD209">
        <v>8.1906549999999996</v>
      </c>
      <c r="AE209">
        <v>0</v>
      </c>
      <c r="AF209">
        <f>(W209/40.31)/((W209/40.31)+((U209+T209*0.9)/71.85))</f>
        <v>0.65695678153592751</v>
      </c>
    </row>
    <row r="210" spans="1:32" x14ac:dyDescent="0.25">
      <c r="A210">
        <v>200</v>
      </c>
      <c r="B210" t="s">
        <v>34</v>
      </c>
      <c r="C210">
        <v>1500</v>
      </c>
      <c r="D210">
        <v>15000</v>
      </c>
      <c r="E210">
        <v>-8.5639660000000006</v>
      </c>
      <c r="F210">
        <v>-1578641.1385319999</v>
      </c>
      <c r="G210">
        <v>-1079710.764523</v>
      </c>
      <c r="H210">
        <v>281.38080500000001</v>
      </c>
      <c r="I210">
        <v>144.973152</v>
      </c>
      <c r="J210">
        <v>32.103659999999998</v>
      </c>
      <c r="K210">
        <v>3.1156459999999999</v>
      </c>
      <c r="L210">
        <v>1.2396640000000001</v>
      </c>
      <c r="M210">
        <v>100.023627</v>
      </c>
      <c r="N210" s="2">
        <v>61.434793999999997</v>
      </c>
      <c r="O210">
        <v>38.588833000000001</v>
      </c>
      <c r="Q210">
        <v>45.834578</v>
      </c>
      <c r="R210">
        <v>0.22825599999999999</v>
      </c>
      <c r="S210">
        <v>4.806362</v>
      </c>
      <c r="T210">
        <v>0.37520399999999998</v>
      </c>
      <c r="U210">
        <v>20.701682000000002</v>
      </c>
      <c r="V210">
        <v>0.25360199999999999</v>
      </c>
      <c r="W210">
        <v>22.977098999999999</v>
      </c>
      <c r="X210">
        <v>3.7259730000000002</v>
      </c>
      <c r="Y210">
        <v>0.81840800000000002</v>
      </c>
      <c r="Z210">
        <v>1.6402E-2</v>
      </c>
      <c r="AA210">
        <v>0.26243300000000003</v>
      </c>
      <c r="AB210">
        <v>31.335653000000001</v>
      </c>
      <c r="AC210">
        <v>0</v>
      </c>
      <c r="AD210">
        <v>7.2531800000000004</v>
      </c>
      <c r="AE210">
        <v>0</v>
      </c>
      <c r="AF210">
        <f>(W210/40.31)/((W210/40.31)+((U210+T210*0.9)/71.85))</f>
        <v>0.66062570810692345</v>
      </c>
    </row>
    <row r="211" spans="1:32" x14ac:dyDescent="0.25">
      <c r="A211">
        <v>201</v>
      </c>
      <c r="B211" t="s">
        <v>34</v>
      </c>
      <c r="C211">
        <v>1502</v>
      </c>
      <c r="D211">
        <v>15000</v>
      </c>
      <c r="E211">
        <v>-8.5494839999999996</v>
      </c>
      <c r="F211">
        <v>-1579210.970465</v>
      </c>
      <c r="G211">
        <v>-1078608.763759</v>
      </c>
      <c r="H211">
        <v>282.00558100000001</v>
      </c>
      <c r="I211">
        <v>145.516919</v>
      </c>
      <c r="J211">
        <v>32.150855</v>
      </c>
      <c r="K211">
        <v>3.111081</v>
      </c>
      <c r="L211">
        <v>1.144625</v>
      </c>
      <c r="M211">
        <v>100.02391799999999</v>
      </c>
      <c r="N211" s="2">
        <v>62.840058999999997</v>
      </c>
      <c r="O211">
        <v>37.183858999999998</v>
      </c>
      <c r="Q211">
        <v>45.940041000000001</v>
      </c>
      <c r="R211">
        <v>0.22337000000000001</v>
      </c>
      <c r="S211">
        <v>4.720167</v>
      </c>
      <c r="T211">
        <v>0.37269000000000002</v>
      </c>
      <c r="U211">
        <v>20.552693999999999</v>
      </c>
      <c r="V211">
        <v>0.25668099999999999</v>
      </c>
      <c r="W211">
        <v>23.194353</v>
      </c>
      <c r="X211">
        <v>3.6670250000000002</v>
      </c>
      <c r="Y211">
        <v>0.80037899999999995</v>
      </c>
      <c r="Z211">
        <v>1.6035000000000001E-2</v>
      </c>
      <c r="AA211">
        <v>0.25656499999999999</v>
      </c>
      <c r="AB211">
        <v>30.899775999999999</v>
      </c>
      <c r="AC211">
        <v>0</v>
      </c>
      <c r="AD211">
        <v>6.2840829999999999</v>
      </c>
      <c r="AE211">
        <v>0</v>
      </c>
      <c r="AF211">
        <f>(W211/40.31)/((W211/40.31)+((U211+T211*0.9)/71.85))</f>
        <v>0.66434317063084969</v>
      </c>
    </row>
    <row r="212" spans="1:32" x14ac:dyDescent="0.25">
      <c r="A212">
        <v>202</v>
      </c>
      <c r="B212" t="s">
        <v>34</v>
      </c>
      <c r="C212">
        <v>1504</v>
      </c>
      <c r="D212">
        <v>15000</v>
      </c>
      <c r="E212">
        <v>-8.5350339999999996</v>
      </c>
      <c r="F212">
        <v>-1579782.168294</v>
      </c>
      <c r="G212">
        <v>-1077478.6835960001</v>
      </c>
      <c r="H212">
        <v>282.64551899999998</v>
      </c>
      <c r="I212">
        <v>146.07791700000001</v>
      </c>
      <c r="J212">
        <v>32.199525000000001</v>
      </c>
      <c r="K212">
        <v>3.1063879999999999</v>
      </c>
      <c r="L212">
        <v>1.055828</v>
      </c>
      <c r="M212">
        <v>100.024214</v>
      </c>
      <c r="N212" s="2">
        <v>64.286771000000002</v>
      </c>
      <c r="O212">
        <v>35.737442999999999</v>
      </c>
      <c r="Q212">
        <v>46.047170000000001</v>
      </c>
      <c r="R212">
        <v>0.21854899999999999</v>
      </c>
      <c r="S212">
        <v>4.634728</v>
      </c>
      <c r="T212">
        <v>0.370116</v>
      </c>
      <c r="U212">
        <v>20.398443</v>
      </c>
      <c r="V212">
        <v>0.25969700000000001</v>
      </c>
      <c r="W212">
        <v>23.413715</v>
      </c>
      <c r="X212">
        <v>3.608492</v>
      </c>
      <c r="Y212">
        <v>0.78262399999999999</v>
      </c>
      <c r="Z212">
        <v>1.5674E-2</v>
      </c>
      <c r="AA212">
        <v>0.25079099999999999</v>
      </c>
      <c r="AB212">
        <v>30.455679</v>
      </c>
      <c r="AC212">
        <v>0</v>
      </c>
      <c r="AD212">
        <v>5.2817639999999999</v>
      </c>
      <c r="AE212">
        <v>0</v>
      </c>
      <c r="AF212">
        <f>(W212/40.31)/((W212/40.31)+((U212+T212*0.9)/71.85))</f>
        <v>0.66810937605884768</v>
      </c>
    </row>
    <row r="213" spans="1:32" x14ac:dyDescent="0.25">
      <c r="A213">
        <v>203</v>
      </c>
      <c r="B213" t="s">
        <v>34</v>
      </c>
      <c r="C213">
        <v>1506</v>
      </c>
      <c r="D213">
        <v>15000</v>
      </c>
      <c r="E213">
        <v>-8.5206169999999997</v>
      </c>
      <c r="F213">
        <v>-1580354.7644100001</v>
      </c>
      <c r="G213">
        <v>-1076319.129368</v>
      </c>
      <c r="H213">
        <v>283.30137100000002</v>
      </c>
      <c r="I213">
        <v>146.65700100000001</v>
      </c>
      <c r="J213">
        <v>32.249744999999997</v>
      </c>
      <c r="K213">
        <v>3.1015600000000001</v>
      </c>
      <c r="L213">
        <v>0.97230700000000003</v>
      </c>
      <c r="M213">
        <v>100.024514</v>
      </c>
      <c r="N213" s="2">
        <v>65.776949000000002</v>
      </c>
      <c r="O213">
        <v>34.247565000000002</v>
      </c>
      <c r="Q213">
        <v>46.155988999999998</v>
      </c>
      <c r="R213">
        <v>0.21379300000000001</v>
      </c>
      <c r="S213">
        <v>4.5500290000000003</v>
      </c>
      <c r="T213">
        <v>0.36747999999999997</v>
      </c>
      <c r="U213">
        <v>20.238918999999999</v>
      </c>
      <c r="V213">
        <v>0.26264199999999999</v>
      </c>
      <c r="W213">
        <v>23.635224000000001</v>
      </c>
      <c r="X213">
        <v>3.5503610000000001</v>
      </c>
      <c r="Y213">
        <v>0.76513600000000004</v>
      </c>
      <c r="Z213">
        <v>1.5318999999999999E-2</v>
      </c>
      <c r="AA213">
        <v>0.24510899999999999</v>
      </c>
      <c r="AB213">
        <v>30.003060999999999</v>
      </c>
      <c r="AC213">
        <v>0</v>
      </c>
      <c r="AD213">
        <v>4.2445029999999999</v>
      </c>
      <c r="AE213">
        <v>0</v>
      </c>
      <c r="AF213">
        <f>(W213/40.31)/((W213/40.31)+((U213+T213*0.9)/71.85))</f>
        <v>0.67192454889475683</v>
      </c>
    </row>
    <row r="214" spans="1:32" x14ac:dyDescent="0.25">
      <c r="A214">
        <v>204</v>
      </c>
      <c r="B214" t="s">
        <v>34</v>
      </c>
      <c r="C214">
        <v>1508</v>
      </c>
      <c r="D214">
        <v>15000</v>
      </c>
      <c r="E214">
        <v>-8.5062329999999999</v>
      </c>
      <c r="F214">
        <v>-1580928.7929680001</v>
      </c>
      <c r="G214">
        <v>-1075128.5965209999</v>
      </c>
      <c r="H214">
        <v>283.97394700000001</v>
      </c>
      <c r="I214">
        <v>147.25509500000001</v>
      </c>
      <c r="J214">
        <v>32.301597999999998</v>
      </c>
      <c r="K214">
        <v>3.09659</v>
      </c>
      <c r="L214">
        <v>0.89329899999999995</v>
      </c>
      <c r="M214">
        <v>100.024818</v>
      </c>
      <c r="N214" s="2">
        <v>67.312775999999999</v>
      </c>
      <c r="O214">
        <v>32.712041999999997</v>
      </c>
      <c r="Q214">
        <v>46.266522999999999</v>
      </c>
      <c r="R214">
        <v>0.20909900000000001</v>
      </c>
      <c r="S214">
        <v>4.4660510000000002</v>
      </c>
      <c r="T214">
        <v>0.36477900000000002</v>
      </c>
      <c r="U214">
        <v>20.074112</v>
      </c>
      <c r="V214">
        <v>0.26550800000000002</v>
      </c>
      <c r="W214">
        <v>23.858917999999999</v>
      </c>
      <c r="X214">
        <v>3.4926170000000001</v>
      </c>
      <c r="Y214">
        <v>0.74790599999999996</v>
      </c>
      <c r="Z214">
        <v>1.4970000000000001E-2</v>
      </c>
      <c r="AA214">
        <v>0.23951700000000001</v>
      </c>
      <c r="AB214">
        <v>29.541594</v>
      </c>
      <c r="AC214">
        <v>0</v>
      </c>
      <c r="AD214">
        <v>3.1704490000000001</v>
      </c>
      <c r="AE214">
        <v>0</v>
      </c>
      <c r="AF214">
        <f>(W214/40.31)/((W214/40.31)+((U214+T214*0.9)/71.85))</f>
        <v>0.67578890389497503</v>
      </c>
    </row>
    <row r="215" spans="1:32" x14ac:dyDescent="0.25">
      <c r="A215">
        <v>205</v>
      </c>
      <c r="B215" t="s">
        <v>34</v>
      </c>
      <c r="C215">
        <v>1510</v>
      </c>
      <c r="D215">
        <v>15000</v>
      </c>
      <c r="E215">
        <v>-8.4918800000000001</v>
      </c>
      <c r="F215">
        <v>-1581504.29003</v>
      </c>
      <c r="G215">
        <v>-1073905.459852</v>
      </c>
      <c r="H215">
        <v>284.66412300000002</v>
      </c>
      <c r="I215">
        <v>147.87319600000001</v>
      </c>
      <c r="J215">
        <v>32.355168999999997</v>
      </c>
      <c r="K215">
        <v>3.0914730000000001</v>
      </c>
      <c r="L215">
        <v>0.81818599999999997</v>
      </c>
      <c r="M215">
        <v>100.025127</v>
      </c>
      <c r="N215" s="2">
        <v>68.896613000000002</v>
      </c>
      <c r="O215">
        <v>31.128513999999999</v>
      </c>
      <c r="Q215">
        <v>46.378796999999999</v>
      </c>
      <c r="R215">
        <v>0.20446600000000001</v>
      </c>
      <c r="S215">
        <v>4.3827759999999998</v>
      </c>
      <c r="T215">
        <v>0.362014</v>
      </c>
      <c r="U215">
        <v>19.904012000000002</v>
      </c>
      <c r="V215">
        <v>0.26828600000000002</v>
      </c>
      <c r="W215">
        <v>24.08484</v>
      </c>
      <c r="X215">
        <v>3.4352450000000001</v>
      </c>
      <c r="Y215">
        <v>0.73092599999999996</v>
      </c>
      <c r="Z215">
        <v>1.4626E-2</v>
      </c>
      <c r="AA215">
        <v>0.234011</v>
      </c>
      <c r="AB215">
        <v>29.070903999999999</v>
      </c>
      <c r="AC215">
        <v>0</v>
      </c>
      <c r="AD215">
        <v>2.0576099999999999</v>
      </c>
      <c r="AE215">
        <v>0</v>
      </c>
      <c r="AF215">
        <f>(W215/40.31)/((W215/40.31)+((U215+T215*0.9)/71.85))</f>
        <v>0.67970265248843309</v>
      </c>
    </row>
    <row r="216" spans="1:32" x14ac:dyDescent="0.25">
      <c r="A216">
        <v>206</v>
      </c>
      <c r="B216" t="s">
        <v>34</v>
      </c>
      <c r="C216">
        <v>1512</v>
      </c>
      <c r="D216">
        <v>15000</v>
      </c>
      <c r="E216">
        <v>-8.4775600000000004</v>
      </c>
      <c r="F216">
        <v>-1582081.293724</v>
      </c>
      <c r="G216">
        <v>-1072647.961531</v>
      </c>
      <c r="H216">
        <v>285.37284399999999</v>
      </c>
      <c r="I216">
        <v>148.512382</v>
      </c>
      <c r="J216">
        <v>32.410553999999998</v>
      </c>
      <c r="K216">
        <v>3.0861999999999998</v>
      </c>
      <c r="L216">
        <v>0.74646500000000005</v>
      </c>
      <c r="M216">
        <v>100.025441</v>
      </c>
      <c r="N216" s="2">
        <v>70.531019000000001</v>
      </c>
      <c r="O216">
        <v>29.494422</v>
      </c>
      <c r="Q216">
        <v>46.492837000000002</v>
      </c>
      <c r="R216">
        <v>0.19989299999999999</v>
      </c>
      <c r="S216">
        <v>4.3001829999999996</v>
      </c>
      <c r="T216">
        <v>0.35918099999999997</v>
      </c>
      <c r="U216">
        <v>19.728608000000001</v>
      </c>
      <c r="V216">
        <v>0.27096799999999999</v>
      </c>
      <c r="W216">
        <v>24.313036</v>
      </c>
      <c r="X216">
        <v>3.378228</v>
      </c>
      <c r="Y216">
        <v>0.71418999999999999</v>
      </c>
      <c r="Z216">
        <v>1.4286999999999999E-2</v>
      </c>
      <c r="AA216">
        <v>0.22858800000000001</v>
      </c>
      <c r="AB216">
        <v>28.590589999999999</v>
      </c>
      <c r="AC216">
        <v>0</v>
      </c>
      <c r="AD216">
        <v>0.903833</v>
      </c>
      <c r="AE216">
        <v>0</v>
      </c>
      <c r="AF216">
        <f>(W216/40.31)/((W216/40.31)+((U216+T216*0.9)/71.85))</f>
        <v>0.68366607890180886</v>
      </c>
    </row>
    <row r="217" spans="1:32" x14ac:dyDescent="0.25">
      <c r="A217">
        <v>207</v>
      </c>
      <c r="B217" t="s">
        <v>34</v>
      </c>
      <c r="C217">
        <v>1514</v>
      </c>
      <c r="D217">
        <v>15000</v>
      </c>
      <c r="E217">
        <v>-8.4632719999999999</v>
      </c>
      <c r="F217">
        <v>-1582659.46202</v>
      </c>
      <c r="G217">
        <v>-1071468.6274069999</v>
      </c>
      <c r="H217">
        <v>286.03689400000002</v>
      </c>
      <c r="I217">
        <v>149.11291900000001</v>
      </c>
      <c r="J217">
        <v>32.458233999999997</v>
      </c>
      <c r="K217">
        <v>3.0816750000000002</v>
      </c>
      <c r="L217">
        <v>0.68288099999999996</v>
      </c>
      <c r="M217">
        <v>100.02574300000001</v>
      </c>
      <c r="N217" s="2">
        <v>72.013281000000006</v>
      </c>
      <c r="O217">
        <v>28.012461999999999</v>
      </c>
      <c r="Q217">
        <v>46.559643999999999</v>
      </c>
      <c r="R217">
        <v>0.19589699999999999</v>
      </c>
      <c r="S217">
        <v>4.2257870000000004</v>
      </c>
      <c r="T217">
        <v>0.35680400000000001</v>
      </c>
      <c r="U217">
        <v>19.583981000000001</v>
      </c>
      <c r="V217">
        <v>0.27432600000000001</v>
      </c>
      <c r="W217">
        <v>24.539629000000001</v>
      </c>
      <c r="X217">
        <v>3.3264230000000001</v>
      </c>
      <c r="Y217">
        <v>0.69963399999999998</v>
      </c>
      <c r="Z217">
        <v>1.3993E-2</v>
      </c>
      <c r="AA217">
        <v>0.223883</v>
      </c>
      <c r="AB217">
        <v>28.012463</v>
      </c>
      <c r="AC217">
        <v>0</v>
      </c>
      <c r="AD217">
        <v>0</v>
      </c>
      <c r="AE217">
        <v>0</v>
      </c>
      <c r="AF217">
        <f>(W217/40.31)/((W217/40.31)+((U217+T217*0.9)/71.85))</f>
        <v>0.68725003595734746</v>
      </c>
    </row>
    <row r="218" spans="1:32" x14ac:dyDescent="0.25">
      <c r="A218">
        <v>208</v>
      </c>
      <c r="B218" t="s">
        <v>34</v>
      </c>
      <c r="C218">
        <v>1516</v>
      </c>
      <c r="D218">
        <v>15000</v>
      </c>
      <c r="E218">
        <v>-8.4490160000000003</v>
      </c>
      <c r="F218">
        <v>-1583237.639648</v>
      </c>
      <c r="G218">
        <v>-1070626.2937129999</v>
      </c>
      <c r="H218">
        <v>286.51110599999998</v>
      </c>
      <c r="I218">
        <v>149.536551</v>
      </c>
      <c r="J218">
        <v>32.476647999999997</v>
      </c>
      <c r="K218">
        <v>3.079936</v>
      </c>
      <c r="L218">
        <v>0.63693699999999998</v>
      </c>
      <c r="M218">
        <v>100.02599600000001</v>
      </c>
      <c r="N218" s="2">
        <v>72.881450000000001</v>
      </c>
      <c r="O218">
        <v>27.144545999999998</v>
      </c>
      <c r="Q218">
        <v>46.473806000000003</v>
      </c>
      <c r="R218">
        <v>0.19356400000000001</v>
      </c>
      <c r="S218">
        <v>4.1754490000000004</v>
      </c>
      <c r="T218">
        <v>0.35602200000000001</v>
      </c>
      <c r="U218">
        <v>19.548660999999999</v>
      </c>
      <c r="V218">
        <v>0.28017399999999998</v>
      </c>
      <c r="W218">
        <v>24.755842000000001</v>
      </c>
      <c r="X218">
        <v>3.2901410000000002</v>
      </c>
      <c r="Y218">
        <v>0.69130000000000003</v>
      </c>
      <c r="Z218">
        <v>1.3826E-2</v>
      </c>
      <c r="AA218">
        <v>0.221216</v>
      </c>
      <c r="AB218">
        <v>27.144546999999999</v>
      </c>
      <c r="AC218">
        <v>0</v>
      </c>
      <c r="AD218">
        <v>0</v>
      </c>
      <c r="AE218">
        <v>0</v>
      </c>
      <c r="AF218">
        <f>(W218/40.31)/((W218/40.31)+((U218+T218*0.9)/71.85))</f>
        <v>0.68952032666444163</v>
      </c>
    </row>
    <row r="219" spans="1:32" x14ac:dyDescent="0.25">
      <c r="A219">
        <v>209</v>
      </c>
      <c r="B219" t="s">
        <v>34</v>
      </c>
      <c r="C219">
        <v>1518</v>
      </c>
      <c r="D219">
        <v>15000</v>
      </c>
      <c r="E219">
        <v>-8.4347910000000006</v>
      </c>
      <c r="F219">
        <v>-1583816.8175590001</v>
      </c>
      <c r="G219">
        <v>-1069770.494163</v>
      </c>
      <c r="H219">
        <v>286.99233600000002</v>
      </c>
      <c r="I219">
        <v>149.96949599999999</v>
      </c>
      <c r="J219">
        <v>32.495387000000001</v>
      </c>
      <c r="K219">
        <v>3.0781679999999998</v>
      </c>
      <c r="L219">
        <v>0.59157499999999996</v>
      </c>
      <c r="M219">
        <v>100.026252</v>
      </c>
      <c r="N219" s="2">
        <v>73.766677000000001</v>
      </c>
      <c r="O219">
        <v>26.259575000000002</v>
      </c>
      <c r="Q219">
        <v>46.388986000000003</v>
      </c>
      <c r="R219">
        <v>0.19124099999999999</v>
      </c>
      <c r="S219">
        <v>4.1253419999999998</v>
      </c>
      <c r="T219">
        <v>0.35520200000000002</v>
      </c>
      <c r="U219">
        <v>19.510073999999999</v>
      </c>
      <c r="V219">
        <v>0.28615299999999999</v>
      </c>
      <c r="W219">
        <v>24.973768</v>
      </c>
      <c r="X219">
        <v>3.2540079999999998</v>
      </c>
      <c r="Y219">
        <v>0.68300399999999994</v>
      </c>
      <c r="Z219">
        <v>1.366E-2</v>
      </c>
      <c r="AA219">
        <v>0.21856100000000001</v>
      </c>
      <c r="AB219">
        <v>26.259575000000002</v>
      </c>
      <c r="AC219">
        <v>0</v>
      </c>
      <c r="AD219">
        <v>0</v>
      </c>
      <c r="AE219">
        <v>0</v>
      </c>
      <c r="AF219">
        <f>(W219/40.31)/((W219/40.31)+((U219+T219*0.9)/71.85))</f>
        <v>0.69181608197647737</v>
      </c>
    </row>
    <row r="220" spans="1:32" x14ac:dyDescent="0.25">
      <c r="A220">
        <v>210</v>
      </c>
      <c r="B220" t="s">
        <v>34</v>
      </c>
      <c r="C220">
        <v>1520</v>
      </c>
      <c r="D220">
        <v>15000</v>
      </c>
      <c r="E220">
        <v>-8.4205989999999993</v>
      </c>
      <c r="F220">
        <v>-1584397.010732</v>
      </c>
      <c r="G220">
        <v>-1068900.7677859999</v>
      </c>
      <c r="H220">
        <v>287.48082599999998</v>
      </c>
      <c r="I220">
        <v>150.41207299999999</v>
      </c>
      <c r="J220">
        <v>32.514460999999997</v>
      </c>
      <c r="K220">
        <v>3.0763699999999998</v>
      </c>
      <c r="L220">
        <v>0.546763</v>
      </c>
      <c r="M220">
        <v>100.026509</v>
      </c>
      <c r="N220" s="2">
        <v>74.669526000000005</v>
      </c>
      <c r="O220">
        <v>25.356983</v>
      </c>
      <c r="Q220">
        <v>46.305179000000003</v>
      </c>
      <c r="R220">
        <v>0.18892900000000001</v>
      </c>
      <c r="S220">
        <v>4.0754609999999998</v>
      </c>
      <c r="T220">
        <v>0.35434399999999999</v>
      </c>
      <c r="U220">
        <v>19.468205999999999</v>
      </c>
      <c r="V220">
        <v>0.292267</v>
      </c>
      <c r="W220">
        <v>25.193432999999999</v>
      </c>
      <c r="X220">
        <v>3.2180230000000001</v>
      </c>
      <c r="Y220">
        <v>0.67474500000000004</v>
      </c>
      <c r="Z220">
        <v>1.3495E-2</v>
      </c>
      <c r="AA220">
        <v>0.215918</v>
      </c>
      <c r="AB220">
        <v>25.356983</v>
      </c>
      <c r="AC220">
        <v>0</v>
      </c>
      <c r="AD220">
        <v>0</v>
      </c>
      <c r="AE220">
        <v>0</v>
      </c>
      <c r="AF220">
        <f>(W220/40.31)/((W220/40.31)+((U220+T220*0.9)/71.85))</f>
        <v>0.69413728534942887</v>
      </c>
    </row>
    <row r="221" spans="1:32" x14ac:dyDescent="0.25">
      <c r="A221">
        <v>211</v>
      </c>
      <c r="B221" t="s">
        <v>34</v>
      </c>
      <c r="C221">
        <v>1522</v>
      </c>
      <c r="D221">
        <v>15000</v>
      </c>
      <c r="E221">
        <v>-8.4064379999999996</v>
      </c>
      <c r="F221">
        <v>-1584978.234708</v>
      </c>
      <c r="G221">
        <v>-1068016.6284700001</v>
      </c>
      <c r="H221">
        <v>287.97683000000001</v>
      </c>
      <c r="I221">
        <v>150.86461499999999</v>
      </c>
      <c r="J221">
        <v>32.533881000000001</v>
      </c>
      <c r="K221">
        <v>3.0745420000000001</v>
      </c>
      <c r="L221">
        <v>0.50247299999999995</v>
      </c>
      <c r="M221">
        <v>100.026768</v>
      </c>
      <c r="N221" s="2">
        <v>75.590592000000001</v>
      </c>
      <c r="O221">
        <v>24.436176</v>
      </c>
      <c r="Q221">
        <v>46.222377000000002</v>
      </c>
      <c r="R221">
        <v>0.18662699999999999</v>
      </c>
      <c r="S221">
        <v>4.0258019999999997</v>
      </c>
      <c r="T221">
        <v>0.35344700000000001</v>
      </c>
      <c r="U221">
        <v>19.423041999999999</v>
      </c>
      <c r="V221">
        <v>0.29851800000000001</v>
      </c>
      <c r="W221">
        <v>25.414867000000001</v>
      </c>
      <c r="X221">
        <v>3.1821799999999998</v>
      </c>
      <c r="Y221">
        <v>0.66652400000000001</v>
      </c>
      <c r="Z221">
        <v>1.333E-2</v>
      </c>
      <c r="AA221">
        <v>0.21328800000000001</v>
      </c>
      <c r="AB221">
        <v>24.436176</v>
      </c>
      <c r="AC221">
        <v>0</v>
      </c>
      <c r="AD221">
        <v>0</v>
      </c>
      <c r="AE221">
        <v>0</v>
      </c>
      <c r="AF221">
        <f>(W221/40.31)/((W221/40.31)+((U221+T221*0.9)/71.85))</f>
        <v>0.69648397012530716</v>
      </c>
    </row>
    <row r="222" spans="1:32" x14ac:dyDescent="0.25">
      <c r="A222">
        <v>212</v>
      </c>
      <c r="B222" t="s">
        <v>34</v>
      </c>
      <c r="C222">
        <v>1524</v>
      </c>
      <c r="D222">
        <v>15000</v>
      </c>
      <c r="E222">
        <v>-8.3923079999999999</v>
      </c>
      <c r="F222">
        <v>-1585560.505623</v>
      </c>
      <c r="G222">
        <v>-1067117.5632799999</v>
      </c>
      <c r="H222">
        <v>288.48061799999999</v>
      </c>
      <c r="I222">
        <v>151.32747599999999</v>
      </c>
      <c r="J222">
        <v>32.553659000000003</v>
      </c>
      <c r="K222">
        <v>3.0726819999999999</v>
      </c>
      <c r="L222">
        <v>0.458677</v>
      </c>
      <c r="M222">
        <v>100.027029</v>
      </c>
      <c r="N222" s="2">
        <v>76.530507</v>
      </c>
      <c r="O222">
        <v>23.496521999999999</v>
      </c>
      <c r="Q222">
        <v>46.140571999999999</v>
      </c>
      <c r="R222">
        <v>0.184335</v>
      </c>
      <c r="S222">
        <v>3.976359</v>
      </c>
      <c r="T222">
        <v>0.35250999999999999</v>
      </c>
      <c r="U222">
        <v>19.374571</v>
      </c>
      <c r="V222">
        <v>0.30491000000000001</v>
      </c>
      <c r="W222">
        <v>25.638096000000001</v>
      </c>
      <c r="X222">
        <v>3.1464750000000001</v>
      </c>
      <c r="Y222">
        <v>0.65833799999999998</v>
      </c>
      <c r="Z222">
        <v>1.3167E-2</v>
      </c>
      <c r="AA222">
        <v>0.21066799999999999</v>
      </c>
      <c r="AB222">
        <v>23.496521000000001</v>
      </c>
      <c r="AC222">
        <v>0</v>
      </c>
      <c r="AD222">
        <v>0</v>
      </c>
      <c r="AE222">
        <v>0</v>
      </c>
      <c r="AF222">
        <f>(W222/40.31)/((W222/40.31)+((U222+T222*0.9)/71.85))</f>
        <v>0.69885608840155833</v>
      </c>
    </row>
    <row r="223" spans="1:32" x14ac:dyDescent="0.25">
      <c r="A223">
        <v>213</v>
      </c>
      <c r="B223" t="s">
        <v>34</v>
      </c>
      <c r="C223">
        <v>1526</v>
      </c>
      <c r="D223">
        <v>15000</v>
      </c>
      <c r="E223">
        <v>-8.3782099999999993</v>
      </c>
      <c r="F223">
        <v>-1586143.840239</v>
      </c>
      <c r="G223">
        <v>-1066203.0306470001</v>
      </c>
      <c r="H223">
        <v>288.99247400000002</v>
      </c>
      <c r="I223">
        <v>151.801029</v>
      </c>
      <c r="J223">
        <v>32.573808</v>
      </c>
      <c r="K223">
        <v>3.070789</v>
      </c>
      <c r="L223">
        <v>0.41535</v>
      </c>
      <c r="M223">
        <v>100.027292</v>
      </c>
      <c r="N223" s="2">
        <v>77.489937999999995</v>
      </c>
      <c r="O223">
        <v>22.537353</v>
      </c>
      <c r="Q223">
        <v>46.059756999999998</v>
      </c>
      <c r="R223">
        <v>0.18205199999999999</v>
      </c>
      <c r="S223">
        <v>3.9271259999999999</v>
      </c>
      <c r="T223">
        <v>0.35153400000000001</v>
      </c>
      <c r="U223">
        <v>19.322778</v>
      </c>
      <c r="V223">
        <v>0.311446</v>
      </c>
      <c r="W223">
        <v>25.863151999999999</v>
      </c>
      <c r="X223">
        <v>3.1109049999999998</v>
      </c>
      <c r="Y223">
        <v>0.65018600000000004</v>
      </c>
      <c r="Z223">
        <v>1.3004E-2</v>
      </c>
      <c r="AA223">
        <v>0.20805999999999999</v>
      </c>
      <c r="AB223">
        <v>22.537354000000001</v>
      </c>
      <c r="AC223">
        <v>0</v>
      </c>
      <c r="AD223">
        <v>0</v>
      </c>
      <c r="AE223">
        <v>0</v>
      </c>
      <c r="AF223">
        <f>(W223/40.31)/((W223/40.31)+((U223+T223*0.9)/71.85))</f>
        <v>0.70125366074964068</v>
      </c>
    </row>
    <row r="224" spans="1:32" x14ac:dyDescent="0.25">
      <c r="A224">
        <v>214</v>
      </c>
      <c r="B224" t="s">
        <v>34</v>
      </c>
      <c r="C224">
        <v>1528</v>
      </c>
      <c r="D224">
        <v>15000</v>
      </c>
      <c r="E224">
        <v>-8.3641430000000003</v>
      </c>
      <c r="F224">
        <v>-1586728.2559809999</v>
      </c>
      <c r="G224">
        <v>-1065272.458416</v>
      </c>
      <c r="H224">
        <v>289.512699</v>
      </c>
      <c r="I224">
        <v>152.28566799999999</v>
      </c>
      <c r="J224">
        <v>32.594341</v>
      </c>
      <c r="K224">
        <v>3.0688629999999999</v>
      </c>
      <c r="L224">
        <v>0.37246600000000002</v>
      </c>
      <c r="M224">
        <v>100.027557</v>
      </c>
      <c r="N224" s="2">
        <v>78.469593000000003</v>
      </c>
      <c r="O224">
        <v>21.557963999999998</v>
      </c>
      <c r="Q224">
        <v>45.979922000000002</v>
      </c>
      <c r="R224">
        <v>0.17977899999999999</v>
      </c>
      <c r="S224">
        <v>3.878098</v>
      </c>
      <c r="T224">
        <v>0.35051700000000002</v>
      </c>
      <c r="U224">
        <v>19.267651000000001</v>
      </c>
      <c r="V224">
        <v>0.318129</v>
      </c>
      <c r="W224">
        <v>26.090064999999999</v>
      </c>
      <c r="X224">
        <v>3.0754649999999999</v>
      </c>
      <c r="Y224">
        <v>0.642069</v>
      </c>
      <c r="Z224">
        <v>1.2841E-2</v>
      </c>
      <c r="AA224">
        <v>0.20546200000000001</v>
      </c>
      <c r="AB224">
        <v>21.557963999999998</v>
      </c>
      <c r="AC224">
        <v>0</v>
      </c>
      <c r="AD224">
        <v>0</v>
      </c>
      <c r="AE224">
        <v>0</v>
      </c>
      <c r="AF224">
        <f>(W224/40.31)/((W224/40.31)+((U224+T224*0.9)/71.85))</f>
        <v>0.70367668216294676</v>
      </c>
    </row>
    <row r="225" spans="1:32" x14ac:dyDescent="0.25">
      <c r="A225">
        <v>215</v>
      </c>
      <c r="B225" t="s">
        <v>34</v>
      </c>
      <c r="C225">
        <v>1530</v>
      </c>
      <c r="D225">
        <v>15000</v>
      </c>
      <c r="E225">
        <v>-8.3501080000000005</v>
      </c>
      <c r="F225">
        <v>-1587313.770974</v>
      </c>
      <c r="G225">
        <v>-1064325.2417339999</v>
      </c>
      <c r="H225">
        <v>290.04160999999999</v>
      </c>
      <c r="I225">
        <v>152.78181000000001</v>
      </c>
      <c r="J225">
        <v>32.615271999999997</v>
      </c>
      <c r="K225">
        <v>3.0669010000000001</v>
      </c>
      <c r="L225">
        <v>0.33000200000000002</v>
      </c>
      <c r="M225">
        <v>100.027824</v>
      </c>
      <c r="N225" s="2">
        <v>79.470220999999995</v>
      </c>
      <c r="O225">
        <v>20.557603</v>
      </c>
      <c r="Q225">
        <v>45.901057999999999</v>
      </c>
      <c r="R225">
        <v>0.17751600000000001</v>
      </c>
      <c r="S225">
        <v>3.8292679999999999</v>
      </c>
      <c r="T225">
        <v>0.34945999999999999</v>
      </c>
      <c r="U225">
        <v>19.209177</v>
      </c>
      <c r="V225">
        <v>0.32496399999999998</v>
      </c>
      <c r="W225">
        <v>26.318867000000001</v>
      </c>
      <c r="X225">
        <v>3.0401509999999998</v>
      </c>
      <c r="Y225">
        <v>0.63398500000000002</v>
      </c>
      <c r="Z225">
        <v>1.268E-2</v>
      </c>
      <c r="AA225">
        <v>0.202875</v>
      </c>
      <c r="AB225">
        <v>20.557604000000001</v>
      </c>
      <c r="AC225">
        <v>0</v>
      </c>
      <c r="AD225">
        <v>0</v>
      </c>
      <c r="AE225">
        <v>0</v>
      </c>
      <c r="AF225">
        <f>(W225/40.31)/((W225/40.31)+((U225+T225*0.9)/71.85))</f>
        <v>0.7061251398227375</v>
      </c>
    </row>
    <row r="226" spans="1:32" x14ac:dyDescent="0.25">
      <c r="A226">
        <v>216</v>
      </c>
      <c r="B226" t="s">
        <v>34</v>
      </c>
      <c r="C226">
        <v>1532</v>
      </c>
      <c r="D226">
        <v>15000</v>
      </c>
      <c r="E226">
        <v>-8.3361029999999996</v>
      </c>
      <c r="F226">
        <v>-1587900.40408</v>
      </c>
      <c r="G226">
        <v>-1063360.74077</v>
      </c>
      <c r="H226">
        <v>290.579544</v>
      </c>
      <c r="I226">
        <v>153.289895</v>
      </c>
      <c r="J226">
        <v>32.636617000000001</v>
      </c>
      <c r="K226">
        <v>3.0649039999999999</v>
      </c>
      <c r="L226">
        <v>0.28793400000000002</v>
      </c>
      <c r="M226">
        <v>100.028094</v>
      </c>
      <c r="N226" s="2">
        <v>80.492615999999998</v>
      </c>
      <c r="O226">
        <v>19.535477</v>
      </c>
      <c r="Q226">
        <v>45.823155</v>
      </c>
      <c r="R226">
        <v>0.175261</v>
      </c>
      <c r="S226">
        <v>3.7806299999999999</v>
      </c>
      <c r="T226">
        <v>0.348362</v>
      </c>
      <c r="U226">
        <v>19.147341000000001</v>
      </c>
      <c r="V226">
        <v>0.331953</v>
      </c>
      <c r="W226">
        <v>26.549593000000002</v>
      </c>
      <c r="X226">
        <v>3.004956</v>
      </c>
      <c r="Y226">
        <v>0.62593200000000004</v>
      </c>
      <c r="Z226">
        <v>1.2519000000000001E-2</v>
      </c>
      <c r="AA226">
        <v>0.200298</v>
      </c>
      <c r="AB226">
        <v>19.535477</v>
      </c>
      <c r="AC226">
        <v>0</v>
      </c>
      <c r="AD226">
        <v>0</v>
      </c>
      <c r="AE226">
        <v>0</v>
      </c>
      <c r="AF226">
        <f>(W226/40.31)/((W226/40.31)+((U226+T226*0.9)/71.85))</f>
        <v>0.70859907830984747</v>
      </c>
    </row>
    <row r="227" spans="1:32" x14ac:dyDescent="0.25">
      <c r="A227">
        <v>217</v>
      </c>
      <c r="B227" t="s">
        <v>34</v>
      </c>
      <c r="C227">
        <v>1534</v>
      </c>
      <c r="D227">
        <v>15000</v>
      </c>
      <c r="E227">
        <v>-8.3221299999999996</v>
      </c>
      <c r="F227">
        <v>-1588488.1749450001</v>
      </c>
      <c r="G227">
        <v>-1062378.2782380001</v>
      </c>
      <c r="H227">
        <v>291.12685499999998</v>
      </c>
      <c r="I227">
        <v>153.81039000000001</v>
      </c>
      <c r="J227">
        <v>32.658389999999997</v>
      </c>
      <c r="K227">
        <v>3.0628690000000001</v>
      </c>
      <c r="L227">
        <v>0.24623999999999999</v>
      </c>
      <c r="M227">
        <v>100.02836499999999</v>
      </c>
      <c r="N227" s="2">
        <v>81.537621000000001</v>
      </c>
      <c r="O227">
        <v>18.490743999999999</v>
      </c>
      <c r="Q227">
        <v>45.746203000000001</v>
      </c>
      <c r="R227">
        <v>0.173015</v>
      </c>
      <c r="S227">
        <v>3.7321759999999999</v>
      </c>
      <c r="T227">
        <v>0.34722199999999998</v>
      </c>
      <c r="U227">
        <v>19.082131</v>
      </c>
      <c r="V227">
        <v>0.33910099999999999</v>
      </c>
      <c r="W227">
        <v>26.782277000000001</v>
      </c>
      <c r="X227">
        <v>2.9698769999999999</v>
      </c>
      <c r="Y227">
        <v>0.61790999999999996</v>
      </c>
      <c r="Z227">
        <v>1.2357999999999999E-2</v>
      </c>
      <c r="AA227">
        <v>0.19773099999999999</v>
      </c>
      <c r="AB227">
        <v>18.490743999999999</v>
      </c>
      <c r="AC227">
        <v>0</v>
      </c>
      <c r="AD227">
        <v>0</v>
      </c>
      <c r="AE227">
        <v>0</v>
      </c>
      <c r="AF227">
        <f>(W227/40.31)/((W227/40.31)+((U227+T227*0.9)/71.85))</f>
        <v>0.71109849494501243</v>
      </c>
    </row>
    <row r="228" spans="1:32" x14ac:dyDescent="0.25">
      <c r="A228">
        <v>218</v>
      </c>
      <c r="B228" t="s">
        <v>34</v>
      </c>
      <c r="C228">
        <v>1536</v>
      </c>
      <c r="D228">
        <v>15000</v>
      </c>
      <c r="E228">
        <v>-8.3081870000000002</v>
      </c>
      <c r="F228">
        <v>-1589077.1040439999</v>
      </c>
      <c r="G228">
        <v>-1061377.136716</v>
      </c>
      <c r="H228">
        <v>291.683922</v>
      </c>
      <c r="I228">
        <v>154.34379000000001</v>
      </c>
      <c r="J228">
        <v>32.680610000000001</v>
      </c>
      <c r="K228">
        <v>3.0607950000000002</v>
      </c>
      <c r="L228">
        <v>0.204899</v>
      </c>
      <c r="M228">
        <v>100.028639</v>
      </c>
      <c r="N228" s="2">
        <v>82.606129999999993</v>
      </c>
      <c r="O228">
        <v>17.422509000000002</v>
      </c>
      <c r="Q228">
        <v>45.670191000000003</v>
      </c>
      <c r="R228">
        <v>0.17077700000000001</v>
      </c>
      <c r="S228">
        <v>3.6839010000000001</v>
      </c>
      <c r="T228">
        <v>0.34604000000000001</v>
      </c>
      <c r="U228">
        <v>19.013529999999999</v>
      </c>
      <c r="V228">
        <v>0.34640900000000002</v>
      </c>
      <c r="W228">
        <v>27.016954999999999</v>
      </c>
      <c r="X228">
        <v>2.9349069999999999</v>
      </c>
      <c r="Y228">
        <v>0.60991700000000004</v>
      </c>
      <c r="Z228">
        <v>1.2198000000000001E-2</v>
      </c>
      <c r="AA228">
        <v>0.19517399999999999</v>
      </c>
      <c r="AB228">
        <v>17.422509999999999</v>
      </c>
      <c r="AC228">
        <v>0</v>
      </c>
      <c r="AD228">
        <v>0</v>
      </c>
      <c r="AE228">
        <v>0</v>
      </c>
      <c r="AF228">
        <f>(W228/40.31)/((W228/40.31)+((U228+T228*0.9)/71.85))</f>
        <v>0.71362343838262632</v>
      </c>
    </row>
    <row r="229" spans="1:32" x14ac:dyDescent="0.25">
      <c r="A229">
        <v>219</v>
      </c>
      <c r="B229" t="s">
        <v>34</v>
      </c>
      <c r="C229">
        <v>1538</v>
      </c>
      <c r="D229">
        <v>15000</v>
      </c>
      <c r="E229">
        <v>-8.2942750000000007</v>
      </c>
      <c r="F229">
        <v>-1589667.212726</v>
      </c>
      <c r="G229">
        <v>-1060356.555736</v>
      </c>
      <c r="H229">
        <v>292.25114300000001</v>
      </c>
      <c r="I229">
        <v>154.89061799999999</v>
      </c>
      <c r="J229">
        <v>32.703291999999998</v>
      </c>
      <c r="K229">
        <v>3.0586799999999998</v>
      </c>
      <c r="L229">
        <v>0.16388900000000001</v>
      </c>
      <c r="M229">
        <v>100.028915</v>
      </c>
      <c r="N229" s="2">
        <v>83.699091999999993</v>
      </c>
      <c r="O229">
        <v>16.329823999999999</v>
      </c>
      <c r="Q229">
        <v>45.595109000000001</v>
      </c>
      <c r="R229">
        <v>0.168547</v>
      </c>
      <c r="S229">
        <v>3.6357949999999999</v>
      </c>
      <c r="T229">
        <v>0.34481600000000001</v>
      </c>
      <c r="U229">
        <v>18.941524000000001</v>
      </c>
      <c r="V229">
        <v>0.35388399999999998</v>
      </c>
      <c r="W229">
        <v>27.253667</v>
      </c>
      <c r="X229">
        <v>2.9000409999999999</v>
      </c>
      <c r="Y229">
        <v>0.60195299999999996</v>
      </c>
      <c r="Z229">
        <v>1.2038999999999999E-2</v>
      </c>
      <c r="AA229">
        <v>0.19262499999999999</v>
      </c>
      <c r="AB229">
        <v>16.329823999999999</v>
      </c>
      <c r="AC229">
        <v>0</v>
      </c>
      <c r="AD229">
        <v>0</v>
      </c>
      <c r="AE229">
        <v>0</v>
      </c>
      <c r="AF229">
        <f>(W229/40.31)/((W229/40.31)+((U229+T229*0.9)/71.85))</f>
        <v>0.71617394716448457</v>
      </c>
    </row>
    <row r="230" spans="1:32" x14ac:dyDescent="0.25">
      <c r="A230">
        <v>220</v>
      </c>
      <c r="B230" t="s">
        <v>34</v>
      </c>
      <c r="C230">
        <v>1540</v>
      </c>
      <c r="D230">
        <v>15000</v>
      </c>
      <c r="E230">
        <v>-8.2803939999999994</v>
      </c>
      <c r="F230">
        <v>-1590258.523273</v>
      </c>
      <c r="G230">
        <v>-1059315.7286149999</v>
      </c>
      <c r="H230">
        <v>292.82894099999999</v>
      </c>
      <c r="I230">
        <v>155.45143100000001</v>
      </c>
      <c r="J230">
        <v>32.726458000000001</v>
      </c>
      <c r="K230">
        <v>3.056524</v>
      </c>
      <c r="L230">
        <v>0.12319099999999999</v>
      </c>
      <c r="M230">
        <v>100.029194</v>
      </c>
      <c r="N230" s="2">
        <v>84.817515</v>
      </c>
      <c r="O230">
        <v>15.211679</v>
      </c>
      <c r="Q230">
        <v>45.520944</v>
      </c>
      <c r="R230">
        <v>0.166324</v>
      </c>
      <c r="S230">
        <v>3.587853</v>
      </c>
      <c r="T230">
        <v>0.34354800000000002</v>
      </c>
      <c r="U230">
        <v>18.866098999999998</v>
      </c>
      <c r="V230">
        <v>0.36152699999999999</v>
      </c>
      <c r="W230">
        <v>27.492452</v>
      </c>
      <c r="X230">
        <v>2.8652739999999999</v>
      </c>
      <c r="Y230">
        <v>0.59401499999999996</v>
      </c>
      <c r="Z230">
        <v>1.188E-2</v>
      </c>
      <c r="AA230">
        <v>0.190085</v>
      </c>
      <c r="AB230">
        <v>15.211679</v>
      </c>
      <c r="AC230">
        <v>0</v>
      </c>
      <c r="AD230">
        <v>0</v>
      </c>
      <c r="AE230">
        <v>0</v>
      </c>
      <c r="AF230">
        <f>(W230/40.31)/((W230/40.31)+((U230+T230*0.9)/71.85))</f>
        <v>0.71875006172493339</v>
      </c>
    </row>
    <row r="231" spans="1:32" x14ac:dyDescent="0.25">
      <c r="A231">
        <v>221</v>
      </c>
      <c r="B231" t="s">
        <v>34</v>
      </c>
      <c r="C231">
        <v>1542</v>
      </c>
      <c r="D231">
        <v>15000</v>
      </c>
      <c r="E231">
        <v>-8.2665439999999997</v>
      </c>
      <c r="F231">
        <v>-1590851.058948</v>
      </c>
      <c r="G231">
        <v>-1058253.79901</v>
      </c>
      <c r="H231">
        <v>293.41776700000003</v>
      </c>
      <c r="I231">
        <v>156.02681799999999</v>
      </c>
      <c r="J231">
        <v>32.750126000000002</v>
      </c>
      <c r="K231">
        <v>3.0543230000000001</v>
      </c>
      <c r="L231">
        <v>8.2783999999999996E-2</v>
      </c>
      <c r="M231">
        <v>100.02947500000001</v>
      </c>
      <c r="N231" s="2">
        <v>85.962472000000005</v>
      </c>
      <c r="O231">
        <v>14.067003</v>
      </c>
      <c r="Q231">
        <v>45.447685</v>
      </c>
      <c r="R231">
        <v>0.164109</v>
      </c>
      <c r="S231">
        <v>3.5400649999999998</v>
      </c>
      <c r="T231">
        <v>0.34223599999999998</v>
      </c>
      <c r="U231">
        <v>18.787236</v>
      </c>
      <c r="V231">
        <v>0.369342</v>
      </c>
      <c r="W231">
        <v>27.733350000000002</v>
      </c>
      <c r="X231">
        <v>2.8305980000000002</v>
      </c>
      <c r="Y231">
        <v>0.58610399999999996</v>
      </c>
      <c r="Z231">
        <v>1.1722E-2</v>
      </c>
      <c r="AA231">
        <v>0.187553</v>
      </c>
      <c r="AB231">
        <v>14.067002</v>
      </c>
      <c r="AC231">
        <v>0</v>
      </c>
      <c r="AD231">
        <v>0</v>
      </c>
      <c r="AE231">
        <v>0</v>
      </c>
      <c r="AF231">
        <f>(W231/40.31)/((W231/40.31)+((U231+T231*0.9)/71.85))</f>
        <v>0.72135185403990598</v>
      </c>
    </row>
    <row r="232" spans="1:32" x14ac:dyDescent="0.25">
      <c r="A232">
        <v>222</v>
      </c>
      <c r="B232" t="s">
        <v>34</v>
      </c>
      <c r="C232">
        <v>1544</v>
      </c>
      <c r="D232">
        <v>15000</v>
      </c>
      <c r="E232">
        <v>-8.2527229999999996</v>
      </c>
      <c r="F232">
        <v>-1591444.8440650001</v>
      </c>
      <c r="G232">
        <v>-1057169.8571510001</v>
      </c>
      <c r="H232">
        <v>294.01809800000001</v>
      </c>
      <c r="I232">
        <v>156.61740699999999</v>
      </c>
      <c r="J232">
        <v>32.774317000000003</v>
      </c>
      <c r="K232">
        <v>3.0520779999999998</v>
      </c>
      <c r="L232">
        <v>4.265E-2</v>
      </c>
      <c r="M232">
        <v>100.029759</v>
      </c>
      <c r="N232" s="2">
        <v>87.135103999999998</v>
      </c>
      <c r="O232">
        <v>12.894655</v>
      </c>
      <c r="Q232">
        <v>45.375318999999998</v>
      </c>
      <c r="R232">
        <v>0.16189999999999999</v>
      </c>
      <c r="S232">
        <v>3.4924249999999999</v>
      </c>
      <c r="T232">
        <v>0.34088000000000002</v>
      </c>
      <c r="U232">
        <v>18.704920000000001</v>
      </c>
      <c r="V232">
        <v>0.377334</v>
      </c>
      <c r="W232">
        <v>27.976403999999999</v>
      </c>
      <c r="X232">
        <v>2.7960090000000002</v>
      </c>
      <c r="Y232">
        <v>0.57821599999999995</v>
      </c>
      <c r="Z232">
        <v>1.1564E-2</v>
      </c>
      <c r="AA232">
        <v>0.185029</v>
      </c>
      <c r="AB232">
        <v>12.894653999999999</v>
      </c>
      <c r="AC232">
        <v>0</v>
      </c>
      <c r="AD232">
        <v>0</v>
      </c>
      <c r="AE232">
        <v>0</v>
      </c>
      <c r="AF232">
        <f>(W232/40.31)/((W232/40.31)+((U232+T232*0.9)/71.85))</f>
        <v>0.72397936550145059</v>
      </c>
    </row>
    <row r="233" spans="1:32" x14ac:dyDescent="0.25">
      <c r="A233">
        <v>223</v>
      </c>
      <c r="B233" t="s">
        <v>34</v>
      </c>
      <c r="C233">
        <v>1546</v>
      </c>
      <c r="D233">
        <v>15000</v>
      </c>
      <c r="E233">
        <v>-8.2389340000000004</v>
      </c>
      <c r="F233">
        <v>-1592039.904045</v>
      </c>
      <c r="G233">
        <v>-1056062.9357439999</v>
      </c>
      <c r="H233">
        <v>294.63044200000002</v>
      </c>
      <c r="I233">
        <v>157.22386499999999</v>
      </c>
      <c r="J233">
        <v>32.799056</v>
      </c>
      <c r="K233">
        <v>3.0497839999999998</v>
      </c>
      <c r="L233">
        <v>2.7680000000000001E-3</v>
      </c>
      <c r="M233">
        <v>100.030045</v>
      </c>
      <c r="N233" s="2">
        <v>88.336624</v>
      </c>
      <c r="O233">
        <v>11.693421000000001</v>
      </c>
      <c r="Q233">
        <v>45.303834999999999</v>
      </c>
      <c r="R233">
        <v>0.15969800000000001</v>
      </c>
      <c r="S233">
        <v>3.444922</v>
      </c>
      <c r="T233">
        <v>0.339478</v>
      </c>
      <c r="U233">
        <v>18.619132</v>
      </c>
      <c r="V233">
        <v>0.38550499999999999</v>
      </c>
      <c r="W233">
        <v>28.221661000000001</v>
      </c>
      <c r="X233">
        <v>2.7614990000000001</v>
      </c>
      <c r="Y233">
        <v>0.57035100000000005</v>
      </c>
      <c r="Z233">
        <v>1.1407E-2</v>
      </c>
      <c r="AA233">
        <v>0.18251200000000001</v>
      </c>
      <c r="AB233">
        <v>11.69342</v>
      </c>
      <c r="AC233">
        <v>0</v>
      </c>
      <c r="AD233">
        <v>0</v>
      </c>
      <c r="AE233">
        <v>0</v>
      </c>
      <c r="AF233">
        <f>(W233/40.31)/((W233/40.31)+((U233+T233*0.9)/71.85))</f>
        <v>0.72663271560379106</v>
      </c>
    </row>
    <row r="234" spans="1:32" x14ac:dyDescent="0.25">
      <c r="A234">
        <v>224</v>
      </c>
      <c r="B234" t="s">
        <v>34</v>
      </c>
      <c r="C234">
        <v>1548</v>
      </c>
      <c r="D234">
        <v>15000</v>
      </c>
      <c r="E234">
        <v>-8.2251740000000009</v>
      </c>
      <c r="F234">
        <v>-1592636.2654929999</v>
      </c>
      <c r="G234">
        <v>-1054932.005478</v>
      </c>
      <c r="H234">
        <v>295.25533899999999</v>
      </c>
      <c r="I234">
        <v>157.846902</v>
      </c>
      <c r="J234">
        <v>32.824364000000003</v>
      </c>
      <c r="K234">
        <v>3.0474420000000002</v>
      </c>
      <c r="L234">
        <v>-3.6879000000000002E-2</v>
      </c>
      <c r="M234">
        <v>100.030334</v>
      </c>
      <c r="N234" s="2">
        <v>89.568325999999999</v>
      </c>
      <c r="O234">
        <v>10.462008000000001</v>
      </c>
      <c r="Q234">
        <v>45.233218999999998</v>
      </c>
      <c r="R234">
        <v>0.157502</v>
      </c>
      <c r="S234">
        <v>3.3975490000000002</v>
      </c>
      <c r="T234">
        <v>0.33803</v>
      </c>
      <c r="U234">
        <v>18.529852000000002</v>
      </c>
      <c r="V234">
        <v>0.39385900000000001</v>
      </c>
      <c r="W234">
        <v>28.469165</v>
      </c>
      <c r="X234">
        <v>2.7270620000000001</v>
      </c>
      <c r="Y234">
        <v>0.56250800000000001</v>
      </c>
      <c r="Z234">
        <v>1.125E-2</v>
      </c>
      <c r="AA234">
        <v>0.180003</v>
      </c>
      <c r="AB234">
        <v>10.462008000000001</v>
      </c>
      <c r="AC234">
        <v>0</v>
      </c>
      <c r="AD234">
        <v>0</v>
      </c>
      <c r="AE234">
        <v>0</v>
      </c>
      <c r="AF234">
        <f>(W234/40.31)/((W234/40.31)+((U234+T234*0.9)/71.85))</f>
        <v>0.72931198176848355</v>
      </c>
    </row>
    <row r="235" spans="1:32" x14ac:dyDescent="0.25">
      <c r="A235">
        <v>225</v>
      </c>
      <c r="B235" t="s">
        <v>34</v>
      </c>
      <c r="C235">
        <v>1550</v>
      </c>
      <c r="D235">
        <v>15000</v>
      </c>
      <c r="E235">
        <v>-8.2114449999999994</v>
      </c>
      <c r="F235">
        <v>-1593233.956271</v>
      </c>
      <c r="G235">
        <v>-1053775.9701080001</v>
      </c>
      <c r="H235">
        <v>295.89336400000002</v>
      </c>
      <c r="I235">
        <v>158.48727299999999</v>
      </c>
      <c r="J235">
        <v>32.850270000000002</v>
      </c>
      <c r="K235">
        <v>3.0450469999999998</v>
      </c>
      <c r="L235">
        <v>-7.6310000000000003E-2</v>
      </c>
      <c r="M235">
        <v>100.030626</v>
      </c>
      <c r="N235" s="2">
        <v>90.831588999999994</v>
      </c>
      <c r="O235">
        <v>9.1990370000000006</v>
      </c>
      <c r="Q235">
        <v>45.163460000000001</v>
      </c>
      <c r="R235">
        <v>0.15531200000000001</v>
      </c>
      <c r="S235">
        <v>3.3502969999999999</v>
      </c>
      <c r="T235">
        <v>0.336536</v>
      </c>
      <c r="U235">
        <v>18.437062000000001</v>
      </c>
      <c r="V235">
        <v>0.40239900000000001</v>
      </c>
      <c r="W235">
        <v>28.718966000000002</v>
      </c>
      <c r="X235">
        <v>2.6926899999999998</v>
      </c>
      <c r="Y235">
        <v>0.55468499999999998</v>
      </c>
      <c r="Z235">
        <v>1.1094E-2</v>
      </c>
      <c r="AA235">
        <v>0.17749899999999999</v>
      </c>
      <c r="AB235">
        <v>9.1990379999999998</v>
      </c>
      <c r="AC235">
        <v>0</v>
      </c>
      <c r="AD235">
        <v>0</v>
      </c>
      <c r="AE235">
        <v>0</v>
      </c>
      <c r="AF235">
        <f>(W235/40.31)/((W235/40.31)+((U235+T235*0.9)/71.85))</f>
        <v>0.73201724995339112</v>
      </c>
    </row>
  </sheetData>
  <mergeCells count="1">
    <mergeCell ref="AG182:AG19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8"/>
  <sheetViews>
    <sheetView workbookViewId="0"/>
  </sheetViews>
  <sheetFormatPr defaultColWidth="11" defaultRowHeight="15.75" x14ac:dyDescent="0.25"/>
  <sheetData>
    <row r="1" spans="1:13" x14ac:dyDescent="0.25">
      <c r="A1" t="s">
        <v>36</v>
      </c>
    </row>
    <row r="2" spans="1:13" x14ac:dyDescent="0.25">
      <c r="A2" t="s">
        <v>37</v>
      </c>
      <c r="B2" t="s">
        <v>38</v>
      </c>
      <c r="C2" t="s">
        <v>39</v>
      </c>
      <c r="D2" t="s">
        <v>40</v>
      </c>
    </row>
    <row r="3" spans="1:13" x14ac:dyDescent="0.25">
      <c r="A3">
        <v>0</v>
      </c>
      <c r="B3" t="s">
        <v>30</v>
      </c>
      <c r="C3" t="s">
        <v>41</v>
      </c>
      <c r="D3">
        <v>52.788670000000003</v>
      </c>
      <c r="E3" t="s">
        <v>31</v>
      </c>
      <c r="F3" t="s">
        <v>42</v>
      </c>
      <c r="G3">
        <v>4.1386520000000004</v>
      </c>
      <c r="H3" t="s">
        <v>32</v>
      </c>
      <c r="I3" t="s">
        <v>43</v>
      </c>
      <c r="J3">
        <v>31.070761000000001</v>
      </c>
      <c r="K3" t="s">
        <v>33</v>
      </c>
      <c r="L3" t="s">
        <v>44</v>
      </c>
      <c r="M3">
        <v>11.322975</v>
      </c>
    </row>
    <row r="4" spans="1:13" x14ac:dyDescent="0.25">
      <c r="A4">
        <v>1</v>
      </c>
      <c r="B4" t="s">
        <v>30</v>
      </c>
      <c r="C4" t="s">
        <v>41</v>
      </c>
      <c r="D4">
        <v>52.783934000000002</v>
      </c>
      <c r="E4" t="s">
        <v>31</v>
      </c>
      <c r="F4" t="s">
        <v>42</v>
      </c>
      <c r="G4">
        <v>4.1096750000000002</v>
      </c>
      <c r="H4" t="s">
        <v>32</v>
      </c>
      <c r="I4" t="s">
        <v>43</v>
      </c>
      <c r="J4">
        <v>31.082228000000001</v>
      </c>
      <c r="K4" t="s">
        <v>33</v>
      </c>
      <c r="L4" t="s">
        <v>44</v>
      </c>
      <c r="M4">
        <v>11.339525</v>
      </c>
    </row>
    <row r="5" spans="1:13" x14ac:dyDescent="0.25">
      <c r="A5">
        <v>2</v>
      </c>
      <c r="B5" t="s">
        <v>30</v>
      </c>
      <c r="C5" t="s">
        <v>41</v>
      </c>
      <c r="D5">
        <v>52.779085000000002</v>
      </c>
      <c r="E5" t="s">
        <v>31</v>
      </c>
      <c r="F5" t="s">
        <v>42</v>
      </c>
      <c r="G5">
        <v>4.08066</v>
      </c>
      <c r="H5" t="s">
        <v>32</v>
      </c>
      <c r="I5" t="s">
        <v>43</v>
      </c>
      <c r="J5">
        <v>31.093278000000002</v>
      </c>
      <c r="K5" t="s">
        <v>33</v>
      </c>
      <c r="L5" t="s">
        <v>45</v>
      </c>
      <c r="M5">
        <v>11.356467</v>
      </c>
    </row>
    <row r="6" spans="1:13" x14ac:dyDescent="0.25">
      <c r="A6">
        <v>3</v>
      </c>
      <c r="B6" t="s">
        <v>30</v>
      </c>
      <c r="C6" t="s">
        <v>41</v>
      </c>
      <c r="D6">
        <v>52.774121000000001</v>
      </c>
      <c r="E6" t="s">
        <v>31</v>
      </c>
      <c r="F6" t="s">
        <v>42</v>
      </c>
      <c r="G6">
        <v>4.051609</v>
      </c>
      <c r="H6" t="s">
        <v>32</v>
      </c>
      <c r="I6" t="s">
        <v>43</v>
      </c>
      <c r="J6">
        <v>31.103888999999999</v>
      </c>
      <c r="K6" t="s">
        <v>33</v>
      </c>
      <c r="L6" t="s">
        <v>45</v>
      </c>
      <c r="M6">
        <v>11.373818</v>
      </c>
    </row>
    <row r="7" spans="1:13" x14ac:dyDescent="0.25">
      <c r="A7">
        <v>4</v>
      </c>
      <c r="B7" t="s">
        <v>30</v>
      </c>
      <c r="C7" t="s">
        <v>41</v>
      </c>
      <c r="D7">
        <v>52.769039999999997</v>
      </c>
      <c r="E7" t="s">
        <v>31</v>
      </c>
      <c r="F7" t="s">
        <v>42</v>
      </c>
      <c r="G7">
        <v>4.0225229999999996</v>
      </c>
      <c r="H7" t="s">
        <v>32</v>
      </c>
      <c r="I7" t="s">
        <v>43</v>
      </c>
      <c r="J7">
        <v>31.114038000000001</v>
      </c>
      <c r="K7" t="s">
        <v>33</v>
      </c>
      <c r="L7" t="s">
        <v>46</v>
      </c>
      <c r="M7">
        <v>11.391594</v>
      </c>
    </row>
    <row r="8" spans="1:13" x14ac:dyDescent="0.25">
      <c r="A8">
        <v>5</v>
      </c>
      <c r="B8" t="s">
        <v>30</v>
      </c>
      <c r="C8" t="s">
        <v>41</v>
      </c>
      <c r="D8">
        <v>52.763837000000002</v>
      </c>
      <c r="E8" t="s">
        <v>31</v>
      </c>
      <c r="F8" t="s">
        <v>42</v>
      </c>
      <c r="G8">
        <v>3.9934050000000001</v>
      </c>
      <c r="H8" t="s">
        <v>32</v>
      </c>
      <c r="I8" t="s">
        <v>43</v>
      </c>
      <c r="J8">
        <v>31.123701000000001</v>
      </c>
      <c r="K8" t="s">
        <v>33</v>
      </c>
      <c r="L8" t="s">
        <v>46</v>
      </c>
      <c r="M8">
        <v>11.409814000000001</v>
      </c>
    </row>
    <row r="9" spans="1:13" x14ac:dyDescent="0.25">
      <c r="A9">
        <v>6</v>
      </c>
      <c r="B9" t="s">
        <v>30</v>
      </c>
      <c r="C9" t="s">
        <v>41</v>
      </c>
      <c r="D9">
        <v>52.758510999999999</v>
      </c>
      <c r="E9" t="s">
        <v>31</v>
      </c>
      <c r="F9" t="s">
        <v>42</v>
      </c>
      <c r="G9">
        <v>3.9642559999999998</v>
      </c>
      <c r="H9" t="s">
        <v>32</v>
      </c>
      <c r="I9" t="s">
        <v>43</v>
      </c>
      <c r="J9">
        <v>31.132853000000001</v>
      </c>
      <c r="K9" t="s">
        <v>33</v>
      </c>
      <c r="L9" t="s">
        <v>46</v>
      </c>
      <c r="M9">
        <v>11.428499</v>
      </c>
    </row>
    <row r="10" spans="1:13" x14ac:dyDescent="0.25">
      <c r="A10">
        <v>7</v>
      </c>
      <c r="B10" t="s">
        <v>30</v>
      </c>
      <c r="C10" t="s">
        <v>41</v>
      </c>
      <c r="D10">
        <v>52.753056999999998</v>
      </c>
      <c r="E10" t="s">
        <v>31</v>
      </c>
      <c r="F10" t="s">
        <v>42</v>
      </c>
      <c r="G10">
        <v>3.9350770000000002</v>
      </c>
      <c r="H10" t="s">
        <v>32</v>
      </c>
      <c r="I10" t="s">
        <v>43</v>
      </c>
      <c r="J10">
        <v>31.141466000000001</v>
      </c>
      <c r="K10" t="s">
        <v>33</v>
      </c>
      <c r="L10" t="s">
        <v>47</v>
      </c>
      <c r="M10">
        <v>11.44767</v>
      </c>
    </row>
    <row r="11" spans="1:13" x14ac:dyDescent="0.25">
      <c r="A11">
        <v>8</v>
      </c>
      <c r="B11" t="s">
        <v>30</v>
      </c>
      <c r="C11" t="s">
        <v>41</v>
      </c>
      <c r="D11">
        <v>52.747472999999999</v>
      </c>
      <c r="E11" t="s">
        <v>31</v>
      </c>
      <c r="F11" t="s">
        <v>42</v>
      </c>
      <c r="G11">
        <v>3.9058709999999999</v>
      </c>
      <c r="H11" t="s">
        <v>32</v>
      </c>
      <c r="I11" t="s">
        <v>48</v>
      </c>
      <c r="J11">
        <v>31.149511</v>
      </c>
      <c r="K11" t="s">
        <v>33</v>
      </c>
      <c r="L11" t="s">
        <v>49</v>
      </c>
      <c r="M11">
        <v>11.467351000000001</v>
      </c>
    </row>
    <row r="12" spans="1:13" x14ac:dyDescent="0.25">
      <c r="A12">
        <v>9</v>
      </c>
      <c r="B12" t="s">
        <v>30</v>
      </c>
      <c r="C12" t="s">
        <v>41</v>
      </c>
      <c r="D12">
        <v>52.741756000000002</v>
      </c>
      <c r="E12" t="s">
        <v>31</v>
      </c>
      <c r="F12" t="s">
        <v>50</v>
      </c>
      <c r="G12">
        <v>3.8766379999999998</v>
      </c>
      <c r="H12" t="s">
        <v>32</v>
      </c>
      <c r="I12" t="s">
        <v>48</v>
      </c>
      <c r="J12">
        <v>31.156956000000001</v>
      </c>
      <c r="K12" t="s">
        <v>33</v>
      </c>
      <c r="L12" t="s">
        <v>49</v>
      </c>
      <c r="M12">
        <v>11.487569000000001</v>
      </c>
    </row>
    <row r="13" spans="1:13" x14ac:dyDescent="0.25">
      <c r="A13">
        <v>10</v>
      </c>
      <c r="B13" t="s">
        <v>30</v>
      </c>
      <c r="C13" t="s">
        <v>41</v>
      </c>
      <c r="D13">
        <v>52.735903</v>
      </c>
      <c r="E13" t="s">
        <v>31</v>
      </c>
      <c r="F13" t="s">
        <v>50</v>
      </c>
      <c r="G13">
        <v>3.8473799999999998</v>
      </c>
      <c r="H13" t="s">
        <v>32</v>
      </c>
      <c r="I13" t="s">
        <v>51</v>
      </c>
      <c r="J13">
        <v>31.163767</v>
      </c>
      <c r="K13" t="s">
        <v>33</v>
      </c>
      <c r="L13" t="s">
        <v>52</v>
      </c>
      <c r="M13">
        <v>11.508352</v>
      </c>
    </row>
    <row r="14" spans="1:13" x14ac:dyDescent="0.25">
      <c r="A14">
        <v>11</v>
      </c>
      <c r="B14" t="s">
        <v>30</v>
      </c>
      <c r="C14" t="s">
        <v>41</v>
      </c>
      <c r="D14">
        <v>52.729909999999997</v>
      </c>
      <c r="E14" t="s">
        <v>31</v>
      </c>
      <c r="F14" t="s">
        <v>53</v>
      </c>
      <c r="G14">
        <v>3.8180990000000001</v>
      </c>
      <c r="H14" t="s">
        <v>32</v>
      </c>
      <c r="I14" t="s">
        <v>51</v>
      </c>
      <c r="J14">
        <v>31.169906000000001</v>
      </c>
      <c r="K14" t="s">
        <v>33</v>
      </c>
      <c r="L14" t="s">
        <v>52</v>
      </c>
      <c r="M14">
        <v>11.529730000000001</v>
      </c>
    </row>
    <row r="15" spans="1:13" x14ac:dyDescent="0.25">
      <c r="A15">
        <v>12</v>
      </c>
      <c r="B15" t="s">
        <v>30</v>
      </c>
      <c r="C15" t="s">
        <v>41</v>
      </c>
      <c r="D15">
        <v>52.723775000000003</v>
      </c>
      <c r="E15" t="s">
        <v>31</v>
      </c>
      <c r="F15" t="s">
        <v>53</v>
      </c>
      <c r="G15">
        <v>3.7887949999999999</v>
      </c>
      <c r="H15" t="s">
        <v>32</v>
      </c>
      <c r="I15" t="s">
        <v>51</v>
      </c>
      <c r="J15">
        <v>31.175333999999999</v>
      </c>
      <c r="K15" t="s">
        <v>33</v>
      </c>
      <c r="L15" t="s">
        <v>52</v>
      </c>
      <c r="M15">
        <v>11.551739</v>
      </c>
    </row>
    <row r="16" spans="1:13" x14ac:dyDescent="0.25">
      <c r="A16">
        <v>13</v>
      </c>
      <c r="B16" t="s">
        <v>30</v>
      </c>
      <c r="C16" t="s">
        <v>41</v>
      </c>
      <c r="D16">
        <v>52.717494000000002</v>
      </c>
      <c r="E16" t="s">
        <v>31</v>
      </c>
      <c r="F16" t="s">
        <v>53</v>
      </c>
      <c r="G16">
        <v>3.7594699999999999</v>
      </c>
      <c r="H16" t="s">
        <v>32</v>
      </c>
      <c r="I16" t="s">
        <v>51</v>
      </c>
      <c r="J16">
        <v>31.180008000000001</v>
      </c>
      <c r="K16" t="s">
        <v>33</v>
      </c>
      <c r="L16" t="s">
        <v>54</v>
      </c>
      <c r="M16">
        <v>11.574415</v>
      </c>
    </row>
    <row r="17" spans="1:13" x14ac:dyDescent="0.25">
      <c r="A17">
        <v>14</v>
      </c>
      <c r="B17" t="s">
        <v>30</v>
      </c>
      <c r="C17" t="s">
        <v>41</v>
      </c>
      <c r="D17">
        <v>52.711063000000003</v>
      </c>
      <c r="E17" t="s">
        <v>31</v>
      </c>
      <c r="F17" t="s">
        <v>53</v>
      </c>
      <c r="G17">
        <v>3.730124</v>
      </c>
      <c r="H17" t="s">
        <v>32</v>
      </c>
      <c r="I17" t="s">
        <v>51</v>
      </c>
      <c r="J17">
        <v>31.183879000000001</v>
      </c>
      <c r="K17" t="s">
        <v>33</v>
      </c>
      <c r="L17" t="s">
        <v>55</v>
      </c>
      <c r="M17">
        <v>11.597801</v>
      </c>
    </row>
    <row r="18" spans="1:13" x14ac:dyDescent="0.25">
      <c r="A18">
        <v>15</v>
      </c>
      <c r="B18" t="s">
        <v>30</v>
      </c>
      <c r="C18" t="s">
        <v>41</v>
      </c>
      <c r="D18">
        <v>52.704481000000001</v>
      </c>
      <c r="E18" t="s">
        <v>31</v>
      </c>
      <c r="F18" t="s">
        <v>53</v>
      </c>
      <c r="G18">
        <v>3.700758</v>
      </c>
      <c r="H18" t="s">
        <v>32</v>
      </c>
      <c r="I18" t="s">
        <v>51</v>
      </c>
      <c r="J18">
        <v>31.186896999999998</v>
      </c>
      <c r="K18" t="s">
        <v>33</v>
      </c>
      <c r="L18" t="s">
        <v>56</v>
      </c>
      <c r="M18">
        <v>11.621941</v>
      </c>
    </row>
    <row r="19" spans="1:13" x14ac:dyDescent="0.25">
      <c r="A19">
        <v>16</v>
      </c>
      <c r="B19" t="s">
        <v>30</v>
      </c>
      <c r="C19" t="s">
        <v>41</v>
      </c>
      <c r="D19">
        <v>52.697741999999998</v>
      </c>
      <c r="E19" t="s">
        <v>31</v>
      </c>
      <c r="F19" t="s">
        <v>53</v>
      </c>
      <c r="G19">
        <v>3.671373</v>
      </c>
      <c r="H19" t="s">
        <v>32</v>
      </c>
      <c r="I19" t="s">
        <v>51</v>
      </c>
      <c r="J19">
        <v>31.189005000000002</v>
      </c>
      <c r="K19" t="s">
        <v>33</v>
      </c>
      <c r="L19" t="s">
        <v>57</v>
      </c>
      <c r="M19">
        <v>11.646886</v>
      </c>
    </row>
    <row r="20" spans="1:13" x14ac:dyDescent="0.25">
      <c r="A20">
        <v>17</v>
      </c>
      <c r="B20" t="s">
        <v>30</v>
      </c>
      <c r="C20" t="s">
        <v>41</v>
      </c>
      <c r="D20">
        <v>52.690845000000003</v>
      </c>
      <c r="E20" t="s">
        <v>31</v>
      </c>
      <c r="F20" t="s">
        <v>53</v>
      </c>
      <c r="G20">
        <v>3.6419670000000002</v>
      </c>
      <c r="H20" t="s">
        <v>32</v>
      </c>
      <c r="I20" t="s">
        <v>51</v>
      </c>
      <c r="J20">
        <v>31.190142000000002</v>
      </c>
      <c r="K20" t="s">
        <v>33</v>
      </c>
      <c r="L20" t="s">
        <v>57</v>
      </c>
      <c r="M20">
        <v>11.672692</v>
      </c>
    </row>
    <row r="21" spans="1:13" x14ac:dyDescent="0.25">
      <c r="A21">
        <v>18</v>
      </c>
      <c r="B21" t="s">
        <v>30</v>
      </c>
      <c r="C21" t="s">
        <v>41</v>
      </c>
      <c r="D21">
        <v>52.683785999999998</v>
      </c>
      <c r="E21" t="s">
        <v>31</v>
      </c>
      <c r="F21" t="s">
        <v>53</v>
      </c>
      <c r="G21">
        <v>3.6125419999999999</v>
      </c>
      <c r="H21" t="s">
        <v>32</v>
      </c>
      <c r="I21" t="s">
        <v>51</v>
      </c>
      <c r="J21">
        <v>31.190239999999999</v>
      </c>
      <c r="K21" t="s">
        <v>33</v>
      </c>
      <c r="L21" t="s">
        <v>58</v>
      </c>
      <c r="M21">
        <v>11.699422</v>
      </c>
    </row>
    <row r="22" spans="1:13" x14ac:dyDescent="0.25">
      <c r="A22">
        <v>19</v>
      </c>
      <c r="B22" t="s">
        <v>30</v>
      </c>
      <c r="C22" t="s">
        <v>41</v>
      </c>
      <c r="D22">
        <v>52.676561999999997</v>
      </c>
      <c r="E22" t="s">
        <v>31</v>
      </c>
      <c r="F22" t="s">
        <v>53</v>
      </c>
      <c r="G22">
        <v>3.5830959999999998</v>
      </c>
      <c r="H22" t="s">
        <v>32</v>
      </c>
      <c r="I22" t="s">
        <v>51</v>
      </c>
      <c r="J22">
        <v>31.189225</v>
      </c>
      <c r="K22" t="s">
        <v>33</v>
      </c>
      <c r="L22" t="s">
        <v>58</v>
      </c>
      <c r="M22">
        <v>11.727143999999999</v>
      </c>
    </row>
    <row r="23" spans="1:13" x14ac:dyDescent="0.25">
      <c r="A23">
        <v>20</v>
      </c>
      <c r="B23" t="s">
        <v>30</v>
      </c>
      <c r="C23" t="s">
        <v>41</v>
      </c>
      <c r="D23">
        <v>52.669170000000001</v>
      </c>
      <c r="E23" t="s">
        <v>31</v>
      </c>
      <c r="F23" t="s">
        <v>53</v>
      </c>
      <c r="G23">
        <v>3.5536279999999998</v>
      </c>
      <c r="H23" t="s">
        <v>32</v>
      </c>
      <c r="I23" t="s">
        <v>51</v>
      </c>
      <c r="J23">
        <v>31.187014000000001</v>
      </c>
      <c r="K23" t="s">
        <v>33</v>
      </c>
      <c r="L23" t="s">
        <v>59</v>
      </c>
      <c r="M23">
        <v>11.755936</v>
      </c>
    </row>
    <row r="24" spans="1:13" x14ac:dyDescent="0.25">
      <c r="A24">
        <v>21</v>
      </c>
      <c r="B24" t="s">
        <v>30</v>
      </c>
      <c r="C24" t="s">
        <v>41</v>
      </c>
      <c r="D24">
        <v>52.661606999999997</v>
      </c>
      <c r="E24" t="s">
        <v>31</v>
      </c>
      <c r="F24" t="s">
        <v>53</v>
      </c>
      <c r="G24">
        <v>3.5241359999999999</v>
      </c>
      <c r="H24" t="s">
        <v>32</v>
      </c>
      <c r="I24" t="s">
        <v>51</v>
      </c>
      <c r="J24">
        <v>31.183516999999998</v>
      </c>
      <c r="K24" t="s">
        <v>33</v>
      </c>
      <c r="L24" t="s">
        <v>59</v>
      </c>
      <c r="M24">
        <v>11.785885</v>
      </c>
    </row>
    <row r="25" spans="1:13" x14ac:dyDescent="0.25">
      <c r="A25">
        <v>22</v>
      </c>
      <c r="B25" t="s">
        <v>30</v>
      </c>
      <c r="C25" t="s">
        <v>41</v>
      </c>
      <c r="D25">
        <v>52.653869</v>
      </c>
      <c r="E25" t="s">
        <v>31</v>
      </c>
      <c r="F25" t="s">
        <v>53</v>
      </c>
      <c r="G25">
        <v>3.494618</v>
      </c>
      <c r="H25" t="s">
        <v>32</v>
      </c>
      <c r="I25" t="s">
        <v>51</v>
      </c>
      <c r="J25">
        <v>31.178632</v>
      </c>
      <c r="K25" t="s">
        <v>33</v>
      </c>
      <c r="L25" t="s">
        <v>60</v>
      </c>
      <c r="M25">
        <v>11.817087000000001</v>
      </c>
    </row>
    <row r="26" spans="1:13" x14ac:dyDescent="0.25">
      <c r="A26">
        <v>23</v>
      </c>
      <c r="B26" t="s">
        <v>30</v>
      </c>
      <c r="C26" t="s">
        <v>41</v>
      </c>
      <c r="D26">
        <v>52.645955000000001</v>
      </c>
      <c r="E26" t="s">
        <v>31</v>
      </c>
      <c r="F26" t="s">
        <v>53</v>
      </c>
      <c r="G26">
        <v>3.4650720000000002</v>
      </c>
      <c r="H26" t="s">
        <v>32</v>
      </c>
      <c r="I26" t="s">
        <v>61</v>
      </c>
      <c r="J26">
        <v>31.172246000000001</v>
      </c>
      <c r="K26" t="s">
        <v>33</v>
      </c>
      <c r="L26" t="s">
        <v>60</v>
      </c>
      <c r="M26">
        <v>11.849653</v>
      </c>
    </row>
    <row r="27" spans="1:13" x14ac:dyDescent="0.25">
      <c r="A27">
        <v>24</v>
      </c>
      <c r="B27" t="s">
        <v>30</v>
      </c>
      <c r="C27" t="s">
        <v>41</v>
      </c>
      <c r="D27">
        <v>52.637861000000001</v>
      </c>
      <c r="E27" t="s">
        <v>31</v>
      </c>
      <c r="F27" t="s">
        <v>53</v>
      </c>
      <c r="G27">
        <v>3.435492</v>
      </c>
      <c r="H27" t="s">
        <v>32</v>
      </c>
      <c r="I27" t="s">
        <v>61</v>
      </c>
      <c r="J27">
        <v>31.164231999999998</v>
      </c>
      <c r="K27" t="s">
        <v>33</v>
      </c>
      <c r="L27" t="s">
        <v>62</v>
      </c>
      <c r="M27">
        <v>11.883706999999999</v>
      </c>
    </row>
    <row r="28" spans="1:13" x14ac:dyDescent="0.25">
      <c r="A28">
        <v>25</v>
      </c>
      <c r="B28" t="s">
        <v>30</v>
      </c>
      <c r="C28" t="s">
        <v>41</v>
      </c>
      <c r="D28">
        <v>52.629584999999999</v>
      </c>
      <c r="E28" t="s">
        <v>31</v>
      </c>
      <c r="F28" t="s">
        <v>53</v>
      </c>
      <c r="G28">
        <v>3.405875</v>
      </c>
      <c r="H28" t="s">
        <v>32</v>
      </c>
      <c r="I28" t="s">
        <v>61</v>
      </c>
      <c r="J28">
        <v>31.154447000000001</v>
      </c>
      <c r="K28" t="s">
        <v>33</v>
      </c>
      <c r="L28" t="s">
        <v>63</v>
      </c>
      <c r="M28">
        <v>11.91939</v>
      </c>
    </row>
    <row r="29" spans="1:13" x14ac:dyDescent="0.25">
      <c r="A29">
        <v>26</v>
      </c>
      <c r="B29" t="s">
        <v>30</v>
      </c>
      <c r="C29" t="s">
        <v>41</v>
      </c>
      <c r="D29">
        <v>52.621124000000002</v>
      </c>
      <c r="E29" t="s">
        <v>31</v>
      </c>
      <c r="F29" t="s">
        <v>53</v>
      </c>
      <c r="G29">
        <v>3.3762150000000002</v>
      </c>
      <c r="H29" t="s">
        <v>32</v>
      </c>
      <c r="I29" t="s">
        <v>64</v>
      </c>
      <c r="J29">
        <v>31.142731000000001</v>
      </c>
      <c r="K29" t="s">
        <v>33</v>
      </c>
      <c r="L29" t="s">
        <v>65</v>
      </c>
      <c r="M29">
        <v>11.956860000000001</v>
      </c>
    </row>
    <row r="30" spans="1:13" x14ac:dyDescent="0.25">
      <c r="A30">
        <v>27</v>
      </c>
      <c r="B30" t="s">
        <v>30</v>
      </c>
      <c r="C30" t="s">
        <v>41</v>
      </c>
      <c r="D30">
        <v>52.612476000000001</v>
      </c>
      <c r="E30" t="s">
        <v>31</v>
      </c>
      <c r="F30" t="s">
        <v>53</v>
      </c>
      <c r="G30">
        <v>3.3465039999999999</v>
      </c>
      <c r="H30" t="s">
        <v>32</v>
      </c>
      <c r="I30" t="s">
        <v>64</v>
      </c>
      <c r="J30">
        <v>31.128900000000002</v>
      </c>
      <c r="K30" t="s">
        <v>33</v>
      </c>
      <c r="L30" t="s">
        <v>65</v>
      </c>
      <c r="M30">
        <v>11.996302999999999</v>
      </c>
    </row>
    <row r="31" spans="1:13" x14ac:dyDescent="0.25">
      <c r="A31">
        <v>28</v>
      </c>
      <c r="B31" t="s">
        <v>30</v>
      </c>
      <c r="C31" t="s">
        <v>41</v>
      </c>
      <c r="D31">
        <v>52.603639000000001</v>
      </c>
      <c r="E31" t="s">
        <v>31</v>
      </c>
      <c r="F31" t="s">
        <v>53</v>
      </c>
      <c r="G31">
        <v>3.316735</v>
      </c>
      <c r="H31" t="s">
        <v>32</v>
      </c>
      <c r="I31" t="s">
        <v>64</v>
      </c>
      <c r="J31">
        <v>31.112746000000001</v>
      </c>
      <c r="K31" t="s">
        <v>33</v>
      </c>
      <c r="L31" t="s">
        <v>65</v>
      </c>
      <c r="M31">
        <v>12.037929</v>
      </c>
    </row>
    <row r="32" spans="1:13" x14ac:dyDescent="0.25">
      <c r="A32">
        <v>29</v>
      </c>
      <c r="B32" t="s">
        <v>30</v>
      </c>
      <c r="C32" t="s">
        <v>41</v>
      </c>
      <c r="D32">
        <v>52.594611</v>
      </c>
      <c r="E32" t="s">
        <v>31</v>
      </c>
      <c r="F32" t="s">
        <v>53</v>
      </c>
      <c r="G32">
        <v>3.2868970000000002</v>
      </c>
      <c r="H32" t="s">
        <v>32</v>
      </c>
      <c r="I32" t="s">
        <v>64</v>
      </c>
      <c r="J32">
        <v>31.094028000000002</v>
      </c>
      <c r="K32" t="s">
        <v>33</v>
      </c>
      <c r="L32" t="s">
        <v>66</v>
      </c>
      <c r="M32">
        <v>12.081981000000001</v>
      </c>
    </row>
    <row r="33" spans="1:13" x14ac:dyDescent="0.25">
      <c r="A33">
        <v>30</v>
      </c>
      <c r="B33" t="s">
        <v>30</v>
      </c>
      <c r="C33" t="s">
        <v>41</v>
      </c>
      <c r="D33">
        <v>52.585389999999997</v>
      </c>
      <c r="E33" t="s">
        <v>31</v>
      </c>
      <c r="F33" t="s">
        <v>53</v>
      </c>
      <c r="G33">
        <v>3.2569789999999998</v>
      </c>
      <c r="H33" t="s">
        <v>32</v>
      </c>
      <c r="I33" t="s">
        <v>67</v>
      </c>
      <c r="J33">
        <v>31.072469000000002</v>
      </c>
      <c r="K33" t="s">
        <v>33</v>
      </c>
      <c r="L33" t="s">
        <v>68</v>
      </c>
      <c r="M33">
        <v>12.128742000000001</v>
      </c>
    </row>
    <row r="34" spans="1:13" x14ac:dyDescent="0.25">
      <c r="A34">
        <v>31</v>
      </c>
      <c r="B34" t="s">
        <v>30</v>
      </c>
      <c r="C34" t="s">
        <v>41</v>
      </c>
      <c r="D34">
        <v>52.575975999999997</v>
      </c>
      <c r="E34" t="s">
        <v>31</v>
      </c>
      <c r="F34" t="s">
        <v>69</v>
      </c>
      <c r="G34">
        <v>3.226966</v>
      </c>
      <c r="H34" t="s">
        <v>32</v>
      </c>
      <c r="I34" t="s">
        <v>67</v>
      </c>
      <c r="J34">
        <v>31.047747999999999</v>
      </c>
      <c r="K34" t="s">
        <v>33</v>
      </c>
      <c r="L34" t="s">
        <v>70</v>
      </c>
      <c r="M34">
        <v>12.178542</v>
      </c>
    </row>
    <row r="35" spans="1:13" x14ac:dyDescent="0.25">
      <c r="A35">
        <v>32</v>
      </c>
      <c r="B35" t="s">
        <v>30</v>
      </c>
      <c r="C35" t="s">
        <v>41</v>
      </c>
      <c r="D35">
        <v>52.566366000000002</v>
      </c>
      <c r="E35" t="s">
        <v>31</v>
      </c>
      <c r="F35" t="s">
        <v>69</v>
      </c>
      <c r="G35">
        <v>3.1968429999999999</v>
      </c>
      <c r="H35" t="s">
        <v>32</v>
      </c>
      <c r="I35" t="s">
        <v>67</v>
      </c>
      <c r="J35">
        <v>31.019487000000002</v>
      </c>
      <c r="K35" t="s">
        <v>33</v>
      </c>
      <c r="L35" t="s">
        <v>71</v>
      </c>
      <c r="M35">
        <v>12.231771</v>
      </c>
    </row>
    <row r="36" spans="1:13" x14ac:dyDescent="0.25">
      <c r="A36">
        <v>33</v>
      </c>
      <c r="B36" t="s">
        <v>30</v>
      </c>
      <c r="C36" t="s">
        <v>41</v>
      </c>
      <c r="D36">
        <v>52.556559999999998</v>
      </c>
      <c r="E36" t="s">
        <v>31</v>
      </c>
      <c r="F36" t="s">
        <v>69</v>
      </c>
      <c r="G36">
        <v>3.166588</v>
      </c>
      <c r="H36" t="s">
        <v>32</v>
      </c>
      <c r="I36" t="s">
        <v>72</v>
      </c>
      <c r="J36">
        <v>30.987238000000001</v>
      </c>
      <c r="K36" t="s">
        <v>33</v>
      </c>
      <c r="L36" t="s">
        <v>71</v>
      </c>
      <c r="M36">
        <v>12.288891</v>
      </c>
    </row>
    <row r="37" spans="1:13" x14ac:dyDescent="0.25">
      <c r="A37">
        <v>34</v>
      </c>
      <c r="B37" t="s">
        <v>30</v>
      </c>
      <c r="C37" t="s">
        <v>41</v>
      </c>
      <c r="D37">
        <v>52.546559000000002</v>
      </c>
      <c r="E37" t="s">
        <v>31</v>
      </c>
      <c r="F37" t="s">
        <v>69</v>
      </c>
      <c r="G37">
        <v>3.1361789999999998</v>
      </c>
      <c r="H37" t="s">
        <v>32</v>
      </c>
      <c r="I37" t="s">
        <v>72</v>
      </c>
      <c r="J37">
        <v>30.950469999999999</v>
      </c>
      <c r="K37" t="s">
        <v>33</v>
      </c>
      <c r="L37" t="s">
        <v>73</v>
      </c>
      <c r="M37">
        <v>12.350453</v>
      </c>
    </row>
    <row r="38" spans="1:13" x14ac:dyDescent="0.25">
      <c r="A38">
        <v>35</v>
      </c>
      <c r="B38" t="s">
        <v>30</v>
      </c>
      <c r="C38" t="s">
        <v>41</v>
      </c>
      <c r="D38">
        <v>52.536361999999997</v>
      </c>
      <c r="E38" t="s">
        <v>31</v>
      </c>
      <c r="F38" t="s">
        <v>69</v>
      </c>
      <c r="G38">
        <v>3.1055860000000002</v>
      </c>
      <c r="H38" t="s">
        <v>32</v>
      </c>
      <c r="I38" t="s">
        <v>72</v>
      </c>
      <c r="J38">
        <v>30.908541</v>
      </c>
      <c r="K38" t="s">
        <v>33</v>
      </c>
      <c r="L38" t="s">
        <v>74</v>
      </c>
      <c r="M38">
        <v>12.417126</v>
      </c>
    </row>
    <row r="39" spans="1:13" x14ac:dyDescent="0.25">
      <c r="A39">
        <v>36</v>
      </c>
      <c r="B39" t="s">
        <v>30</v>
      </c>
      <c r="C39" t="s">
        <v>41</v>
      </c>
      <c r="D39">
        <v>52.525970000000001</v>
      </c>
      <c r="E39" t="s">
        <v>31</v>
      </c>
      <c r="F39" t="s">
        <v>69</v>
      </c>
      <c r="G39">
        <v>3.0747770000000001</v>
      </c>
      <c r="H39" t="s">
        <v>32</v>
      </c>
      <c r="I39" t="s">
        <v>72</v>
      </c>
      <c r="J39">
        <v>30.860668</v>
      </c>
      <c r="K39" t="s">
        <v>33</v>
      </c>
      <c r="L39" t="s">
        <v>75</v>
      </c>
      <c r="M39">
        <v>12.489725999999999</v>
      </c>
    </row>
    <row r="40" spans="1:13" x14ac:dyDescent="0.25">
      <c r="A40">
        <v>37</v>
      </c>
      <c r="B40" t="s">
        <v>30</v>
      </c>
      <c r="C40" t="s">
        <v>41</v>
      </c>
      <c r="D40">
        <v>52.515385000000002</v>
      </c>
      <c r="E40" t="s">
        <v>31</v>
      </c>
      <c r="F40" t="s">
        <v>76</v>
      </c>
      <c r="G40">
        <v>3.0437090000000002</v>
      </c>
      <c r="H40" t="s">
        <v>32</v>
      </c>
      <c r="I40" t="s">
        <v>72</v>
      </c>
      <c r="J40">
        <v>30.805883999999999</v>
      </c>
      <c r="K40" t="s">
        <v>33</v>
      </c>
      <c r="L40" t="s">
        <v>77</v>
      </c>
      <c r="M40">
        <v>12.569265</v>
      </c>
    </row>
    <row r="41" spans="1:13" x14ac:dyDescent="0.25">
      <c r="A41">
        <v>38</v>
      </c>
      <c r="B41" t="s">
        <v>30</v>
      </c>
      <c r="C41" t="s">
        <v>41</v>
      </c>
      <c r="D41">
        <v>52.50461</v>
      </c>
      <c r="E41" t="s">
        <v>31</v>
      </c>
      <c r="F41" t="s">
        <v>76</v>
      </c>
      <c r="G41">
        <v>3.0123310000000001</v>
      </c>
      <c r="H41" t="s">
        <v>32</v>
      </c>
      <c r="I41" t="s">
        <v>72</v>
      </c>
      <c r="J41">
        <v>30.742972000000002</v>
      </c>
      <c r="K41" t="s">
        <v>33</v>
      </c>
      <c r="L41" t="s">
        <v>78</v>
      </c>
      <c r="M41">
        <v>12.657012999999999</v>
      </c>
    </row>
    <row r="42" spans="1:13" x14ac:dyDescent="0.25">
      <c r="A42">
        <v>39</v>
      </c>
      <c r="B42" t="s">
        <v>30</v>
      </c>
      <c r="C42" t="s">
        <v>41</v>
      </c>
      <c r="D42">
        <v>52.493648</v>
      </c>
      <c r="E42" t="s">
        <v>31</v>
      </c>
      <c r="F42" t="s">
        <v>76</v>
      </c>
      <c r="G42">
        <v>2.9805790000000001</v>
      </c>
      <c r="H42" t="s">
        <v>32</v>
      </c>
      <c r="I42" t="s">
        <v>72</v>
      </c>
      <c r="J42">
        <v>30.670379000000001</v>
      </c>
      <c r="K42" t="s">
        <v>33</v>
      </c>
      <c r="L42" t="s">
        <v>79</v>
      </c>
      <c r="M42">
        <v>12.754598</v>
      </c>
    </row>
    <row r="43" spans="1:13" x14ac:dyDescent="0.25">
      <c r="A43">
        <v>40</v>
      </c>
      <c r="B43" t="s">
        <v>30</v>
      </c>
      <c r="C43" t="s">
        <v>41</v>
      </c>
      <c r="D43">
        <v>52.482505000000003</v>
      </c>
      <c r="E43" t="s">
        <v>31</v>
      </c>
      <c r="F43" t="s">
        <v>76</v>
      </c>
      <c r="G43">
        <v>2.9483709999999999</v>
      </c>
      <c r="H43" t="s">
        <v>32</v>
      </c>
      <c r="I43" t="s">
        <v>72</v>
      </c>
      <c r="J43">
        <v>30.586078000000001</v>
      </c>
      <c r="K43" t="s">
        <v>33</v>
      </c>
      <c r="L43" t="s">
        <v>80</v>
      </c>
      <c r="M43">
        <v>12.864146</v>
      </c>
    </row>
    <row r="44" spans="1:13" x14ac:dyDescent="0.25">
      <c r="A44">
        <v>41</v>
      </c>
      <c r="B44" t="s">
        <v>30</v>
      </c>
      <c r="C44" t="s">
        <v>41</v>
      </c>
      <c r="D44">
        <v>52.471186000000003</v>
      </c>
      <c r="E44" t="s">
        <v>31</v>
      </c>
      <c r="F44" t="s">
        <v>76</v>
      </c>
      <c r="G44">
        <v>2.9156019999999998</v>
      </c>
      <c r="H44" t="s">
        <v>32</v>
      </c>
      <c r="I44" t="s">
        <v>72</v>
      </c>
      <c r="J44">
        <v>30.487355000000001</v>
      </c>
      <c r="K44" t="s">
        <v>33</v>
      </c>
      <c r="L44" t="s">
        <v>81</v>
      </c>
      <c r="M44">
        <v>12.988502</v>
      </c>
    </row>
    <row r="45" spans="1:13" x14ac:dyDescent="0.25">
      <c r="A45">
        <v>42</v>
      </c>
      <c r="B45" t="s">
        <v>30</v>
      </c>
      <c r="C45" t="s">
        <v>41</v>
      </c>
      <c r="D45">
        <v>52.459702</v>
      </c>
      <c r="E45" t="s">
        <v>31</v>
      </c>
      <c r="F45" t="s">
        <v>76</v>
      </c>
      <c r="G45">
        <v>2.8821289999999999</v>
      </c>
      <c r="H45" t="s">
        <v>32</v>
      </c>
      <c r="I45" t="s">
        <v>72</v>
      </c>
      <c r="J45">
        <v>30.370466</v>
      </c>
      <c r="K45" t="s">
        <v>33</v>
      </c>
      <c r="L45" t="s">
        <v>82</v>
      </c>
      <c r="M45">
        <v>13.131589999999999</v>
      </c>
    </row>
    <row r="46" spans="1:13" x14ac:dyDescent="0.25">
      <c r="A46">
        <v>43</v>
      </c>
      <c r="B46" t="s">
        <v>30</v>
      </c>
      <c r="C46" t="s">
        <v>41</v>
      </c>
      <c r="D46">
        <v>52.448064000000002</v>
      </c>
      <c r="E46" t="s">
        <v>31</v>
      </c>
      <c r="F46" t="s">
        <v>83</v>
      </c>
      <c r="G46">
        <v>2.847756</v>
      </c>
      <c r="H46" t="s">
        <v>32</v>
      </c>
      <c r="I46" t="s">
        <v>72</v>
      </c>
      <c r="J46">
        <v>30.230062</v>
      </c>
      <c r="K46" t="s">
        <v>33</v>
      </c>
      <c r="L46" t="s">
        <v>84</v>
      </c>
      <c r="M46">
        <v>13.299018999999999</v>
      </c>
    </row>
    <row r="47" spans="1:13" x14ac:dyDescent="0.25">
      <c r="A47">
        <v>44</v>
      </c>
      <c r="B47" t="s">
        <v>30</v>
      </c>
      <c r="C47" t="s">
        <v>41</v>
      </c>
      <c r="D47">
        <v>52.436290999999997</v>
      </c>
      <c r="E47" t="s">
        <v>31</v>
      </c>
      <c r="F47" t="s">
        <v>83</v>
      </c>
      <c r="G47">
        <v>2.8121960000000001</v>
      </c>
      <c r="H47" t="s">
        <v>32</v>
      </c>
      <c r="I47" t="s">
        <v>72</v>
      </c>
      <c r="J47">
        <v>30.058138</v>
      </c>
      <c r="K47" t="s">
        <v>33</v>
      </c>
      <c r="L47" t="s">
        <v>85</v>
      </c>
      <c r="M47">
        <v>13.499174</v>
      </c>
    </row>
    <row r="48" spans="1:13" x14ac:dyDescent="0.25">
      <c r="A48">
        <v>45</v>
      </c>
      <c r="B48" t="s">
        <v>30</v>
      </c>
      <c r="C48" t="s">
        <v>41</v>
      </c>
      <c r="D48">
        <v>52.424404000000003</v>
      </c>
      <c r="E48" t="s">
        <v>31</v>
      </c>
      <c r="F48" t="s">
        <v>83</v>
      </c>
      <c r="G48">
        <v>2.7750119999999998</v>
      </c>
      <c r="H48" t="s">
        <v>32</v>
      </c>
      <c r="I48" t="s">
        <v>72</v>
      </c>
      <c r="J48">
        <v>29.842037999999999</v>
      </c>
      <c r="K48" t="s">
        <v>33</v>
      </c>
      <c r="L48" t="s">
        <v>86</v>
      </c>
      <c r="M48">
        <v>13.745309000000001</v>
      </c>
    </row>
    <row r="49" spans="1:13" x14ac:dyDescent="0.25">
      <c r="A49">
        <v>46</v>
      </c>
      <c r="B49" t="s">
        <v>30</v>
      </c>
      <c r="C49" t="s">
        <v>41</v>
      </c>
      <c r="D49">
        <v>52.412436999999997</v>
      </c>
      <c r="E49" t="s">
        <v>31</v>
      </c>
      <c r="F49" t="s">
        <v>83</v>
      </c>
      <c r="G49">
        <v>2.735484</v>
      </c>
      <c r="H49" t="s">
        <v>32</v>
      </c>
      <c r="I49" t="s">
        <v>72</v>
      </c>
      <c r="J49">
        <v>29.560303999999999</v>
      </c>
      <c r="K49" t="s">
        <v>33</v>
      </c>
      <c r="L49" t="s">
        <v>87</v>
      </c>
      <c r="M49">
        <v>14.059875</v>
      </c>
    </row>
    <row r="50" spans="1:13" x14ac:dyDescent="0.25">
      <c r="A50">
        <v>47</v>
      </c>
      <c r="B50" t="s">
        <v>30</v>
      </c>
      <c r="C50" t="s">
        <v>88</v>
      </c>
      <c r="D50">
        <v>52.400426000000003</v>
      </c>
      <c r="E50" t="s">
        <v>31</v>
      </c>
      <c r="F50" t="s">
        <v>83</v>
      </c>
      <c r="G50">
        <v>2.6923339999999998</v>
      </c>
      <c r="H50" t="s">
        <v>32</v>
      </c>
      <c r="I50" t="s">
        <v>89</v>
      </c>
      <c r="J50">
        <v>29.173499</v>
      </c>
      <c r="K50" t="s">
        <v>33</v>
      </c>
      <c r="L50" t="s">
        <v>90</v>
      </c>
      <c r="M50">
        <v>14.484092</v>
      </c>
    </row>
    <row r="51" spans="1:13" x14ac:dyDescent="0.25">
      <c r="A51">
        <v>48</v>
      </c>
      <c r="B51" t="s">
        <v>30</v>
      </c>
      <c r="C51" t="s">
        <v>91</v>
      </c>
      <c r="D51">
        <v>52.388396</v>
      </c>
      <c r="E51" t="s">
        <v>31</v>
      </c>
      <c r="F51" t="s">
        <v>83</v>
      </c>
      <c r="G51">
        <v>2.6431659999999999</v>
      </c>
      <c r="H51" t="s">
        <v>32</v>
      </c>
      <c r="I51" t="s">
        <v>89</v>
      </c>
      <c r="J51">
        <v>28.605191999999999</v>
      </c>
      <c r="K51" t="s">
        <v>33</v>
      </c>
      <c r="L51" t="s">
        <v>92</v>
      </c>
      <c r="M51">
        <v>15.097756</v>
      </c>
    </row>
    <row r="52" spans="1:13" x14ac:dyDescent="0.25">
      <c r="A52">
        <v>49</v>
      </c>
      <c r="B52" t="s">
        <v>30</v>
      </c>
      <c r="C52" t="s">
        <v>91</v>
      </c>
      <c r="D52">
        <v>52.376209000000003</v>
      </c>
      <c r="E52" t="s">
        <v>31</v>
      </c>
      <c r="F52" t="s">
        <v>93</v>
      </c>
      <c r="G52">
        <v>2.5845280000000002</v>
      </c>
      <c r="H52" t="s">
        <v>32</v>
      </c>
      <c r="I52" t="s">
        <v>89</v>
      </c>
      <c r="J52">
        <v>27.740179999999999</v>
      </c>
      <c r="K52" t="s">
        <v>33</v>
      </c>
      <c r="L52" t="s">
        <v>94</v>
      </c>
      <c r="M52">
        <v>16.020917000000001</v>
      </c>
    </row>
    <row r="53" spans="1:13" x14ac:dyDescent="0.25">
      <c r="A53">
        <v>50</v>
      </c>
      <c r="B53" t="s">
        <v>30</v>
      </c>
      <c r="C53" t="s">
        <v>91</v>
      </c>
      <c r="D53">
        <v>52.363404000000003</v>
      </c>
      <c r="E53" t="s">
        <v>31</v>
      </c>
      <c r="F53" t="s">
        <v>93</v>
      </c>
      <c r="G53">
        <v>2.5185740000000001</v>
      </c>
      <c r="H53" t="s">
        <v>32</v>
      </c>
      <c r="I53" t="s">
        <v>89</v>
      </c>
      <c r="J53">
        <v>26.643643999999998</v>
      </c>
      <c r="K53" t="s">
        <v>33</v>
      </c>
      <c r="L53" t="s">
        <v>95</v>
      </c>
      <c r="M53">
        <v>17.185255000000002</v>
      </c>
    </row>
    <row r="54" spans="1:13" x14ac:dyDescent="0.25">
      <c r="A54">
        <v>51</v>
      </c>
      <c r="B54" t="s">
        <v>30</v>
      </c>
      <c r="C54" t="s">
        <v>91</v>
      </c>
      <c r="D54">
        <v>52.349919999999997</v>
      </c>
      <c r="E54" t="s">
        <v>31</v>
      </c>
      <c r="F54" t="s">
        <v>93</v>
      </c>
      <c r="G54">
        <v>2.4547680000000001</v>
      </c>
      <c r="H54" t="s">
        <v>32</v>
      </c>
      <c r="I54" t="s">
        <v>89</v>
      </c>
      <c r="J54">
        <v>25.636696000000001</v>
      </c>
      <c r="K54" t="s">
        <v>33</v>
      </c>
      <c r="L54" t="s">
        <v>96</v>
      </c>
      <c r="M54">
        <v>18.256145</v>
      </c>
    </row>
    <row r="55" spans="1:13" x14ac:dyDescent="0.25">
      <c r="A55">
        <v>52</v>
      </c>
      <c r="B55" t="s">
        <v>30</v>
      </c>
      <c r="C55" t="s">
        <v>91</v>
      </c>
      <c r="D55">
        <v>52.336092999999998</v>
      </c>
      <c r="E55" t="s">
        <v>31</v>
      </c>
      <c r="F55" t="s">
        <v>93</v>
      </c>
      <c r="G55">
        <v>2.395419</v>
      </c>
      <c r="H55" t="s">
        <v>32</v>
      </c>
      <c r="I55" t="s">
        <v>89</v>
      </c>
      <c r="J55">
        <v>24.805363</v>
      </c>
      <c r="K55" t="s">
        <v>33</v>
      </c>
      <c r="L55" t="s">
        <v>97</v>
      </c>
      <c r="M55">
        <v>19.144295</v>
      </c>
    </row>
    <row r="56" spans="1:13" x14ac:dyDescent="0.25">
      <c r="A56">
        <v>53</v>
      </c>
      <c r="B56" t="s">
        <v>30</v>
      </c>
      <c r="C56" t="s">
        <v>91</v>
      </c>
      <c r="D56">
        <v>52.322077999999998</v>
      </c>
      <c r="E56" t="s">
        <v>31</v>
      </c>
      <c r="F56" t="s">
        <v>93</v>
      </c>
      <c r="G56">
        <v>2.339118</v>
      </c>
      <c r="H56" t="s">
        <v>32</v>
      </c>
      <c r="I56" t="s">
        <v>89</v>
      </c>
      <c r="J56">
        <v>24.103570999999999</v>
      </c>
      <c r="K56" t="s">
        <v>33</v>
      </c>
      <c r="L56" t="s">
        <v>98</v>
      </c>
      <c r="M56">
        <v>19.897797000000001</v>
      </c>
    </row>
    <row r="57" spans="1:13" x14ac:dyDescent="0.25">
      <c r="A57">
        <v>54</v>
      </c>
      <c r="B57" t="s">
        <v>30</v>
      </c>
      <c r="C57" t="s">
        <v>91</v>
      </c>
      <c r="D57">
        <v>52.307909000000002</v>
      </c>
      <c r="E57" t="s">
        <v>31</v>
      </c>
      <c r="F57" t="s">
        <v>93</v>
      </c>
      <c r="G57">
        <v>2.2846890000000002</v>
      </c>
      <c r="H57" t="s">
        <v>32</v>
      </c>
      <c r="I57" t="s">
        <v>89</v>
      </c>
      <c r="J57">
        <v>23.490321999999999</v>
      </c>
      <c r="K57" t="s">
        <v>33</v>
      </c>
      <c r="L57" t="s">
        <v>99</v>
      </c>
      <c r="M57">
        <v>20.559334</v>
      </c>
    </row>
    <row r="58" spans="1:13" x14ac:dyDescent="0.25">
      <c r="A58">
        <v>55</v>
      </c>
      <c r="B58" t="s">
        <v>30</v>
      </c>
      <c r="C58" t="s">
        <v>91</v>
      </c>
      <c r="D58">
        <v>52.293585999999998</v>
      </c>
      <c r="E58" t="s">
        <v>31</v>
      </c>
      <c r="F58" t="s">
        <v>93</v>
      </c>
      <c r="G58">
        <v>2.2314129999999999</v>
      </c>
      <c r="H58" t="s">
        <v>32</v>
      </c>
      <c r="I58" t="s">
        <v>89</v>
      </c>
      <c r="J58">
        <v>22.939829</v>
      </c>
      <c r="K58" t="s">
        <v>33</v>
      </c>
      <c r="L58" t="s">
        <v>100</v>
      </c>
      <c r="M58">
        <v>21.155712999999999</v>
      </c>
    </row>
    <row r="59" spans="1:13" x14ac:dyDescent="0.25">
      <c r="A59">
        <v>56</v>
      </c>
      <c r="B59" t="s">
        <v>30</v>
      </c>
      <c r="C59" t="s">
        <v>91</v>
      </c>
      <c r="D59">
        <v>52.279096000000003</v>
      </c>
      <c r="E59" t="s">
        <v>31</v>
      </c>
      <c r="F59" t="s">
        <v>93</v>
      </c>
      <c r="G59">
        <v>2.1788439999999998</v>
      </c>
      <c r="H59" t="s">
        <v>32</v>
      </c>
      <c r="I59" t="s">
        <v>89</v>
      </c>
      <c r="J59">
        <v>22.435855</v>
      </c>
      <c r="K59" t="s">
        <v>33</v>
      </c>
      <c r="L59" t="s">
        <v>101</v>
      </c>
      <c r="M59">
        <v>21.703796000000001</v>
      </c>
    </row>
    <row r="60" spans="1:13" x14ac:dyDescent="0.25">
      <c r="A60">
        <v>57</v>
      </c>
      <c r="B60" t="s">
        <v>30</v>
      </c>
      <c r="C60" t="s">
        <v>91</v>
      </c>
      <c r="D60">
        <v>52.264425000000003</v>
      </c>
      <c r="E60" t="s">
        <v>31</v>
      </c>
      <c r="F60" t="s">
        <v>93</v>
      </c>
      <c r="G60">
        <v>2.1266919999999998</v>
      </c>
      <c r="H60" t="s">
        <v>32</v>
      </c>
      <c r="I60" t="s">
        <v>89</v>
      </c>
      <c r="J60">
        <v>21.967707999999998</v>
      </c>
      <c r="K60" t="s">
        <v>33</v>
      </c>
      <c r="L60" t="s">
        <v>102</v>
      </c>
      <c r="M60">
        <v>22.214673000000001</v>
      </c>
    </row>
    <row r="61" spans="1:13" x14ac:dyDescent="0.25">
      <c r="A61">
        <v>58</v>
      </c>
      <c r="B61" t="s">
        <v>30</v>
      </c>
      <c r="C61" t="s">
        <v>91</v>
      </c>
      <c r="D61">
        <v>52.249558</v>
      </c>
      <c r="E61" t="s">
        <v>31</v>
      </c>
      <c r="F61" t="s">
        <v>93</v>
      </c>
      <c r="G61">
        <v>2.0747589999999998</v>
      </c>
      <c r="H61" t="s">
        <v>32</v>
      </c>
      <c r="I61" t="s">
        <v>89</v>
      </c>
      <c r="J61">
        <v>21.528023000000001</v>
      </c>
      <c r="K61" t="s">
        <v>33</v>
      </c>
      <c r="L61" t="s">
        <v>103</v>
      </c>
      <c r="M61">
        <v>22.695976000000002</v>
      </c>
    </row>
    <row r="62" spans="1:13" x14ac:dyDescent="0.25">
      <c r="A62">
        <v>59</v>
      </c>
      <c r="B62" t="s">
        <v>30</v>
      </c>
      <c r="C62" t="s">
        <v>91</v>
      </c>
      <c r="D62">
        <v>52.234481000000002</v>
      </c>
      <c r="E62" t="s">
        <v>31</v>
      </c>
      <c r="F62" t="s">
        <v>93</v>
      </c>
      <c r="G62">
        <v>2.0228999999999999</v>
      </c>
      <c r="H62" t="s">
        <v>32</v>
      </c>
      <c r="I62" t="s">
        <v>104</v>
      </c>
      <c r="J62">
        <v>21.111522000000001</v>
      </c>
      <c r="K62" t="s">
        <v>33</v>
      </c>
      <c r="L62" t="s">
        <v>103</v>
      </c>
      <c r="M62">
        <v>23.153165000000001</v>
      </c>
    </row>
    <row r="63" spans="1:13" x14ac:dyDescent="0.25">
      <c r="A63">
        <v>60</v>
      </c>
      <c r="B63" t="s">
        <v>30</v>
      </c>
      <c r="C63" t="s">
        <v>91</v>
      </c>
      <c r="D63">
        <v>52.219177000000002</v>
      </c>
      <c r="E63" t="s">
        <v>31</v>
      </c>
      <c r="F63" t="s">
        <v>93</v>
      </c>
      <c r="G63">
        <v>1.971007</v>
      </c>
      <c r="H63" t="s">
        <v>32</v>
      </c>
      <c r="I63" t="s">
        <v>104</v>
      </c>
      <c r="J63">
        <v>20.714297999999999</v>
      </c>
      <c r="K63" t="s">
        <v>33</v>
      </c>
      <c r="L63" t="s">
        <v>105</v>
      </c>
      <c r="M63">
        <v>23.59028</v>
      </c>
    </row>
    <row r="64" spans="1:13" x14ac:dyDescent="0.25">
      <c r="A64">
        <v>61</v>
      </c>
      <c r="B64" t="s">
        <v>30</v>
      </c>
      <c r="C64" t="s">
        <v>91</v>
      </c>
      <c r="D64">
        <v>52.203633000000004</v>
      </c>
      <c r="E64" t="s">
        <v>31</v>
      </c>
      <c r="F64" t="s">
        <v>93</v>
      </c>
      <c r="G64">
        <v>1.9189940000000001</v>
      </c>
      <c r="H64" t="s">
        <v>32</v>
      </c>
      <c r="I64" t="s">
        <v>106</v>
      </c>
      <c r="J64">
        <v>20.333380999999999</v>
      </c>
      <c r="K64" t="s">
        <v>33</v>
      </c>
      <c r="L64" t="s">
        <v>105</v>
      </c>
      <c r="M64">
        <v>24.010383999999998</v>
      </c>
    </row>
    <row r="65" spans="1:13" x14ac:dyDescent="0.25">
      <c r="A65">
        <v>62</v>
      </c>
      <c r="B65" t="s">
        <v>30</v>
      </c>
      <c r="C65" t="s">
        <v>91</v>
      </c>
      <c r="D65">
        <v>52.187834000000002</v>
      </c>
      <c r="E65" t="s">
        <v>31</v>
      </c>
      <c r="F65" t="s">
        <v>93</v>
      </c>
      <c r="G65">
        <v>1.8667929999999999</v>
      </c>
      <c r="H65" t="s">
        <v>32</v>
      </c>
      <c r="I65" t="s">
        <v>106</v>
      </c>
      <c r="J65">
        <v>19.966460000000001</v>
      </c>
      <c r="K65" t="s">
        <v>33</v>
      </c>
      <c r="L65" t="s">
        <v>107</v>
      </c>
      <c r="M65">
        <v>24.415861</v>
      </c>
    </row>
    <row r="66" spans="1:13" x14ac:dyDescent="0.25">
      <c r="A66">
        <v>63</v>
      </c>
      <c r="B66" t="s">
        <v>30</v>
      </c>
      <c r="C66" t="s">
        <v>91</v>
      </c>
      <c r="D66">
        <v>52.171765000000001</v>
      </c>
      <c r="E66" t="s">
        <v>31</v>
      </c>
      <c r="F66" t="s">
        <v>93</v>
      </c>
      <c r="G66">
        <v>1.814346</v>
      </c>
      <c r="H66" t="s">
        <v>32</v>
      </c>
      <c r="I66" t="s">
        <v>106</v>
      </c>
      <c r="J66">
        <v>19.611704</v>
      </c>
      <c r="K66" t="s">
        <v>33</v>
      </c>
      <c r="L66" t="s">
        <v>108</v>
      </c>
      <c r="M66">
        <v>24.808592000000001</v>
      </c>
    </row>
    <row r="67" spans="1:13" x14ac:dyDescent="0.25">
      <c r="A67">
        <v>64</v>
      </c>
      <c r="B67" t="s">
        <v>30</v>
      </c>
      <c r="C67" t="s">
        <v>91</v>
      </c>
      <c r="D67">
        <v>52.155411999999998</v>
      </c>
      <c r="E67" t="s">
        <v>31</v>
      </c>
      <c r="F67" t="s">
        <v>109</v>
      </c>
      <c r="G67">
        <v>1.761601</v>
      </c>
      <c r="H67" t="s">
        <v>32</v>
      </c>
      <c r="I67" t="s">
        <v>106</v>
      </c>
      <c r="J67">
        <v>19.26764</v>
      </c>
      <c r="K67" t="s">
        <v>33</v>
      </c>
      <c r="L67" t="s">
        <v>110</v>
      </c>
      <c r="M67">
        <v>25.190090000000001</v>
      </c>
    </row>
    <row r="68" spans="1:13" x14ac:dyDescent="0.25">
      <c r="A68">
        <v>65</v>
      </c>
      <c r="B68" t="s">
        <v>30</v>
      </c>
      <c r="C68" t="s">
        <v>91</v>
      </c>
      <c r="D68">
        <v>52.138759</v>
      </c>
      <c r="E68" t="s">
        <v>31</v>
      </c>
      <c r="F68" t="s">
        <v>109</v>
      </c>
      <c r="G68">
        <v>1.708515</v>
      </c>
      <c r="H68" t="s">
        <v>32</v>
      </c>
      <c r="I68" t="s">
        <v>106</v>
      </c>
      <c r="J68">
        <v>18.933067000000001</v>
      </c>
      <c r="K68" t="s">
        <v>33</v>
      </c>
      <c r="L68" t="s">
        <v>111</v>
      </c>
      <c r="M68">
        <v>25.561585000000001</v>
      </c>
    </row>
    <row r="69" spans="1:13" x14ac:dyDescent="0.25">
      <c r="A69">
        <v>66</v>
      </c>
      <c r="B69" t="s">
        <v>30</v>
      </c>
      <c r="C69" t="s">
        <v>91</v>
      </c>
      <c r="D69">
        <v>52.121791000000002</v>
      </c>
      <c r="E69" t="s">
        <v>31</v>
      </c>
      <c r="F69" t="s">
        <v>109</v>
      </c>
      <c r="G69">
        <v>1.655046</v>
      </c>
      <c r="H69" t="s">
        <v>32</v>
      </c>
      <c r="I69" t="s">
        <v>112</v>
      </c>
      <c r="J69">
        <v>18.606995000000001</v>
      </c>
      <c r="K69" t="s">
        <v>33</v>
      </c>
      <c r="L69" t="s">
        <v>113</v>
      </c>
      <c r="M69">
        <v>25.924087</v>
      </c>
    </row>
    <row r="70" spans="1:13" x14ac:dyDescent="0.25">
      <c r="A70">
        <v>67</v>
      </c>
      <c r="B70" t="s">
        <v>30</v>
      </c>
      <c r="C70" t="s">
        <v>91</v>
      </c>
      <c r="D70">
        <v>52.104492</v>
      </c>
      <c r="E70" t="s">
        <v>31</v>
      </c>
      <c r="F70" t="s">
        <v>114</v>
      </c>
      <c r="G70">
        <v>1.6011569999999999</v>
      </c>
      <c r="H70" t="s">
        <v>32</v>
      </c>
      <c r="I70" t="s">
        <v>115</v>
      </c>
      <c r="J70">
        <v>18.288602999999998</v>
      </c>
      <c r="K70" t="s">
        <v>33</v>
      </c>
      <c r="L70" t="s">
        <v>116</v>
      </c>
      <c r="M70">
        <v>26.278434000000001</v>
      </c>
    </row>
    <row r="71" spans="1:13" x14ac:dyDescent="0.25">
      <c r="A71">
        <v>68</v>
      </c>
      <c r="B71" t="s">
        <v>30</v>
      </c>
      <c r="C71" t="s">
        <v>91</v>
      </c>
      <c r="D71">
        <v>52.086844999999997</v>
      </c>
      <c r="E71" t="s">
        <v>31</v>
      </c>
      <c r="F71" t="s">
        <v>114</v>
      </c>
      <c r="G71">
        <v>1.5468109999999999</v>
      </c>
      <c r="H71" t="s">
        <v>32</v>
      </c>
      <c r="I71" t="s">
        <v>115</v>
      </c>
      <c r="J71">
        <v>17.977204</v>
      </c>
      <c r="K71" t="s">
        <v>33</v>
      </c>
      <c r="L71" t="s">
        <v>116</v>
      </c>
      <c r="M71">
        <v>26.625319999999999</v>
      </c>
    </row>
    <row r="72" spans="1:13" x14ac:dyDescent="0.25">
      <c r="A72">
        <v>69</v>
      </c>
      <c r="B72" t="s">
        <v>30</v>
      </c>
      <c r="C72" t="s">
        <v>91</v>
      </c>
      <c r="D72">
        <v>52.068832999999998</v>
      </c>
      <c r="E72" t="s">
        <v>31</v>
      </c>
      <c r="F72" t="s">
        <v>114</v>
      </c>
      <c r="G72">
        <v>1.491973</v>
      </c>
      <c r="H72" t="s">
        <v>32</v>
      </c>
      <c r="I72" t="s">
        <v>115</v>
      </c>
      <c r="J72">
        <v>17.672219999999999</v>
      </c>
      <c r="K72" t="s">
        <v>33</v>
      </c>
      <c r="L72" t="s">
        <v>117</v>
      </c>
      <c r="M72">
        <v>26.965329000000001</v>
      </c>
    </row>
    <row r="73" spans="1:13" x14ac:dyDescent="0.25">
      <c r="A73">
        <v>70</v>
      </c>
      <c r="B73" t="s">
        <v>30</v>
      </c>
      <c r="C73" t="s">
        <v>91</v>
      </c>
      <c r="D73">
        <v>52.050437000000002</v>
      </c>
      <c r="E73" t="s">
        <v>31</v>
      </c>
      <c r="F73" t="s">
        <v>114</v>
      </c>
      <c r="G73">
        <v>1.4366099999999999</v>
      </c>
      <c r="H73" t="s">
        <v>32</v>
      </c>
      <c r="I73" t="s">
        <v>115</v>
      </c>
      <c r="J73">
        <v>17.373166000000001</v>
      </c>
      <c r="K73" t="s">
        <v>33</v>
      </c>
      <c r="L73" t="s">
        <v>117</v>
      </c>
      <c r="M73">
        <v>27.298949</v>
      </c>
    </row>
    <row r="74" spans="1:13" x14ac:dyDescent="0.25">
      <c r="A74">
        <v>71</v>
      </c>
      <c r="B74" t="s">
        <v>30</v>
      </c>
      <c r="C74" t="s">
        <v>91</v>
      </c>
      <c r="D74">
        <v>52.031637000000003</v>
      </c>
      <c r="E74" t="s">
        <v>31</v>
      </c>
      <c r="F74" t="s">
        <v>114</v>
      </c>
      <c r="G74">
        <v>1.3806860000000001</v>
      </c>
      <c r="H74" t="s">
        <v>32</v>
      </c>
      <c r="I74" t="s">
        <v>115</v>
      </c>
      <c r="J74">
        <v>17.079632</v>
      </c>
      <c r="K74" t="s">
        <v>33</v>
      </c>
      <c r="L74" t="s">
        <v>118</v>
      </c>
      <c r="M74">
        <v>27.626584999999999</v>
      </c>
    </row>
    <row r="75" spans="1:13" x14ac:dyDescent="0.25">
      <c r="A75">
        <v>72</v>
      </c>
      <c r="B75" t="s">
        <v>30</v>
      </c>
      <c r="C75" t="s">
        <v>91</v>
      </c>
      <c r="D75">
        <v>52.012413000000002</v>
      </c>
      <c r="E75" t="s">
        <v>31</v>
      </c>
      <c r="F75" t="s">
        <v>114</v>
      </c>
      <c r="G75">
        <v>1.324168</v>
      </c>
      <c r="H75" t="s">
        <v>32</v>
      </c>
      <c r="I75" t="s">
        <v>115</v>
      </c>
      <c r="J75">
        <v>16.791276</v>
      </c>
      <c r="K75" t="s">
        <v>33</v>
      </c>
      <c r="L75" t="s">
        <v>119</v>
      </c>
      <c r="M75">
        <v>27.948578999999999</v>
      </c>
    </row>
    <row r="76" spans="1:13" x14ac:dyDescent="0.25">
      <c r="A76">
        <v>73</v>
      </c>
      <c r="B76" t="s">
        <v>30</v>
      </c>
      <c r="C76" t="s">
        <v>91</v>
      </c>
      <c r="D76">
        <v>51.992742999999997</v>
      </c>
      <c r="E76" t="s">
        <v>31</v>
      </c>
      <c r="F76" t="s">
        <v>114</v>
      </c>
      <c r="G76">
        <v>1.2670220000000001</v>
      </c>
      <c r="H76" t="s">
        <v>32</v>
      </c>
      <c r="I76" t="s">
        <v>115</v>
      </c>
      <c r="J76">
        <v>16.507809000000002</v>
      </c>
      <c r="K76" t="s">
        <v>33</v>
      </c>
      <c r="L76" t="s">
        <v>119</v>
      </c>
      <c r="M76">
        <v>28.265208000000001</v>
      </c>
    </row>
    <row r="77" spans="1:13" x14ac:dyDescent="0.25">
      <c r="A77">
        <v>74</v>
      </c>
      <c r="B77" t="s">
        <v>30</v>
      </c>
      <c r="C77" t="s">
        <v>91</v>
      </c>
      <c r="D77">
        <v>51.972605000000001</v>
      </c>
      <c r="E77" t="s">
        <v>31</v>
      </c>
      <c r="F77" t="s">
        <v>114</v>
      </c>
      <c r="G77">
        <v>1.209211</v>
      </c>
      <c r="H77" t="s">
        <v>32</v>
      </c>
      <c r="I77" t="s">
        <v>115</v>
      </c>
      <c r="J77">
        <v>16.228995000000001</v>
      </c>
      <c r="K77" t="s">
        <v>33</v>
      </c>
      <c r="L77" t="s">
        <v>120</v>
      </c>
      <c r="M77">
        <v>28.576702999999998</v>
      </c>
    </row>
    <row r="78" spans="1:13" x14ac:dyDescent="0.25">
      <c r="A78">
        <v>75</v>
      </c>
      <c r="B78" t="s">
        <v>30</v>
      </c>
      <c r="C78" t="s">
        <v>91</v>
      </c>
      <c r="D78">
        <v>51.951973000000002</v>
      </c>
      <c r="E78" t="s">
        <v>31</v>
      </c>
      <c r="F78" t="s">
        <v>114</v>
      </c>
      <c r="G78">
        <v>1.1507000000000001</v>
      </c>
      <c r="H78" t="s">
        <v>32</v>
      </c>
      <c r="I78" t="s">
        <v>115</v>
      </c>
      <c r="J78">
        <v>15.954639999999999</v>
      </c>
      <c r="K78" t="s">
        <v>33</v>
      </c>
      <c r="L78" t="s">
        <v>121</v>
      </c>
      <c r="M78">
        <v>28.883241999999999</v>
      </c>
    </row>
    <row r="79" spans="1:13" x14ac:dyDescent="0.25">
      <c r="A79">
        <v>76</v>
      </c>
      <c r="B79" t="s">
        <v>30</v>
      </c>
      <c r="C79" t="s">
        <v>91</v>
      </c>
      <c r="D79">
        <v>51.930821000000002</v>
      </c>
      <c r="E79" t="s">
        <v>31</v>
      </c>
      <c r="F79" t="s">
        <v>114</v>
      </c>
      <c r="G79">
        <v>1.0914520000000001</v>
      </c>
      <c r="H79" t="s">
        <v>32</v>
      </c>
      <c r="I79" t="s">
        <v>115</v>
      </c>
      <c r="J79">
        <v>15.68459</v>
      </c>
      <c r="K79" t="s">
        <v>33</v>
      </c>
      <c r="L79" t="s">
        <v>122</v>
      </c>
      <c r="M79">
        <v>29.184967</v>
      </c>
    </row>
    <row r="80" spans="1:13" x14ac:dyDescent="0.25">
      <c r="A80">
        <v>77</v>
      </c>
      <c r="B80" t="s">
        <v>30</v>
      </c>
      <c r="C80" t="s">
        <v>91</v>
      </c>
      <c r="D80">
        <v>51.909122000000004</v>
      </c>
      <c r="E80" t="s">
        <v>31</v>
      </c>
      <c r="F80" t="s">
        <v>114</v>
      </c>
      <c r="G80">
        <v>1.031426</v>
      </c>
      <c r="H80" t="s">
        <v>32</v>
      </c>
      <c r="I80" t="s">
        <v>115</v>
      </c>
      <c r="J80">
        <v>15.418728</v>
      </c>
      <c r="K80" t="s">
        <v>33</v>
      </c>
      <c r="L80" t="s">
        <v>122</v>
      </c>
      <c r="M80">
        <v>29.481978000000002</v>
      </c>
    </row>
    <row r="81" spans="1:13" x14ac:dyDescent="0.25">
      <c r="A81">
        <v>78</v>
      </c>
      <c r="B81" t="s">
        <v>30</v>
      </c>
      <c r="C81" t="s">
        <v>91</v>
      </c>
      <c r="D81">
        <v>51.886845000000001</v>
      </c>
      <c r="E81" t="s">
        <v>31</v>
      </c>
      <c r="F81" t="s">
        <v>114</v>
      </c>
      <c r="G81">
        <v>0.970584</v>
      </c>
      <c r="H81" t="s">
        <v>32</v>
      </c>
      <c r="I81" t="s">
        <v>115</v>
      </c>
      <c r="J81">
        <v>15.156971</v>
      </c>
      <c r="K81" t="s">
        <v>33</v>
      </c>
      <c r="L81" t="s">
        <v>122</v>
      </c>
      <c r="M81">
        <v>29.774338</v>
      </c>
    </row>
    <row r="82" spans="1:13" x14ac:dyDescent="0.25">
      <c r="A82">
        <v>79</v>
      </c>
      <c r="B82" t="s">
        <v>30</v>
      </c>
      <c r="C82" t="s">
        <v>91</v>
      </c>
      <c r="D82">
        <v>51.863959000000001</v>
      </c>
      <c r="E82" t="s">
        <v>31</v>
      </c>
      <c r="F82" t="s">
        <v>114</v>
      </c>
      <c r="G82">
        <v>0.908883</v>
      </c>
      <c r="H82" t="s">
        <v>32</v>
      </c>
      <c r="I82" t="s">
        <v>115</v>
      </c>
      <c r="J82">
        <v>14.899267</v>
      </c>
      <c r="K82" t="s">
        <v>33</v>
      </c>
      <c r="L82" t="s">
        <v>123</v>
      </c>
      <c r="M82">
        <v>30.062079000000001</v>
      </c>
    </row>
    <row r="83" spans="1:13" x14ac:dyDescent="0.25">
      <c r="A83">
        <v>80</v>
      </c>
      <c r="B83" t="s">
        <v>30</v>
      </c>
      <c r="C83" t="s">
        <v>91</v>
      </c>
      <c r="D83">
        <v>51.840429999999998</v>
      </c>
      <c r="E83" t="s">
        <v>31</v>
      </c>
      <c r="F83" t="s">
        <v>114</v>
      </c>
      <c r="G83">
        <v>0.846279</v>
      </c>
      <c r="H83" t="s">
        <v>32</v>
      </c>
      <c r="I83" t="s">
        <v>115</v>
      </c>
      <c r="J83">
        <v>14.645595</v>
      </c>
      <c r="K83" t="s">
        <v>33</v>
      </c>
      <c r="L83" t="s">
        <v>123</v>
      </c>
      <c r="M83">
        <v>30.345196999999999</v>
      </c>
    </row>
    <row r="84" spans="1:13" x14ac:dyDescent="0.25">
      <c r="A84">
        <v>81</v>
      </c>
      <c r="B84" t="s">
        <v>30</v>
      </c>
      <c r="C84" t="s">
        <v>91</v>
      </c>
      <c r="D84">
        <v>51.816222000000003</v>
      </c>
      <c r="E84" t="s">
        <v>31</v>
      </c>
      <c r="F84" t="s">
        <v>114</v>
      </c>
      <c r="G84">
        <v>0.782725</v>
      </c>
      <c r="H84" t="s">
        <v>32</v>
      </c>
      <c r="I84" t="s">
        <v>115</v>
      </c>
      <c r="J84">
        <v>14.395962000000001</v>
      </c>
      <c r="K84" t="s">
        <v>33</v>
      </c>
      <c r="L84" t="s">
        <v>123</v>
      </c>
      <c r="M84">
        <v>30.623657999999999</v>
      </c>
    </row>
    <row r="85" spans="1:13" x14ac:dyDescent="0.25">
      <c r="A85">
        <v>82</v>
      </c>
      <c r="B85" t="s">
        <v>30</v>
      </c>
      <c r="C85" t="s">
        <v>91</v>
      </c>
      <c r="D85">
        <v>51.791294999999998</v>
      </c>
      <c r="E85" t="s">
        <v>31</v>
      </c>
      <c r="F85" t="s">
        <v>114</v>
      </c>
      <c r="G85">
        <v>0.71817200000000003</v>
      </c>
      <c r="H85" t="s">
        <v>32</v>
      </c>
      <c r="I85" t="s">
        <v>115</v>
      </c>
      <c r="J85">
        <v>14.150407</v>
      </c>
      <c r="K85" t="s">
        <v>33</v>
      </c>
      <c r="L85" t="s">
        <v>124</v>
      </c>
      <c r="M85">
        <v>30.897396000000001</v>
      </c>
    </row>
    <row r="86" spans="1:13" x14ac:dyDescent="0.25">
      <c r="A86">
        <v>83</v>
      </c>
      <c r="B86" t="s">
        <v>30</v>
      </c>
      <c r="C86" t="s">
        <v>91</v>
      </c>
      <c r="D86">
        <v>51.765608999999998</v>
      </c>
      <c r="E86" t="s">
        <v>31</v>
      </c>
      <c r="F86" t="s">
        <v>125</v>
      </c>
      <c r="G86">
        <v>0.65256800000000004</v>
      </c>
      <c r="H86" t="s">
        <v>32</v>
      </c>
      <c r="I86" t="s">
        <v>115</v>
      </c>
      <c r="J86">
        <v>13.908994</v>
      </c>
      <c r="K86" t="s">
        <v>33</v>
      </c>
      <c r="L86" t="s">
        <v>124</v>
      </c>
      <c r="M86">
        <v>31.166315000000001</v>
      </c>
    </row>
    <row r="87" spans="1:13" x14ac:dyDescent="0.25">
      <c r="A87">
        <v>84</v>
      </c>
      <c r="B87" t="s">
        <v>30</v>
      </c>
      <c r="C87" t="s">
        <v>91</v>
      </c>
      <c r="D87">
        <v>51.739117999999998</v>
      </c>
      <c r="E87" t="s">
        <v>31</v>
      </c>
      <c r="F87" t="s">
        <v>125</v>
      </c>
      <c r="G87">
        <v>0.58585900000000002</v>
      </c>
      <c r="H87" t="s">
        <v>32</v>
      </c>
      <c r="I87" t="s">
        <v>115</v>
      </c>
      <c r="J87">
        <v>13.671817000000001</v>
      </c>
      <c r="K87" t="s">
        <v>33</v>
      </c>
      <c r="L87" t="s">
        <v>126</v>
      </c>
      <c r="M87">
        <v>31.430284</v>
      </c>
    </row>
    <row r="88" spans="1:13" x14ac:dyDescent="0.25">
      <c r="A88">
        <v>85</v>
      </c>
      <c r="B88" t="s">
        <v>30</v>
      </c>
      <c r="C88" t="s">
        <v>91</v>
      </c>
      <c r="D88">
        <v>51.711773999999998</v>
      </c>
      <c r="E88" t="s">
        <v>31</v>
      </c>
      <c r="F88" t="s">
        <v>125</v>
      </c>
      <c r="G88">
        <v>0.51798699999999998</v>
      </c>
      <c r="H88" t="s">
        <v>32</v>
      </c>
      <c r="I88" t="s">
        <v>115</v>
      </c>
      <c r="J88">
        <v>13.439</v>
      </c>
      <c r="K88" t="s">
        <v>33</v>
      </c>
      <c r="L88" t="s">
        <v>127</v>
      </c>
      <c r="M88">
        <v>31.689142</v>
      </c>
    </row>
    <row r="89" spans="1:13" x14ac:dyDescent="0.25">
      <c r="A89">
        <v>86</v>
      </c>
      <c r="B89" t="s">
        <v>30</v>
      </c>
      <c r="C89" t="s">
        <v>91</v>
      </c>
      <c r="D89">
        <v>51.683526999999998</v>
      </c>
      <c r="E89" t="s">
        <v>31</v>
      </c>
      <c r="F89" t="s">
        <v>125</v>
      </c>
      <c r="G89">
        <v>0.44888899999999998</v>
      </c>
      <c r="H89" t="s">
        <v>32</v>
      </c>
      <c r="I89" t="s">
        <v>115</v>
      </c>
      <c r="J89">
        <v>13.210696</v>
      </c>
      <c r="K89" t="s">
        <v>33</v>
      </c>
      <c r="L89" t="s">
        <v>128</v>
      </c>
      <c r="M89">
        <v>31.942696000000002</v>
      </c>
    </row>
    <row r="90" spans="1:13" x14ac:dyDescent="0.25">
      <c r="A90">
        <v>87</v>
      </c>
      <c r="B90" t="s">
        <v>30</v>
      </c>
      <c r="C90" t="s">
        <v>91</v>
      </c>
      <c r="D90">
        <v>51.654322000000001</v>
      </c>
      <c r="E90" t="s">
        <v>31</v>
      </c>
      <c r="F90" t="s">
        <v>125</v>
      </c>
      <c r="G90">
        <v>0.37850099999999998</v>
      </c>
      <c r="H90" t="s">
        <v>32</v>
      </c>
      <c r="I90" t="s">
        <v>129</v>
      </c>
      <c r="J90">
        <v>12.987087000000001</v>
      </c>
      <c r="K90" t="s">
        <v>33</v>
      </c>
      <c r="L90" t="s">
        <v>130</v>
      </c>
      <c r="M90">
        <v>32.190716999999999</v>
      </c>
    </row>
    <row r="91" spans="1:13" x14ac:dyDescent="0.25">
      <c r="A91">
        <v>88</v>
      </c>
      <c r="B91" t="s">
        <v>30</v>
      </c>
      <c r="C91" t="s">
        <v>91</v>
      </c>
      <c r="D91">
        <v>51.624099000000001</v>
      </c>
      <c r="E91" t="s">
        <v>31</v>
      </c>
      <c r="F91" t="s">
        <v>125</v>
      </c>
      <c r="G91">
        <v>0.306753</v>
      </c>
      <c r="H91" t="s">
        <v>32</v>
      </c>
      <c r="I91" t="s">
        <v>129</v>
      </c>
      <c r="J91">
        <v>12.76839</v>
      </c>
      <c r="K91" t="s">
        <v>33</v>
      </c>
      <c r="L91" t="s">
        <v>130</v>
      </c>
      <c r="M91">
        <v>32.432941999999997</v>
      </c>
    </row>
    <row r="92" spans="1:13" x14ac:dyDescent="0.25">
      <c r="A92">
        <v>89</v>
      </c>
      <c r="B92" t="s">
        <v>30</v>
      </c>
      <c r="C92" t="s">
        <v>91</v>
      </c>
      <c r="D92">
        <v>51.592796999999997</v>
      </c>
      <c r="E92" t="s">
        <v>31</v>
      </c>
      <c r="F92" t="s">
        <v>131</v>
      </c>
      <c r="G92">
        <v>0.233569</v>
      </c>
      <c r="H92" t="s">
        <v>32</v>
      </c>
      <c r="I92" t="s">
        <v>129</v>
      </c>
      <c r="J92">
        <v>12.554853</v>
      </c>
      <c r="K92" t="s">
        <v>33</v>
      </c>
      <c r="L92" t="s">
        <v>130</v>
      </c>
      <c r="M92">
        <v>32.669068000000003</v>
      </c>
    </row>
    <row r="93" spans="1:13" x14ac:dyDescent="0.25">
      <c r="A93">
        <v>90</v>
      </c>
      <c r="B93" t="s">
        <v>30</v>
      </c>
      <c r="C93" t="s">
        <v>91</v>
      </c>
      <c r="D93">
        <v>51.560347</v>
      </c>
      <c r="E93" t="s">
        <v>31</v>
      </c>
      <c r="F93" t="s">
        <v>131</v>
      </c>
      <c r="G93">
        <v>0.15887000000000001</v>
      </c>
      <c r="H93" t="s">
        <v>32</v>
      </c>
      <c r="I93" t="s">
        <v>132</v>
      </c>
      <c r="J93">
        <v>12.346759</v>
      </c>
      <c r="K93" t="s">
        <v>33</v>
      </c>
      <c r="L93" t="s">
        <v>133</v>
      </c>
      <c r="M93">
        <v>32.898755000000001</v>
      </c>
    </row>
    <row r="94" spans="1:13" x14ac:dyDescent="0.25">
      <c r="A94">
        <v>91</v>
      </c>
      <c r="B94" t="s">
        <v>30</v>
      </c>
      <c r="C94" t="s">
        <v>91</v>
      </c>
      <c r="D94">
        <v>51.526676999999999</v>
      </c>
      <c r="E94" t="s">
        <v>31</v>
      </c>
      <c r="F94" t="s">
        <v>131</v>
      </c>
      <c r="G94">
        <v>8.2570000000000005E-2</v>
      </c>
      <c r="H94" t="s">
        <v>32</v>
      </c>
      <c r="I94" t="s">
        <v>134</v>
      </c>
      <c r="J94">
        <v>12.144427</v>
      </c>
      <c r="K94" t="s">
        <v>33</v>
      </c>
      <c r="L94" t="s">
        <v>133</v>
      </c>
      <c r="M94">
        <v>33.121622000000002</v>
      </c>
    </row>
    <row r="95" spans="1:13" x14ac:dyDescent="0.25">
      <c r="A95">
        <v>92</v>
      </c>
      <c r="B95" t="s">
        <v>30</v>
      </c>
      <c r="C95" t="s">
        <v>91</v>
      </c>
      <c r="D95">
        <v>51.491709</v>
      </c>
      <c r="E95" t="s">
        <v>31</v>
      </c>
      <c r="F95" t="s">
        <v>131</v>
      </c>
      <c r="G95">
        <v>4.5789999999999997E-3</v>
      </c>
      <c r="H95" t="s">
        <v>32</v>
      </c>
      <c r="I95" t="s">
        <v>134</v>
      </c>
      <c r="J95">
        <v>11.948217</v>
      </c>
      <c r="K95" t="s">
        <v>33</v>
      </c>
      <c r="L95" t="s">
        <v>133</v>
      </c>
      <c r="M95">
        <v>33.337243000000001</v>
      </c>
    </row>
    <row r="96" spans="1:13" x14ac:dyDescent="0.25">
      <c r="A96">
        <v>93</v>
      </c>
      <c r="B96" t="s">
        <v>30</v>
      </c>
      <c r="C96" t="s">
        <v>91</v>
      </c>
      <c r="D96">
        <v>51.454531000000003</v>
      </c>
      <c r="E96" t="s">
        <v>32</v>
      </c>
      <c r="F96" t="s">
        <v>134</v>
      </c>
      <c r="G96">
        <v>11.837993000000001</v>
      </c>
      <c r="H96" t="s">
        <v>33</v>
      </c>
      <c r="I96" t="s">
        <v>133</v>
      </c>
      <c r="J96">
        <v>33.389918999999999</v>
      </c>
    </row>
    <row r="97" spans="1:10" x14ac:dyDescent="0.25">
      <c r="A97">
        <v>94</v>
      </c>
      <c r="B97" t="s">
        <v>30</v>
      </c>
      <c r="C97" t="s">
        <v>91</v>
      </c>
      <c r="D97">
        <v>51.416122000000001</v>
      </c>
      <c r="E97" t="s">
        <v>32</v>
      </c>
      <c r="F97" t="s">
        <v>134</v>
      </c>
      <c r="G97">
        <v>11.742243</v>
      </c>
      <c r="H97" t="s">
        <v>33</v>
      </c>
      <c r="I97" t="s">
        <v>135</v>
      </c>
      <c r="J97">
        <v>33.420701000000001</v>
      </c>
    </row>
    <row r="98" spans="1:10" x14ac:dyDescent="0.25">
      <c r="A98">
        <v>95</v>
      </c>
      <c r="B98" t="s">
        <v>30</v>
      </c>
      <c r="C98" t="s">
        <v>91</v>
      </c>
      <c r="D98">
        <v>51.376480999999998</v>
      </c>
      <c r="E98" t="s">
        <v>32</v>
      </c>
      <c r="F98" t="s">
        <v>136</v>
      </c>
      <c r="G98">
        <v>11.656594999999999</v>
      </c>
      <c r="H98" t="s">
        <v>33</v>
      </c>
      <c r="I98" t="s">
        <v>137</v>
      </c>
      <c r="J98">
        <v>33.438456000000002</v>
      </c>
    </row>
    <row r="99" spans="1:10" x14ac:dyDescent="0.25">
      <c r="A99">
        <v>96</v>
      </c>
      <c r="B99" t="s">
        <v>30</v>
      </c>
      <c r="C99" t="s">
        <v>91</v>
      </c>
      <c r="D99">
        <v>51.335543000000001</v>
      </c>
      <c r="E99" t="s">
        <v>32</v>
      </c>
      <c r="F99" t="s">
        <v>136</v>
      </c>
      <c r="G99">
        <v>11.581529</v>
      </c>
      <c r="H99" t="s">
        <v>33</v>
      </c>
      <c r="I99" t="s">
        <v>138</v>
      </c>
      <c r="J99">
        <v>33.442566999999997</v>
      </c>
    </row>
    <row r="100" spans="1:10" x14ac:dyDescent="0.25">
      <c r="A100">
        <v>97</v>
      </c>
      <c r="B100" t="s">
        <v>30</v>
      </c>
      <c r="C100" t="s">
        <v>91</v>
      </c>
      <c r="D100">
        <v>51.293241000000002</v>
      </c>
      <c r="E100" t="s">
        <v>32</v>
      </c>
      <c r="F100" t="s">
        <v>136</v>
      </c>
      <c r="G100">
        <v>11.517562</v>
      </c>
      <c r="H100" t="s">
        <v>33</v>
      </c>
      <c r="I100" t="s">
        <v>138</v>
      </c>
      <c r="J100">
        <v>33.432375999999998</v>
      </c>
    </row>
    <row r="101" spans="1:10" x14ac:dyDescent="0.25">
      <c r="A101">
        <v>98</v>
      </c>
      <c r="B101" t="s">
        <v>30</v>
      </c>
      <c r="C101" t="s">
        <v>91</v>
      </c>
      <c r="D101">
        <v>51.249504000000002</v>
      </c>
      <c r="E101" t="s">
        <v>32</v>
      </c>
      <c r="F101" t="s">
        <v>139</v>
      </c>
      <c r="G101">
        <v>11.465248000000001</v>
      </c>
      <c r="H101" t="s">
        <v>33</v>
      </c>
      <c r="I101" t="s">
        <v>140</v>
      </c>
      <c r="J101">
        <v>33.407181000000001</v>
      </c>
    </row>
    <row r="102" spans="1:10" x14ac:dyDescent="0.25">
      <c r="A102">
        <v>99</v>
      </c>
      <c r="B102" t="s">
        <v>30</v>
      </c>
      <c r="C102" t="s">
        <v>91</v>
      </c>
      <c r="D102">
        <v>51.204259</v>
      </c>
      <c r="E102" t="s">
        <v>32</v>
      </c>
      <c r="F102" t="s">
        <v>139</v>
      </c>
      <c r="G102">
        <v>11.425179999999999</v>
      </c>
      <c r="H102" t="s">
        <v>33</v>
      </c>
      <c r="I102" t="s">
        <v>141</v>
      </c>
      <c r="J102">
        <v>33.366228999999997</v>
      </c>
    </row>
    <row r="103" spans="1:10" x14ac:dyDescent="0.25">
      <c r="A103">
        <v>100</v>
      </c>
      <c r="B103" t="s">
        <v>30</v>
      </c>
      <c r="C103" t="s">
        <v>91</v>
      </c>
      <c r="D103">
        <v>51.157426000000001</v>
      </c>
      <c r="E103" t="s">
        <v>32</v>
      </c>
      <c r="F103" t="s">
        <v>139</v>
      </c>
      <c r="G103">
        <v>11.397992</v>
      </c>
      <c r="H103" t="s">
        <v>33</v>
      </c>
      <c r="I103" t="s">
        <v>141</v>
      </c>
      <c r="J103">
        <v>33.308723999999998</v>
      </c>
    </row>
    <row r="104" spans="1:10" x14ac:dyDescent="0.25">
      <c r="A104">
        <v>101</v>
      </c>
      <c r="B104" t="s">
        <v>30</v>
      </c>
      <c r="C104" t="s">
        <v>91</v>
      </c>
      <c r="D104">
        <v>51.108924999999999</v>
      </c>
      <c r="E104" t="s">
        <v>32</v>
      </c>
      <c r="F104" t="s">
        <v>142</v>
      </c>
      <c r="G104">
        <v>11.384359</v>
      </c>
      <c r="H104" t="s">
        <v>33</v>
      </c>
      <c r="I104" t="s">
        <v>141</v>
      </c>
      <c r="J104">
        <v>33.233815999999997</v>
      </c>
    </row>
    <row r="105" spans="1:10" x14ac:dyDescent="0.25">
      <c r="A105">
        <v>102</v>
      </c>
      <c r="B105" t="s">
        <v>30</v>
      </c>
      <c r="C105" t="s">
        <v>91</v>
      </c>
      <c r="D105">
        <v>51.058669999999999</v>
      </c>
      <c r="E105" t="s">
        <v>32</v>
      </c>
      <c r="F105" t="s">
        <v>142</v>
      </c>
      <c r="G105">
        <v>11.385</v>
      </c>
      <c r="H105" t="s">
        <v>33</v>
      </c>
      <c r="I105" t="s">
        <v>141</v>
      </c>
      <c r="J105">
        <v>33.140605999999998</v>
      </c>
    </row>
    <row r="106" spans="1:10" x14ac:dyDescent="0.25">
      <c r="A106">
        <v>103</v>
      </c>
      <c r="B106" t="s">
        <v>30</v>
      </c>
      <c r="C106" t="s">
        <v>143</v>
      </c>
      <c r="D106">
        <v>51.006571999999998</v>
      </c>
      <c r="E106" t="s">
        <v>32</v>
      </c>
      <c r="F106" t="s">
        <v>142</v>
      </c>
      <c r="G106">
        <v>11.400676000000001</v>
      </c>
      <c r="H106" t="s">
        <v>33</v>
      </c>
      <c r="I106" t="s">
        <v>144</v>
      </c>
      <c r="J106">
        <v>33.028142000000003</v>
      </c>
    </row>
    <row r="107" spans="1:10" x14ac:dyDescent="0.25">
      <c r="A107">
        <v>104</v>
      </c>
      <c r="B107" t="s">
        <v>30</v>
      </c>
      <c r="C107" t="s">
        <v>143</v>
      </c>
      <c r="D107">
        <v>50.952537999999997</v>
      </c>
      <c r="E107" t="s">
        <v>32</v>
      </c>
      <c r="F107" t="s">
        <v>142</v>
      </c>
      <c r="G107">
        <v>11.432195</v>
      </c>
      <c r="H107" t="s">
        <v>33</v>
      </c>
      <c r="I107" t="s">
        <v>144</v>
      </c>
      <c r="J107">
        <v>32.895417999999999</v>
      </c>
    </row>
    <row r="108" spans="1:10" x14ac:dyDescent="0.25">
      <c r="A108">
        <v>105</v>
      </c>
      <c r="B108" t="s">
        <v>30</v>
      </c>
      <c r="C108" t="s">
        <v>143</v>
      </c>
      <c r="D108">
        <v>50.896472000000003</v>
      </c>
      <c r="E108" t="s">
        <v>32</v>
      </c>
      <c r="F108" t="s">
        <v>142</v>
      </c>
      <c r="G108">
        <v>11.480408000000001</v>
      </c>
      <c r="H108" t="s">
        <v>33</v>
      </c>
      <c r="I108" t="s">
        <v>144</v>
      </c>
      <c r="J108">
        <v>32.741374999999998</v>
      </c>
    </row>
    <row r="109" spans="1:10" x14ac:dyDescent="0.25">
      <c r="A109">
        <v>106</v>
      </c>
      <c r="B109" t="s">
        <v>30</v>
      </c>
      <c r="C109" t="s">
        <v>143</v>
      </c>
      <c r="D109">
        <v>50.838273000000001</v>
      </c>
      <c r="E109" t="s">
        <v>32</v>
      </c>
      <c r="F109" t="s">
        <v>142</v>
      </c>
      <c r="G109">
        <v>11.546215999999999</v>
      </c>
      <c r="H109" t="s">
        <v>33</v>
      </c>
      <c r="I109" t="s">
        <v>144</v>
      </c>
      <c r="J109">
        <v>32.564895999999997</v>
      </c>
    </row>
    <row r="110" spans="1:10" x14ac:dyDescent="0.25">
      <c r="A110">
        <v>107</v>
      </c>
      <c r="B110" t="s">
        <v>30</v>
      </c>
      <c r="C110" t="s">
        <v>143</v>
      </c>
      <c r="D110">
        <v>50.777836999999998</v>
      </c>
      <c r="E110" t="s">
        <v>32</v>
      </c>
      <c r="F110" t="s">
        <v>142</v>
      </c>
      <c r="G110">
        <v>11.630565000000001</v>
      </c>
      <c r="H110" t="s">
        <v>33</v>
      </c>
      <c r="I110" t="s">
        <v>145</v>
      </c>
      <c r="J110">
        <v>32.364809999999999</v>
      </c>
    </row>
    <row r="111" spans="1:10" x14ac:dyDescent="0.25">
      <c r="A111">
        <v>108</v>
      </c>
      <c r="B111" t="s">
        <v>30</v>
      </c>
      <c r="C111" t="s">
        <v>143</v>
      </c>
      <c r="D111">
        <v>50.715055999999997</v>
      </c>
      <c r="E111" t="s">
        <v>32</v>
      </c>
      <c r="F111" t="s">
        <v>142</v>
      </c>
      <c r="G111">
        <v>11.734448</v>
      </c>
      <c r="H111" t="s">
        <v>33</v>
      </c>
      <c r="I111" t="s">
        <v>145</v>
      </c>
      <c r="J111">
        <v>32.139888999999997</v>
      </c>
    </row>
    <row r="112" spans="1:10" x14ac:dyDescent="0.25">
      <c r="A112">
        <v>109</v>
      </c>
      <c r="B112" t="s">
        <v>30</v>
      </c>
      <c r="C112" t="s">
        <v>143</v>
      </c>
      <c r="D112">
        <v>50.649819000000001</v>
      </c>
      <c r="E112" t="s">
        <v>32</v>
      </c>
      <c r="F112" t="s">
        <v>142</v>
      </c>
      <c r="G112">
        <v>11.858907</v>
      </c>
      <c r="H112" t="s">
        <v>33</v>
      </c>
      <c r="I112" t="s">
        <v>146</v>
      </c>
      <c r="J112">
        <v>31.888850000000001</v>
      </c>
    </row>
    <row r="113" spans="1:10" x14ac:dyDescent="0.25">
      <c r="A113">
        <v>110</v>
      </c>
      <c r="B113" t="s">
        <v>30</v>
      </c>
      <c r="C113" t="s">
        <v>143</v>
      </c>
      <c r="D113">
        <v>50.582009999999997</v>
      </c>
      <c r="E113" t="s">
        <v>32</v>
      </c>
      <c r="F113" t="s">
        <v>142</v>
      </c>
      <c r="G113">
        <v>12.00503</v>
      </c>
      <c r="H113" t="s">
        <v>33</v>
      </c>
      <c r="I113" t="s">
        <v>147</v>
      </c>
      <c r="J113">
        <v>31.610353</v>
      </c>
    </row>
    <row r="114" spans="1:10" x14ac:dyDescent="0.25">
      <c r="A114">
        <v>111</v>
      </c>
      <c r="B114" t="s">
        <v>30</v>
      </c>
      <c r="C114" t="s">
        <v>143</v>
      </c>
      <c r="D114">
        <v>50.511510999999999</v>
      </c>
      <c r="E114" t="s">
        <v>32</v>
      </c>
      <c r="F114" t="s">
        <v>148</v>
      </c>
      <c r="G114">
        <v>12.173952999999999</v>
      </c>
      <c r="H114" t="s">
        <v>33</v>
      </c>
      <c r="I114" t="s">
        <v>149</v>
      </c>
      <c r="J114">
        <v>31.303001999999999</v>
      </c>
    </row>
    <row r="115" spans="1:10" x14ac:dyDescent="0.25">
      <c r="A115">
        <v>112</v>
      </c>
      <c r="B115" t="s">
        <v>30</v>
      </c>
      <c r="C115" t="s">
        <v>143</v>
      </c>
      <c r="D115">
        <v>50.438200000000002</v>
      </c>
      <c r="E115" t="s">
        <v>32</v>
      </c>
      <c r="F115" t="s">
        <v>148</v>
      </c>
      <c r="G115">
        <v>12.366857</v>
      </c>
      <c r="H115" t="s">
        <v>33</v>
      </c>
      <c r="I115" t="s">
        <v>149</v>
      </c>
      <c r="J115">
        <v>30.965347000000001</v>
      </c>
    </row>
    <row r="116" spans="1:10" x14ac:dyDescent="0.25">
      <c r="A116">
        <v>113</v>
      </c>
      <c r="B116" t="s">
        <v>30</v>
      </c>
      <c r="C116" t="s">
        <v>143</v>
      </c>
      <c r="D116">
        <v>50.361952000000002</v>
      </c>
      <c r="E116" t="s">
        <v>32</v>
      </c>
      <c r="F116" t="s">
        <v>148</v>
      </c>
      <c r="G116">
        <v>12.584968</v>
      </c>
      <c r="H116" t="s">
        <v>33</v>
      </c>
      <c r="I116" t="s">
        <v>149</v>
      </c>
      <c r="J116">
        <v>30.595887999999999</v>
      </c>
    </row>
    <row r="117" spans="1:10" x14ac:dyDescent="0.25">
      <c r="A117">
        <v>114</v>
      </c>
      <c r="B117" t="s">
        <v>30</v>
      </c>
      <c r="C117" t="s">
        <v>143</v>
      </c>
      <c r="D117">
        <v>50.282637999999999</v>
      </c>
      <c r="E117" t="s">
        <v>32</v>
      </c>
      <c r="F117" t="s">
        <v>148</v>
      </c>
      <c r="G117">
        <v>12.829554999999999</v>
      </c>
      <c r="H117" t="s">
        <v>33</v>
      </c>
      <c r="I117" t="s">
        <v>149</v>
      </c>
      <c r="J117">
        <v>30.193072999999998</v>
      </c>
    </row>
    <row r="118" spans="1:10" x14ac:dyDescent="0.25">
      <c r="A118">
        <v>115</v>
      </c>
      <c r="B118" t="s">
        <v>30</v>
      </c>
      <c r="C118" t="s">
        <v>143</v>
      </c>
      <c r="D118">
        <v>50.200127000000002</v>
      </c>
      <c r="E118" t="s">
        <v>32</v>
      </c>
      <c r="F118" t="s">
        <v>150</v>
      </c>
      <c r="G118">
        <v>13.101929</v>
      </c>
      <c r="H118" t="s">
        <v>33</v>
      </c>
      <c r="I118" t="s">
        <v>151</v>
      </c>
      <c r="J118">
        <v>29.755300999999999</v>
      </c>
    </row>
    <row r="119" spans="1:10" x14ac:dyDescent="0.25">
      <c r="A119">
        <v>116</v>
      </c>
      <c r="B119" t="s">
        <v>30</v>
      </c>
      <c r="C119" t="s">
        <v>143</v>
      </c>
      <c r="D119">
        <v>50.114286</v>
      </c>
      <c r="E119" t="s">
        <v>32</v>
      </c>
      <c r="F119" t="s">
        <v>150</v>
      </c>
      <c r="G119">
        <v>13.403435999999999</v>
      </c>
      <c r="H119" t="s">
        <v>33</v>
      </c>
      <c r="I119" t="s">
        <v>152</v>
      </c>
      <c r="J119">
        <v>29.280930000000001</v>
      </c>
    </row>
    <row r="120" spans="1:10" x14ac:dyDescent="0.25">
      <c r="A120">
        <v>117</v>
      </c>
      <c r="B120" t="s">
        <v>30</v>
      </c>
      <c r="C120" t="s">
        <v>143</v>
      </c>
      <c r="D120">
        <v>50.024977999999997</v>
      </c>
      <c r="E120" t="s">
        <v>32</v>
      </c>
      <c r="F120" t="s">
        <v>153</v>
      </c>
      <c r="G120">
        <v>13.735461000000001</v>
      </c>
      <c r="H120" t="s">
        <v>33</v>
      </c>
      <c r="I120" t="s">
        <v>152</v>
      </c>
      <c r="J120">
        <v>28.768276</v>
      </c>
    </row>
    <row r="121" spans="1:10" x14ac:dyDescent="0.25">
      <c r="A121">
        <v>118</v>
      </c>
      <c r="B121" t="s">
        <v>30</v>
      </c>
      <c r="C121" t="s">
        <v>143</v>
      </c>
      <c r="D121">
        <v>49.932065000000001</v>
      </c>
      <c r="E121" t="s">
        <v>32</v>
      </c>
      <c r="F121" t="s">
        <v>153</v>
      </c>
      <c r="G121">
        <v>14.099417000000001</v>
      </c>
      <c r="H121" t="s">
        <v>33</v>
      </c>
      <c r="I121" t="s">
        <v>154</v>
      </c>
      <c r="J121">
        <v>28.215620000000001</v>
      </c>
    </row>
    <row r="122" spans="1:10" x14ac:dyDescent="0.25">
      <c r="A122">
        <v>119</v>
      </c>
      <c r="B122" t="s">
        <v>30</v>
      </c>
      <c r="C122" t="s">
        <v>143</v>
      </c>
      <c r="D122">
        <v>49.835405000000002</v>
      </c>
      <c r="E122" t="s">
        <v>32</v>
      </c>
      <c r="F122" t="s">
        <v>155</v>
      </c>
      <c r="G122">
        <v>14.496744</v>
      </c>
      <c r="H122" t="s">
        <v>33</v>
      </c>
      <c r="I122" t="s">
        <v>156</v>
      </c>
      <c r="J122">
        <v>27.621214999999999</v>
      </c>
    </row>
    <row r="123" spans="1:10" x14ac:dyDescent="0.25">
      <c r="A123">
        <v>120</v>
      </c>
      <c r="B123" t="s">
        <v>30</v>
      </c>
      <c r="C123" t="s">
        <v>143</v>
      </c>
      <c r="D123">
        <v>49.734856999999998</v>
      </c>
      <c r="E123" t="s">
        <v>32</v>
      </c>
      <c r="F123" t="s">
        <v>155</v>
      </c>
      <c r="G123">
        <v>14.928905</v>
      </c>
      <c r="H123" t="s">
        <v>33</v>
      </c>
      <c r="I123" t="s">
        <v>157</v>
      </c>
      <c r="J123">
        <v>26.983287000000001</v>
      </c>
    </row>
    <row r="124" spans="1:10" x14ac:dyDescent="0.25">
      <c r="A124">
        <v>121</v>
      </c>
      <c r="B124" t="s">
        <v>30</v>
      </c>
      <c r="C124" t="s">
        <v>143</v>
      </c>
      <c r="D124">
        <v>49.630277999999997</v>
      </c>
      <c r="E124" t="s">
        <v>32</v>
      </c>
      <c r="F124" t="s">
        <v>155</v>
      </c>
      <c r="G124">
        <v>15.397375</v>
      </c>
      <c r="H124" t="s">
        <v>33</v>
      </c>
      <c r="I124" t="s">
        <v>158</v>
      </c>
      <c r="J124">
        <v>26.300049999999999</v>
      </c>
    </row>
    <row r="125" spans="1:10" x14ac:dyDescent="0.25">
      <c r="A125">
        <v>122</v>
      </c>
      <c r="B125" t="s">
        <v>30</v>
      </c>
      <c r="C125" t="s">
        <v>143</v>
      </c>
      <c r="D125">
        <v>49.521521999999997</v>
      </c>
      <c r="E125" t="s">
        <v>32</v>
      </c>
      <c r="F125" t="s">
        <v>159</v>
      </c>
      <c r="G125">
        <v>15.903639999999999</v>
      </c>
      <c r="H125" t="s">
        <v>33</v>
      </c>
      <c r="I125" t="s">
        <v>158</v>
      </c>
      <c r="J125">
        <v>25.569707999999999</v>
      </c>
    </row>
    <row r="126" spans="1:10" x14ac:dyDescent="0.25">
      <c r="A126">
        <v>123</v>
      </c>
      <c r="B126" t="s">
        <v>30</v>
      </c>
      <c r="C126" t="s">
        <v>143</v>
      </c>
      <c r="D126">
        <v>49.408445</v>
      </c>
      <c r="E126" t="s">
        <v>32</v>
      </c>
      <c r="F126" t="s">
        <v>159</v>
      </c>
      <c r="G126">
        <v>16.449186000000001</v>
      </c>
      <c r="H126" t="s">
        <v>33</v>
      </c>
      <c r="I126" t="s">
        <v>160</v>
      </c>
      <c r="J126">
        <v>24.790465000000001</v>
      </c>
    </row>
    <row r="127" spans="1:10" x14ac:dyDescent="0.25">
      <c r="A127">
        <v>124</v>
      </c>
      <c r="B127" t="s">
        <v>30</v>
      </c>
      <c r="C127" t="s">
        <v>143</v>
      </c>
      <c r="D127">
        <v>49.290900999999998</v>
      </c>
      <c r="E127" t="s">
        <v>32</v>
      </c>
      <c r="F127" t="s">
        <v>159</v>
      </c>
      <c r="G127">
        <v>17.035492000000001</v>
      </c>
      <c r="H127" t="s">
        <v>33</v>
      </c>
      <c r="I127" t="s">
        <v>160</v>
      </c>
      <c r="J127">
        <v>23.960539000000001</v>
      </c>
    </row>
    <row r="128" spans="1:10" x14ac:dyDescent="0.25">
      <c r="A128">
        <v>125</v>
      </c>
      <c r="B128" t="s">
        <v>30</v>
      </c>
      <c r="C128" t="s">
        <v>143</v>
      </c>
      <c r="D128">
        <v>49.168745000000001</v>
      </c>
      <c r="E128" t="s">
        <v>32</v>
      </c>
      <c r="F128" t="s">
        <v>161</v>
      </c>
      <c r="G128">
        <v>17.664021999999999</v>
      </c>
      <c r="H128" t="s">
        <v>33</v>
      </c>
      <c r="I128" t="s">
        <v>160</v>
      </c>
      <c r="J128">
        <v>23.078166</v>
      </c>
    </row>
    <row r="129" spans="1:10" x14ac:dyDescent="0.25">
      <c r="A129">
        <v>126</v>
      </c>
      <c r="B129" t="s">
        <v>30</v>
      </c>
      <c r="C129" t="s">
        <v>143</v>
      </c>
      <c r="D129">
        <v>49.041831000000002</v>
      </c>
      <c r="E129" t="s">
        <v>32</v>
      </c>
      <c r="F129" t="s">
        <v>162</v>
      </c>
      <c r="G129">
        <v>18.336212</v>
      </c>
      <c r="H129" t="s">
        <v>33</v>
      </c>
      <c r="I129" t="s">
        <v>163</v>
      </c>
      <c r="J129">
        <v>22.141615000000002</v>
      </c>
    </row>
    <row r="130" spans="1:10" x14ac:dyDescent="0.25">
      <c r="A130">
        <v>127</v>
      </c>
      <c r="B130" t="s">
        <v>30</v>
      </c>
      <c r="C130" t="s">
        <v>143</v>
      </c>
      <c r="D130">
        <v>48.910015999999999</v>
      </c>
      <c r="E130" t="s">
        <v>32</v>
      </c>
      <c r="F130" t="s">
        <v>162</v>
      </c>
      <c r="G130">
        <v>19.053462</v>
      </c>
      <c r="H130" t="s">
        <v>33</v>
      </c>
      <c r="I130" t="s">
        <v>164</v>
      </c>
      <c r="J130">
        <v>21.149201000000001</v>
      </c>
    </row>
    <row r="131" spans="1:10" x14ac:dyDescent="0.25">
      <c r="A131">
        <v>128</v>
      </c>
      <c r="B131" t="s">
        <v>30</v>
      </c>
      <c r="C131" t="s">
        <v>143</v>
      </c>
      <c r="D131">
        <v>48.773156</v>
      </c>
      <c r="E131" t="s">
        <v>32</v>
      </c>
      <c r="F131" t="s">
        <v>162</v>
      </c>
      <c r="G131">
        <v>19.817128</v>
      </c>
      <c r="H131" t="s">
        <v>33</v>
      </c>
      <c r="I131" t="s">
        <v>165</v>
      </c>
      <c r="J131">
        <v>20.099295999999999</v>
      </c>
    </row>
    <row r="132" spans="1:10" x14ac:dyDescent="0.25">
      <c r="A132">
        <v>129</v>
      </c>
      <c r="B132" t="s">
        <v>30</v>
      </c>
      <c r="C132" t="s">
        <v>143</v>
      </c>
      <c r="D132">
        <v>48.631110999999997</v>
      </c>
      <c r="E132" t="s">
        <v>32</v>
      </c>
      <c r="F132" t="s">
        <v>162</v>
      </c>
      <c r="G132">
        <v>20.628504</v>
      </c>
      <c r="H132" t="s">
        <v>33</v>
      </c>
      <c r="I132" t="s">
        <v>166</v>
      </c>
      <c r="J132">
        <v>18.99034</v>
      </c>
    </row>
    <row r="133" spans="1:10" x14ac:dyDescent="0.25">
      <c r="A133">
        <v>130</v>
      </c>
      <c r="B133" t="s">
        <v>30</v>
      </c>
      <c r="C133" t="s">
        <v>143</v>
      </c>
      <c r="D133">
        <v>48.483739999999997</v>
      </c>
      <c r="E133" t="s">
        <v>32</v>
      </c>
      <c r="F133" t="s">
        <v>167</v>
      </c>
      <c r="G133">
        <v>21.488816</v>
      </c>
      <c r="H133" t="s">
        <v>33</v>
      </c>
      <c r="I133" t="s">
        <v>168</v>
      </c>
      <c r="J133">
        <v>17.820858000000001</v>
      </c>
    </row>
    <row r="134" spans="1:10" x14ac:dyDescent="0.25">
      <c r="A134">
        <v>131</v>
      </c>
      <c r="B134" t="s">
        <v>30</v>
      </c>
      <c r="C134" t="s">
        <v>143</v>
      </c>
      <c r="D134">
        <v>48.330907000000003</v>
      </c>
      <c r="E134" t="s">
        <v>32</v>
      </c>
      <c r="F134" t="s">
        <v>167</v>
      </c>
      <c r="G134">
        <v>22.399206</v>
      </c>
      <c r="H134" t="s">
        <v>33</v>
      </c>
      <c r="I134" t="s">
        <v>169</v>
      </c>
      <c r="J134">
        <v>16.589473000000002</v>
      </c>
    </row>
    <row r="135" spans="1:10" x14ac:dyDescent="0.25">
      <c r="A135">
        <v>132</v>
      </c>
      <c r="B135" t="s">
        <v>30</v>
      </c>
      <c r="C135" t="s">
        <v>170</v>
      </c>
      <c r="D135">
        <v>48.172476000000003</v>
      </c>
      <c r="E135" t="s">
        <v>32</v>
      </c>
      <c r="F135" t="s">
        <v>171</v>
      </c>
      <c r="G135">
        <v>23.360723</v>
      </c>
      <c r="H135" t="s">
        <v>33</v>
      </c>
      <c r="I135" t="s">
        <v>169</v>
      </c>
      <c r="J135">
        <v>15.294915</v>
      </c>
    </row>
    <row r="136" spans="1:10" x14ac:dyDescent="0.25">
      <c r="A136">
        <v>133</v>
      </c>
      <c r="B136" t="s">
        <v>30</v>
      </c>
      <c r="C136" t="s">
        <v>172</v>
      </c>
      <c r="D136">
        <v>48.008316000000001</v>
      </c>
      <c r="E136" t="s">
        <v>32</v>
      </c>
      <c r="F136" t="s">
        <v>173</v>
      </c>
      <c r="G136">
        <v>24.374309</v>
      </c>
      <c r="H136" t="s">
        <v>33</v>
      </c>
      <c r="I136" t="s">
        <v>169</v>
      </c>
      <c r="J136">
        <v>13.93604</v>
      </c>
    </row>
    <row r="137" spans="1:10" x14ac:dyDescent="0.25">
      <c r="A137">
        <v>134</v>
      </c>
      <c r="B137" t="s">
        <v>30</v>
      </c>
      <c r="C137" t="s">
        <v>174</v>
      </c>
      <c r="D137">
        <v>47.838296999999997</v>
      </c>
      <c r="E137" t="s">
        <v>32</v>
      </c>
      <c r="F137" t="s">
        <v>173</v>
      </c>
      <c r="G137">
        <v>25.440788000000001</v>
      </c>
      <c r="H137" t="s">
        <v>33</v>
      </c>
      <c r="I137" t="s">
        <v>175</v>
      </c>
      <c r="J137">
        <v>12.511837999999999</v>
      </c>
    </row>
    <row r="138" spans="1:10" x14ac:dyDescent="0.25">
      <c r="A138">
        <v>135</v>
      </c>
      <c r="B138" t="s">
        <v>30</v>
      </c>
      <c r="C138" t="s">
        <v>174</v>
      </c>
      <c r="D138">
        <v>47.662292000000001</v>
      </c>
      <c r="E138" t="s">
        <v>32</v>
      </c>
      <c r="F138" t="s">
        <v>176</v>
      </c>
      <c r="G138">
        <v>26.560856000000001</v>
      </c>
      <c r="H138" t="s">
        <v>33</v>
      </c>
      <c r="I138" t="s">
        <v>177</v>
      </c>
      <c r="J138">
        <v>11.02145</v>
      </c>
    </row>
    <row r="139" spans="1:10" x14ac:dyDescent="0.25">
      <c r="A139">
        <v>136</v>
      </c>
      <c r="B139" t="s">
        <v>30</v>
      </c>
      <c r="C139" t="s">
        <v>174</v>
      </c>
      <c r="D139">
        <v>47.480179999999997</v>
      </c>
      <c r="E139" t="s">
        <v>32</v>
      </c>
      <c r="F139" t="s">
        <v>178</v>
      </c>
      <c r="G139">
        <v>27.735064999999999</v>
      </c>
      <c r="H139" t="s">
        <v>33</v>
      </c>
      <c r="I139" t="s">
        <v>177</v>
      </c>
      <c r="J139">
        <v>9.4641719999999996</v>
      </c>
    </row>
    <row r="140" spans="1:10" x14ac:dyDescent="0.25">
      <c r="A140">
        <v>137</v>
      </c>
      <c r="B140" t="s">
        <v>30</v>
      </c>
      <c r="C140" t="s">
        <v>174</v>
      </c>
      <c r="D140">
        <v>47.291840000000001</v>
      </c>
      <c r="E140" t="s">
        <v>32</v>
      </c>
      <c r="F140" t="s">
        <v>178</v>
      </c>
      <c r="G140">
        <v>28.963820999999999</v>
      </c>
      <c r="H140" t="s">
        <v>33</v>
      </c>
      <c r="I140" t="s">
        <v>179</v>
      </c>
      <c r="J140">
        <v>7.8394719999999998</v>
      </c>
    </row>
    <row r="141" spans="1:10" x14ac:dyDescent="0.25">
      <c r="A141">
        <v>138</v>
      </c>
      <c r="B141" t="s">
        <v>30</v>
      </c>
      <c r="C141" t="s">
        <v>174</v>
      </c>
      <c r="D141">
        <v>47.097155999999998</v>
      </c>
      <c r="E141" t="s">
        <v>32</v>
      </c>
      <c r="F141" t="s">
        <v>178</v>
      </c>
      <c r="G141">
        <v>30.247368000000002</v>
      </c>
      <c r="H141" t="s">
        <v>33</v>
      </c>
      <c r="I141" t="s">
        <v>179</v>
      </c>
      <c r="J141">
        <v>6.1469909999999999</v>
      </c>
    </row>
    <row r="142" spans="1:10" x14ac:dyDescent="0.25">
      <c r="A142">
        <v>139</v>
      </c>
      <c r="B142" t="s">
        <v>30</v>
      </c>
      <c r="C142" t="s">
        <v>174</v>
      </c>
      <c r="D142">
        <v>46.896014000000001</v>
      </c>
      <c r="E142" t="s">
        <v>32</v>
      </c>
      <c r="F142" t="s">
        <v>180</v>
      </c>
      <c r="G142">
        <v>31.585784</v>
      </c>
      <c r="H142" t="s">
        <v>33</v>
      </c>
      <c r="I142" t="s">
        <v>181</v>
      </c>
      <c r="J142">
        <v>4.3865600000000002</v>
      </c>
    </row>
    <row r="143" spans="1:10" x14ac:dyDescent="0.25">
      <c r="A143">
        <v>140</v>
      </c>
      <c r="B143" t="s">
        <v>30</v>
      </c>
      <c r="C143" t="s">
        <v>174</v>
      </c>
      <c r="D143">
        <v>46.688305999999997</v>
      </c>
      <c r="E143" t="s">
        <v>32</v>
      </c>
      <c r="F143" t="s">
        <v>182</v>
      </c>
      <c r="G143">
        <v>32.978971999999999</v>
      </c>
      <c r="H143" t="s">
        <v>33</v>
      </c>
      <c r="I143" t="s">
        <v>183</v>
      </c>
      <c r="J143">
        <v>2.5581939999999999</v>
      </c>
    </row>
    <row r="144" spans="1:10" x14ac:dyDescent="0.25">
      <c r="A144">
        <v>141</v>
      </c>
      <c r="B144" t="s">
        <v>30</v>
      </c>
      <c r="C144" t="s">
        <v>174</v>
      </c>
      <c r="D144">
        <v>46.473922999999999</v>
      </c>
      <c r="E144" t="s">
        <v>32</v>
      </c>
      <c r="F144" t="s">
        <v>184</v>
      </c>
      <c r="G144">
        <v>34.426656999999999</v>
      </c>
      <c r="H144" t="s">
        <v>33</v>
      </c>
      <c r="I144" t="s">
        <v>185</v>
      </c>
      <c r="J144">
        <v>0.66210599999999997</v>
      </c>
    </row>
    <row r="145" spans="1:7" x14ac:dyDescent="0.25">
      <c r="A145">
        <v>142</v>
      </c>
      <c r="B145" t="s">
        <v>30</v>
      </c>
      <c r="C145" t="s">
        <v>174</v>
      </c>
      <c r="D145">
        <v>46.318316000000003</v>
      </c>
      <c r="E145" t="s">
        <v>32</v>
      </c>
      <c r="F145" t="s">
        <v>184</v>
      </c>
      <c r="G145">
        <v>34.783842</v>
      </c>
    </row>
    <row r="146" spans="1:7" x14ac:dyDescent="0.25">
      <c r="A146">
        <v>143</v>
      </c>
      <c r="B146" t="s">
        <v>30</v>
      </c>
      <c r="C146" t="s">
        <v>174</v>
      </c>
      <c r="D146">
        <v>46.192878999999998</v>
      </c>
      <c r="E146" t="s">
        <v>32</v>
      </c>
      <c r="F146" t="s">
        <v>184</v>
      </c>
      <c r="G146">
        <v>34.554296000000001</v>
      </c>
    </row>
    <row r="147" spans="1:7" x14ac:dyDescent="0.25">
      <c r="A147">
        <v>144</v>
      </c>
      <c r="B147" t="s">
        <v>30</v>
      </c>
      <c r="C147" t="s">
        <v>174</v>
      </c>
      <c r="D147">
        <v>46.064241000000003</v>
      </c>
      <c r="E147" t="s">
        <v>32</v>
      </c>
      <c r="F147" t="s">
        <v>186</v>
      </c>
      <c r="G147">
        <v>34.320427000000002</v>
      </c>
    </row>
    <row r="148" spans="1:7" x14ac:dyDescent="0.25">
      <c r="A148">
        <v>145</v>
      </c>
      <c r="B148" t="s">
        <v>30</v>
      </c>
      <c r="C148" t="s">
        <v>174</v>
      </c>
      <c r="D148">
        <v>45.932319</v>
      </c>
      <c r="E148" t="s">
        <v>32</v>
      </c>
      <c r="F148" t="s">
        <v>187</v>
      </c>
      <c r="G148">
        <v>34.08211</v>
      </c>
    </row>
    <row r="149" spans="1:7" x14ac:dyDescent="0.25">
      <c r="A149">
        <v>146</v>
      </c>
      <c r="B149" t="s">
        <v>30</v>
      </c>
      <c r="C149" t="s">
        <v>188</v>
      </c>
      <c r="D149">
        <v>45.797029000000002</v>
      </c>
      <c r="E149" t="s">
        <v>32</v>
      </c>
      <c r="F149" t="s">
        <v>187</v>
      </c>
      <c r="G149">
        <v>33.839216999999998</v>
      </c>
    </row>
    <row r="150" spans="1:7" x14ac:dyDescent="0.25">
      <c r="A150">
        <v>147</v>
      </c>
      <c r="B150" t="s">
        <v>30</v>
      </c>
      <c r="C150" t="s">
        <v>189</v>
      </c>
      <c r="D150">
        <v>45.658285999999997</v>
      </c>
      <c r="E150" t="s">
        <v>32</v>
      </c>
      <c r="F150" t="s">
        <v>190</v>
      </c>
      <c r="G150">
        <v>33.591613000000002</v>
      </c>
    </row>
    <row r="151" spans="1:7" x14ac:dyDescent="0.25">
      <c r="A151">
        <v>148</v>
      </c>
      <c r="B151" t="s">
        <v>30</v>
      </c>
      <c r="C151" t="s">
        <v>189</v>
      </c>
      <c r="D151">
        <v>45.516005</v>
      </c>
      <c r="E151" t="s">
        <v>32</v>
      </c>
      <c r="F151" t="s">
        <v>191</v>
      </c>
      <c r="G151">
        <v>33.339157999999998</v>
      </c>
    </row>
    <row r="152" spans="1:7" x14ac:dyDescent="0.25">
      <c r="A152">
        <v>149</v>
      </c>
      <c r="B152" t="s">
        <v>30</v>
      </c>
      <c r="C152" t="s">
        <v>189</v>
      </c>
      <c r="D152">
        <v>45.370099000000003</v>
      </c>
      <c r="E152" t="s">
        <v>32</v>
      </c>
      <c r="F152" t="s">
        <v>192</v>
      </c>
      <c r="G152">
        <v>33.081707000000002</v>
      </c>
    </row>
    <row r="153" spans="1:7" x14ac:dyDescent="0.25">
      <c r="A153">
        <v>150</v>
      </c>
      <c r="B153" t="s">
        <v>30</v>
      </c>
      <c r="C153" t="s">
        <v>189</v>
      </c>
      <c r="D153">
        <v>45.220483000000002</v>
      </c>
      <c r="E153" t="s">
        <v>32</v>
      </c>
      <c r="F153" t="s">
        <v>192</v>
      </c>
      <c r="G153">
        <v>32.819110999999999</v>
      </c>
    </row>
    <row r="154" spans="1:7" x14ac:dyDescent="0.25">
      <c r="A154">
        <v>151</v>
      </c>
      <c r="B154" t="s">
        <v>30</v>
      </c>
      <c r="C154" t="s">
        <v>189</v>
      </c>
      <c r="D154">
        <v>45.067067000000002</v>
      </c>
      <c r="E154" t="s">
        <v>32</v>
      </c>
      <c r="F154" t="s">
        <v>193</v>
      </c>
      <c r="G154">
        <v>32.551214000000002</v>
      </c>
    </row>
    <row r="155" spans="1:7" x14ac:dyDescent="0.25">
      <c r="A155">
        <v>152</v>
      </c>
      <c r="B155" t="s">
        <v>30</v>
      </c>
      <c r="C155" t="s">
        <v>189</v>
      </c>
      <c r="D155">
        <v>44.909765999999998</v>
      </c>
      <c r="E155" t="s">
        <v>32</v>
      </c>
      <c r="F155" t="s">
        <v>194</v>
      </c>
      <c r="G155">
        <v>32.277855000000002</v>
      </c>
    </row>
    <row r="156" spans="1:7" x14ac:dyDescent="0.25">
      <c r="A156">
        <v>153</v>
      </c>
      <c r="B156" t="s">
        <v>30</v>
      </c>
      <c r="C156" t="s">
        <v>189</v>
      </c>
      <c r="D156">
        <v>44.748491000000001</v>
      </c>
      <c r="E156" t="s">
        <v>32</v>
      </c>
      <c r="F156" t="s">
        <v>194</v>
      </c>
      <c r="G156">
        <v>31.998864999999999</v>
      </c>
    </row>
    <row r="157" spans="1:7" x14ac:dyDescent="0.25">
      <c r="A157">
        <v>154</v>
      </c>
      <c r="B157" t="s">
        <v>30</v>
      </c>
      <c r="C157" t="s">
        <v>189</v>
      </c>
      <c r="D157">
        <v>44.583154999999998</v>
      </c>
      <c r="E157" t="s">
        <v>32</v>
      </c>
      <c r="F157" t="s">
        <v>195</v>
      </c>
      <c r="G157">
        <v>31.714072000000002</v>
      </c>
    </row>
    <row r="158" spans="1:7" x14ac:dyDescent="0.25">
      <c r="A158">
        <v>155</v>
      </c>
      <c r="B158" t="s">
        <v>30</v>
      </c>
      <c r="C158" t="s">
        <v>189</v>
      </c>
      <c r="D158">
        <v>44.413668999999999</v>
      </c>
      <c r="E158" t="s">
        <v>32</v>
      </c>
      <c r="F158" t="s">
        <v>196</v>
      </c>
      <c r="G158">
        <v>31.423295</v>
      </c>
    </row>
    <row r="159" spans="1:7" x14ac:dyDescent="0.25">
      <c r="A159">
        <v>156</v>
      </c>
      <c r="B159" t="s">
        <v>30</v>
      </c>
      <c r="C159" t="s">
        <v>189</v>
      </c>
      <c r="D159">
        <v>44.239947000000001</v>
      </c>
      <c r="E159" t="s">
        <v>32</v>
      </c>
      <c r="F159" t="s">
        <v>196</v>
      </c>
      <c r="G159">
        <v>31.126346999999999</v>
      </c>
    </row>
    <row r="160" spans="1:7" x14ac:dyDescent="0.25">
      <c r="A160">
        <v>157</v>
      </c>
      <c r="B160" t="s">
        <v>30</v>
      </c>
      <c r="C160" t="s">
        <v>189</v>
      </c>
      <c r="D160">
        <v>44.061902000000003</v>
      </c>
      <c r="E160" t="s">
        <v>32</v>
      </c>
      <c r="F160" t="s">
        <v>196</v>
      </c>
      <c r="G160">
        <v>30.823035999999998</v>
      </c>
    </row>
    <row r="161" spans="1:7" x14ac:dyDescent="0.25">
      <c r="A161">
        <v>158</v>
      </c>
      <c r="B161" t="s">
        <v>30</v>
      </c>
      <c r="C161" t="s">
        <v>197</v>
      </c>
      <c r="D161">
        <v>43.879447999999996</v>
      </c>
      <c r="E161" t="s">
        <v>32</v>
      </c>
      <c r="F161" t="s">
        <v>198</v>
      </c>
      <c r="G161">
        <v>30.513159999999999</v>
      </c>
    </row>
    <row r="162" spans="1:7" x14ac:dyDescent="0.25">
      <c r="A162">
        <v>159</v>
      </c>
      <c r="B162" t="s">
        <v>30</v>
      </c>
      <c r="C162" t="s">
        <v>197</v>
      </c>
      <c r="D162">
        <v>43.692498999999998</v>
      </c>
      <c r="E162" t="s">
        <v>32</v>
      </c>
      <c r="F162" t="s">
        <v>198</v>
      </c>
      <c r="G162">
        <v>30.19651</v>
      </c>
    </row>
    <row r="163" spans="1:7" x14ac:dyDescent="0.25">
      <c r="A163">
        <v>160</v>
      </c>
      <c r="B163" t="s">
        <v>30</v>
      </c>
      <c r="C163" t="s">
        <v>197</v>
      </c>
      <c r="D163">
        <v>43.500971999999997</v>
      </c>
      <c r="E163" t="s">
        <v>32</v>
      </c>
      <c r="F163" t="s">
        <v>198</v>
      </c>
      <c r="G163">
        <v>29.872872000000001</v>
      </c>
    </row>
    <row r="164" spans="1:7" x14ac:dyDescent="0.25">
      <c r="A164">
        <v>161</v>
      </c>
      <c r="B164" t="s">
        <v>30</v>
      </c>
      <c r="C164" t="s">
        <v>197</v>
      </c>
      <c r="D164">
        <v>43.304783999999998</v>
      </c>
      <c r="E164" t="s">
        <v>32</v>
      </c>
      <c r="F164" t="s">
        <v>199</v>
      </c>
      <c r="G164">
        <v>29.542021999999999</v>
      </c>
    </row>
    <row r="165" spans="1:7" x14ac:dyDescent="0.25">
      <c r="A165">
        <v>162</v>
      </c>
      <c r="B165" t="s">
        <v>30</v>
      </c>
      <c r="C165" t="s">
        <v>197</v>
      </c>
      <c r="D165">
        <v>43.103853000000001</v>
      </c>
      <c r="E165" t="s">
        <v>32</v>
      </c>
      <c r="F165" t="s">
        <v>200</v>
      </c>
      <c r="G165">
        <v>29.203727000000001</v>
      </c>
    </row>
    <row r="166" spans="1:7" x14ac:dyDescent="0.25">
      <c r="A166">
        <v>163</v>
      </c>
      <c r="B166" t="s">
        <v>30</v>
      </c>
      <c r="C166" t="s">
        <v>197</v>
      </c>
      <c r="D166">
        <v>42.898100999999997</v>
      </c>
      <c r="E166" t="s">
        <v>32</v>
      </c>
      <c r="F166" t="s">
        <v>200</v>
      </c>
      <c r="G166">
        <v>28.857748000000001</v>
      </c>
    </row>
    <row r="167" spans="1:7" x14ac:dyDescent="0.25">
      <c r="A167">
        <v>164</v>
      </c>
      <c r="B167" t="s">
        <v>30</v>
      </c>
      <c r="C167" t="s">
        <v>197</v>
      </c>
      <c r="D167">
        <v>42.687448000000003</v>
      </c>
      <c r="E167" t="s">
        <v>32</v>
      </c>
      <c r="F167" t="s">
        <v>201</v>
      </c>
      <c r="G167">
        <v>28.503836</v>
      </c>
    </row>
    <row r="168" spans="1:7" x14ac:dyDescent="0.25">
      <c r="A168">
        <v>165</v>
      </c>
      <c r="B168" t="s">
        <v>30</v>
      </c>
      <c r="C168" t="s">
        <v>197</v>
      </c>
      <c r="D168">
        <v>42.471820999999998</v>
      </c>
      <c r="E168" t="s">
        <v>32</v>
      </c>
      <c r="F168" t="s">
        <v>201</v>
      </c>
      <c r="G168">
        <v>28.141731</v>
      </c>
    </row>
    <row r="169" spans="1:7" x14ac:dyDescent="0.25">
      <c r="A169">
        <v>166</v>
      </c>
      <c r="B169" t="s">
        <v>30</v>
      </c>
      <c r="C169" t="s">
        <v>197</v>
      </c>
      <c r="D169">
        <v>42.251143999999996</v>
      </c>
      <c r="E169" t="s">
        <v>32</v>
      </c>
      <c r="F169" t="s">
        <v>201</v>
      </c>
      <c r="G169">
        <v>27.771166000000001</v>
      </c>
    </row>
    <row r="170" spans="1:7" x14ac:dyDescent="0.25">
      <c r="A170">
        <v>167</v>
      </c>
      <c r="B170" t="s">
        <v>30</v>
      </c>
      <c r="C170" t="s">
        <v>202</v>
      </c>
      <c r="D170">
        <v>42.025346999999996</v>
      </c>
      <c r="E170" t="s">
        <v>32</v>
      </c>
      <c r="F170" t="s">
        <v>203</v>
      </c>
      <c r="G170">
        <v>27.391864000000002</v>
      </c>
    </row>
    <row r="171" spans="1:7" x14ac:dyDescent="0.25">
      <c r="A171">
        <v>168</v>
      </c>
      <c r="B171" t="s">
        <v>30</v>
      </c>
      <c r="C171" t="s">
        <v>202</v>
      </c>
      <c r="D171">
        <v>41.794362</v>
      </c>
      <c r="E171" t="s">
        <v>32</v>
      </c>
      <c r="F171" t="s">
        <v>203</v>
      </c>
      <c r="G171">
        <v>27.003536</v>
      </c>
    </row>
    <row r="172" spans="1:7" x14ac:dyDescent="0.25">
      <c r="A172">
        <v>169</v>
      </c>
      <c r="B172" t="s">
        <v>30</v>
      </c>
      <c r="C172" t="s">
        <v>202</v>
      </c>
      <c r="D172">
        <v>41.558121</v>
      </c>
      <c r="E172" t="s">
        <v>32</v>
      </c>
      <c r="F172" t="s">
        <v>204</v>
      </c>
      <c r="G172">
        <v>26.605882999999999</v>
      </c>
    </row>
    <row r="173" spans="1:7" x14ac:dyDescent="0.25">
      <c r="A173">
        <v>170</v>
      </c>
      <c r="B173" t="s">
        <v>30</v>
      </c>
      <c r="C173" t="s">
        <v>202</v>
      </c>
      <c r="D173">
        <v>41.316563000000002</v>
      </c>
      <c r="E173" t="s">
        <v>32</v>
      </c>
      <c r="F173" t="s">
        <v>205</v>
      </c>
      <c r="G173">
        <v>26.198595999999998</v>
      </c>
    </row>
    <row r="174" spans="1:7" x14ac:dyDescent="0.25">
      <c r="A174">
        <v>171</v>
      </c>
      <c r="B174" t="s">
        <v>30</v>
      </c>
      <c r="C174" t="s">
        <v>202</v>
      </c>
      <c r="D174">
        <v>41.069625000000002</v>
      </c>
      <c r="E174" t="s">
        <v>32</v>
      </c>
      <c r="F174" t="s">
        <v>205</v>
      </c>
      <c r="G174">
        <v>25.781351999999998</v>
      </c>
    </row>
    <row r="175" spans="1:7" x14ac:dyDescent="0.25">
      <c r="A175">
        <v>172</v>
      </c>
      <c r="B175" t="s">
        <v>30</v>
      </c>
      <c r="C175" t="s">
        <v>202</v>
      </c>
      <c r="D175">
        <v>40.817250999999999</v>
      </c>
      <c r="E175" t="s">
        <v>32</v>
      </c>
      <c r="F175" t="s">
        <v>205</v>
      </c>
      <c r="G175">
        <v>25.353816999999999</v>
      </c>
    </row>
    <row r="176" spans="1:7" x14ac:dyDescent="0.25">
      <c r="A176">
        <v>173</v>
      </c>
      <c r="B176" t="s">
        <v>30</v>
      </c>
      <c r="C176" t="s">
        <v>202</v>
      </c>
      <c r="D176">
        <v>40.559384999999999</v>
      </c>
      <c r="E176" t="s">
        <v>32</v>
      </c>
      <c r="F176" t="s">
        <v>206</v>
      </c>
      <c r="G176">
        <v>24.915645000000001</v>
      </c>
    </row>
    <row r="177" spans="1:7" x14ac:dyDescent="0.25">
      <c r="A177">
        <v>174</v>
      </c>
      <c r="B177" t="s">
        <v>30</v>
      </c>
      <c r="C177" t="s">
        <v>207</v>
      </c>
      <c r="D177">
        <v>40.295972999999996</v>
      </c>
      <c r="E177" t="s">
        <v>32</v>
      </c>
      <c r="F177" t="s">
        <v>206</v>
      </c>
      <c r="G177">
        <v>24.466474000000002</v>
      </c>
    </row>
    <row r="178" spans="1:7" x14ac:dyDescent="0.25">
      <c r="A178">
        <v>175</v>
      </c>
      <c r="B178" t="s">
        <v>30</v>
      </c>
      <c r="C178" t="s">
        <v>208</v>
      </c>
      <c r="D178">
        <v>40.026966999999999</v>
      </c>
      <c r="E178" t="s">
        <v>32</v>
      </c>
      <c r="F178" t="s">
        <v>209</v>
      </c>
      <c r="G178">
        <v>24.005929999999999</v>
      </c>
    </row>
    <row r="179" spans="1:7" x14ac:dyDescent="0.25">
      <c r="A179">
        <v>176</v>
      </c>
      <c r="B179" t="s">
        <v>30</v>
      </c>
      <c r="C179" t="s">
        <v>208</v>
      </c>
      <c r="D179">
        <v>39.752316999999998</v>
      </c>
      <c r="E179" t="s">
        <v>32</v>
      </c>
      <c r="F179" t="s">
        <v>210</v>
      </c>
      <c r="G179">
        <v>23.533621</v>
      </c>
    </row>
    <row r="180" spans="1:7" x14ac:dyDescent="0.25">
      <c r="A180">
        <v>177</v>
      </c>
      <c r="B180" t="s">
        <v>30</v>
      </c>
      <c r="C180" t="s">
        <v>208</v>
      </c>
      <c r="D180">
        <v>39.471978</v>
      </c>
      <c r="E180" t="s">
        <v>32</v>
      </c>
      <c r="F180" t="s">
        <v>211</v>
      </c>
      <c r="G180">
        <v>23.049142</v>
      </c>
    </row>
    <row r="181" spans="1:7" x14ac:dyDescent="0.25">
      <c r="A181">
        <v>178</v>
      </c>
      <c r="B181" t="s">
        <v>30</v>
      </c>
      <c r="C181" t="s">
        <v>208</v>
      </c>
      <c r="D181">
        <v>39.185904999999998</v>
      </c>
      <c r="E181" t="s">
        <v>32</v>
      </c>
      <c r="F181" t="s">
        <v>211</v>
      </c>
      <c r="G181">
        <v>22.552068999999999</v>
      </c>
    </row>
    <row r="182" spans="1:7" x14ac:dyDescent="0.25">
      <c r="A182">
        <v>179</v>
      </c>
      <c r="B182" t="s">
        <v>30</v>
      </c>
      <c r="C182" t="s">
        <v>208</v>
      </c>
      <c r="D182">
        <v>38.894055999999999</v>
      </c>
      <c r="E182" t="s">
        <v>32</v>
      </c>
      <c r="F182" t="s">
        <v>212</v>
      </c>
      <c r="G182">
        <v>22.041961000000001</v>
      </c>
    </row>
    <row r="183" spans="1:7" x14ac:dyDescent="0.25">
      <c r="A183">
        <v>180</v>
      </c>
      <c r="B183" t="s">
        <v>30</v>
      </c>
      <c r="C183" t="s">
        <v>208</v>
      </c>
      <c r="D183">
        <v>38.59639</v>
      </c>
      <c r="E183" t="s">
        <v>32</v>
      </c>
      <c r="F183" t="s">
        <v>212</v>
      </c>
      <c r="G183">
        <v>21.518355</v>
      </c>
    </row>
    <row r="184" spans="1:7" x14ac:dyDescent="0.25">
      <c r="A184">
        <v>181</v>
      </c>
      <c r="B184" t="s">
        <v>30</v>
      </c>
      <c r="C184" t="s">
        <v>213</v>
      </c>
      <c r="D184">
        <v>38.292864000000002</v>
      </c>
      <c r="E184" t="s">
        <v>32</v>
      </c>
      <c r="F184" t="s">
        <v>212</v>
      </c>
      <c r="G184">
        <v>20.980772000000002</v>
      </c>
    </row>
    <row r="185" spans="1:7" x14ac:dyDescent="0.25">
      <c r="A185">
        <v>182</v>
      </c>
      <c r="B185" t="s">
        <v>30</v>
      </c>
      <c r="C185" t="s">
        <v>214</v>
      </c>
      <c r="D185">
        <v>37.983437000000002</v>
      </c>
      <c r="E185" t="s">
        <v>32</v>
      </c>
      <c r="F185" t="s">
        <v>215</v>
      </c>
      <c r="G185">
        <v>20.428705999999998</v>
      </c>
    </row>
    <row r="186" spans="1:7" x14ac:dyDescent="0.25">
      <c r="A186">
        <v>183</v>
      </c>
      <c r="B186" t="s">
        <v>30</v>
      </c>
      <c r="C186" t="s">
        <v>214</v>
      </c>
      <c r="D186">
        <v>37.668067999999998</v>
      </c>
      <c r="E186" t="s">
        <v>32</v>
      </c>
      <c r="F186" t="s">
        <v>216</v>
      </c>
      <c r="G186">
        <v>19.861630999999999</v>
      </c>
    </row>
    <row r="187" spans="1:7" x14ac:dyDescent="0.25">
      <c r="A187">
        <v>184</v>
      </c>
      <c r="B187" t="s">
        <v>30</v>
      </c>
      <c r="C187" t="s">
        <v>214</v>
      </c>
      <c r="D187">
        <v>37.346713000000001</v>
      </c>
      <c r="E187" t="s">
        <v>32</v>
      </c>
      <c r="F187" t="s">
        <v>217</v>
      </c>
      <c r="G187">
        <v>19.278994000000001</v>
      </c>
    </row>
    <row r="188" spans="1:7" x14ac:dyDescent="0.25">
      <c r="A188">
        <v>185</v>
      </c>
      <c r="B188" t="s">
        <v>30</v>
      </c>
      <c r="C188" t="s">
        <v>214</v>
      </c>
      <c r="D188">
        <v>37.019326</v>
      </c>
      <c r="E188" t="s">
        <v>32</v>
      </c>
      <c r="F188" t="s">
        <v>217</v>
      </c>
      <c r="G188">
        <v>18.680213999999999</v>
      </c>
    </row>
    <row r="189" spans="1:7" x14ac:dyDescent="0.25">
      <c r="A189">
        <v>186</v>
      </c>
      <c r="B189" t="s">
        <v>30</v>
      </c>
      <c r="C189" t="s">
        <v>214</v>
      </c>
      <c r="D189">
        <v>36.685859000000001</v>
      </c>
      <c r="E189" t="s">
        <v>32</v>
      </c>
      <c r="F189" t="s">
        <v>218</v>
      </c>
      <c r="G189">
        <v>18.064682999999999</v>
      </c>
    </row>
    <row r="190" spans="1:7" x14ac:dyDescent="0.25">
      <c r="A190">
        <v>187</v>
      </c>
      <c r="B190" t="s">
        <v>30</v>
      </c>
      <c r="C190" t="s">
        <v>219</v>
      </c>
      <c r="D190">
        <v>36.346259000000003</v>
      </c>
      <c r="E190" t="s">
        <v>32</v>
      </c>
      <c r="F190" t="s">
        <v>220</v>
      </c>
      <c r="G190">
        <v>17.431760000000001</v>
      </c>
    </row>
    <row r="191" spans="1:7" x14ac:dyDescent="0.25">
      <c r="A191">
        <v>188</v>
      </c>
      <c r="B191" t="s">
        <v>30</v>
      </c>
      <c r="C191" t="s">
        <v>221</v>
      </c>
      <c r="D191">
        <v>36.000469000000002</v>
      </c>
      <c r="E191" t="s">
        <v>32</v>
      </c>
      <c r="F191" t="s">
        <v>220</v>
      </c>
      <c r="G191">
        <v>16.780768999999999</v>
      </c>
    </row>
    <row r="192" spans="1:7" x14ac:dyDescent="0.25">
      <c r="A192">
        <v>189</v>
      </c>
      <c r="B192" t="s">
        <v>30</v>
      </c>
      <c r="C192" t="s">
        <v>221</v>
      </c>
      <c r="D192">
        <v>35.648426999999998</v>
      </c>
      <c r="E192" t="s">
        <v>32</v>
      </c>
      <c r="F192" t="s">
        <v>222</v>
      </c>
      <c r="G192">
        <v>16.110999</v>
      </c>
    </row>
    <row r="193" spans="1:7" x14ac:dyDescent="0.25">
      <c r="A193">
        <v>190</v>
      </c>
      <c r="B193" t="s">
        <v>30</v>
      </c>
      <c r="C193" t="s">
        <v>221</v>
      </c>
      <c r="D193">
        <v>35.290061999999999</v>
      </c>
      <c r="E193" t="s">
        <v>32</v>
      </c>
      <c r="F193" t="s">
        <v>223</v>
      </c>
      <c r="G193">
        <v>15.421697999999999</v>
      </c>
    </row>
    <row r="194" spans="1:7" x14ac:dyDescent="0.25">
      <c r="A194">
        <v>191</v>
      </c>
      <c r="B194" t="s">
        <v>30</v>
      </c>
      <c r="C194" t="s">
        <v>221</v>
      </c>
      <c r="D194">
        <v>34.925296000000003</v>
      </c>
      <c r="E194" t="s">
        <v>32</v>
      </c>
      <c r="F194" t="s">
        <v>223</v>
      </c>
      <c r="G194">
        <v>14.712073</v>
      </c>
    </row>
    <row r="195" spans="1:7" x14ac:dyDescent="0.25">
      <c r="A195">
        <v>192</v>
      </c>
      <c r="B195" t="s">
        <v>30</v>
      </c>
      <c r="C195" t="s">
        <v>221</v>
      </c>
      <c r="D195">
        <v>34.554040999999998</v>
      </c>
      <c r="E195" t="s">
        <v>32</v>
      </c>
      <c r="F195" t="s">
        <v>224</v>
      </c>
      <c r="G195">
        <v>13.981280999999999</v>
      </c>
    </row>
    <row r="196" spans="1:7" x14ac:dyDescent="0.25">
      <c r="A196">
        <v>193</v>
      </c>
      <c r="B196" t="s">
        <v>30</v>
      </c>
      <c r="C196" t="s">
        <v>225</v>
      </c>
      <c r="D196">
        <v>34.176198999999997</v>
      </c>
      <c r="E196" t="s">
        <v>32</v>
      </c>
      <c r="F196" t="s">
        <v>224</v>
      </c>
      <c r="G196">
        <v>13.228431</v>
      </c>
    </row>
    <row r="197" spans="1:7" x14ac:dyDescent="0.25">
      <c r="A197">
        <v>194</v>
      </c>
      <c r="B197" t="s">
        <v>30</v>
      </c>
      <c r="C197" t="s">
        <v>226</v>
      </c>
      <c r="D197">
        <v>33.791659000000003</v>
      </c>
      <c r="E197" t="s">
        <v>32</v>
      </c>
      <c r="F197" t="s">
        <v>227</v>
      </c>
      <c r="G197">
        <v>12.452577</v>
      </c>
    </row>
    <row r="198" spans="1:7" x14ac:dyDescent="0.25">
      <c r="A198">
        <v>195</v>
      </c>
      <c r="B198" t="s">
        <v>30</v>
      </c>
      <c r="C198" t="s">
        <v>226</v>
      </c>
      <c r="D198">
        <v>33.400297999999999</v>
      </c>
      <c r="E198" t="s">
        <v>32</v>
      </c>
      <c r="F198" t="s">
        <v>228</v>
      </c>
      <c r="G198">
        <v>11.652711999999999</v>
      </c>
    </row>
    <row r="199" spans="1:7" x14ac:dyDescent="0.25">
      <c r="A199">
        <v>196</v>
      </c>
      <c r="B199" t="s">
        <v>30</v>
      </c>
      <c r="C199" t="s">
        <v>226</v>
      </c>
      <c r="D199">
        <v>33.001975000000002</v>
      </c>
      <c r="E199" t="s">
        <v>32</v>
      </c>
      <c r="F199" t="s">
        <v>229</v>
      </c>
      <c r="G199">
        <v>10.827768000000001</v>
      </c>
    </row>
    <row r="200" spans="1:7" x14ac:dyDescent="0.25">
      <c r="A200">
        <v>197</v>
      </c>
      <c r="B200" t="s">
        <v>30</v>
      </c>
      <c r="C200" t="s">
        <v>226</v>
      </c>
      <c r="D200">
        <v>32.596535000000003</v>
      </c>
      <c r="E200" t="s">
        <v>32</v>
      </c>
      <c r="F200" t="s">
        <v>230</v>
      </c>
      <c r="G200">
        <v>9.9766019999999997</v>
      </c>
    </row>
    <row r="201" spans="1:7" x14ac:dyDescent="0.25">
      <c r="A201">
        <v>198</v>
      </c>
      <c r="B201" t="s">
        <v>30</v>
      </c>
      <c r="C201" t="s">
        <v>226</v>
      </c>
      <c r="D201">
        <v>32.183802</v>
      </c>
      <c r="E201" t="s">
        <v>32</v>
      </c>
      <c r="F201" t="s">
        <v>231</v>
      </c>
      <c r="G201">
        <v>9.0979980000000005</v>
      </c>
    </row>
    <row r="202" spans="1:7" x14ac:dyDescent="0.25">
      <c r="A202">
        <v>199</v>
      </c>
      <c r="B202" t="s">
        <v>30</v>
      </c>
      <c r="C202" t="s">
        <v>232</v>
      </c>
      <c r="D202">
        <v>31.763580999999999</v>
      </c>
      <c r="E202" t="s">
        <v>32</v>
      </c>
      <c r="F202" t="s">
        <v>231</v>
      </c>
      <c r="G202">
        <v>8.1906549999999996</v>
      </c>
    </row>
    <row r="203" spans="1:7" x14ac:dyDescent="0.25">
      <c r="A203">
        <v>200</v>
      </c>
      <c r="B203" t="s">
        <v>30</v>
      </c>
      <c r="C203" t="s">
        <v>232</v>
      </c>
      <c r="D203">
        <v>31.335653000000001</v>
      </c>
      <c r="E203" t="s">
        <v>32</v>
      </c>
      <c r="F203" t="s">
        <v>233</v>
      </c>
      <c r="G203">
        <v>7.2531800000000004</v>
      </c>
    </row>
    <row r="204" spans="1:7" x14ac:dyDescent="0.25">
      <c r="A204">
        <v>201</v>
      </c>
      <c r="B204" t="s">
        <v>30</v>
      </c>
      <c r="C204" t="s">
        <v>232</v>
      </c>
      <c r="D204">
        <v>30.899775999999999</v>
      </c>
      <c r="E204" t="s">
        <v>32</v>
      </c>
      <c r="F204" t="s">
        <v>234</v>
      </c>
      <c r="G204">
        <v>6.2840829999999999</v>
      </c>
    </row>
    <row r="205" spans="1:7" x14ac:dyDescent="0.25">
      <c r="A205">
        <v>202</v>
      </c>
      <c r="B205" t="s">
        <v>30</v>
      </c>
      <c r="C205" t="s">
        <v>232</v>
      </c>
      <c r="D205">
        <v>30.455679</v>
      </c>
      <c r="E205" t="s">
        <v>32</v>
      </c>
      <c r="F205" t="s">
        <v>235</v>
      </c>
      <c r="G205">
        <v>5.2817639999999999</v>
      </c>
    </row>
    <row r="206" spans="1:7" x14ac:dyDescent="0.25">
      <c r="A206">
        <v>203</v>
      </c>
      <c r="B206" t="s">
        <v>30</v>
      </c>
      <c r="C206" t="s">
        <v>232</v>
      </c>
      <c r="D206">
        <v>30.003062</v>
      </c>
      <c r="E206" t="s">
        <v>32</v>
      </c>
      <c r="F206" t="s">
        <v>236</v>
      </c>
      <c r="G206">
        <v>4.2445019999999998</v>
      </c>
    </row>
    <row r="207" spans="1:7" x14ac:dyDescent="0.25">
      <c r="A207">
        <v>204</v>
      </c>
      <c r="B207" t="s">
        <v>30</v>
      </c>
      <c r="C207" t="s">
        <v>237</v>
      </c>
      <c r="D207">
        <v>29.541592999999999</v>
      </c>
      <c r="E207" t="s">
        <v>32</v>
      </c>
      <c r="F207" t="s">
        <v>238</v>
      </c>
      <c r="G207">
        <v>3.1704490000000001</v>
      </c>
    </row>
    <row r="208" spans="1:7" x14ac:dyDescent="0.25">
      <c r="A208">
        <v>205</v>
      </c>
      <c r="B208" t="s">
        <v>30</v>
      </c>
      <c r="C208" t="s">
        <v>237</v>
      </c>
      <c r="D208">
        <v>29.070903999999999</v>
      </c>
      <c r="E208" t="s">
        <v>32</v>
      </c>
      <c r="F208" t="s">
        <v>239</v>
      </c>
      <c r="G208">
        <v>2.0576099999999999</v>
      </c>
    </row>
    <row r="209" spans="1:7" x14ac:dyDescent="0.25">
      <c r="A209">
        <v>206</v>
      </c>
      <c r="B209" t="s">
        <v>30</v>
      </c>
      <c r="C209" t="s">
        <v>237</v>
      </c>
      <c r="D209">
        <v>28.590589000000001</v>
      </c>
      <c r="E209" t="s">
        <v>32</v>
      </c>
      <c r="F209" t="s">
        <v>239</v>
      </c>
      <c r="G209">
        <v>0.903833</v>
      </c>
    </row>
    <row r="210" spans="1:7" x14ac:dyDescent="0.25">
      <c r="A210">
        <v>207</v>
      </c>
      <c r="B210" t="s">
        <v>30</v>
      </c>
      <c r="C210" t="s">
        <v>237</v>
      </c>
      <c r="D210">
        <v>28.012461999999999</v>
      </c>
    </row>
    <row r="211" spans="1:7" x14ac:dyDescent="0.25">
      <c r="A211">
        <v>208</v>
      </c>
      <c r="B211" t="s">
        <v>30</v>
      </c>
      <c r="C211" t="s">
        <v>237</v>
      </c>
      <c r="D211">
        <v>27.144545999999998</v>
      </c>
    </row>
    <row r="212" spans="1:7" x14ac:dyDescent="0.25">
      <c r="A212">
        <v>209</v>
      </c>
      <c r="B212" t="s">
        <v>30</v>
      </c>
      <c r="C212" t="s">
        <v>237</v>
      </c>
      <c r="D212">
        <v>26.259575000000002</v>
      </c>
    </row>
    <row r="213" spans="1:7" x14ac:dyDescent="0.25">
      <c r="A213">
        <v>210</v>
      </c>
      <c r="B213" t="s">
        <v>30</v>
      </c>
      <c r="C213" t="s">
        <v>240</v>
      </c>
      <c r="D213">
        <v>25.356983</v>
      </c>
    </row>
    <row r="214" spans="1:7" x14ac:dyDescent="0.25">
      <c r="A214">
        <v>211</v>
      </c>
      <c r="B214" t="s">
        <v>30</v>
      </c>
      <c r="C214" t="s">
        <v>240</v>
      </c>
      <c r="D214">
        <v>24.436176</v>
      </c>
    </row>
    <row r="215" spans="1:7" x14ac:dyDescent="0.25">
      <c r="A215">
        <v>212</v>
      </c>
      <c r="B215" t="s">
        <v>30</v>
      </c>
      <c r="C215" t="s">
        <v>240</v>
      </c>
      <c r="D215">
        <v>23.496521999999999</v>
      </c>
    </row>
    <row r="216" spans="1:7" x14ac:dyDescent="0.25">
      <c r="A216">
        <v>213</v>
      </c>
      <c r="B216" t="s">
        <v>30</v>
      </c>
      <c r="C216" t="s">
        <v>240</v>
      </c>
      <c r="D216">
        <v>22.537353</v>
      </c>
    </row>
    <row r="217" spans="1:7" x14ac:dyDescent="0.25">
      <c r="A217">
        <v>214</v>
      </c>
      <c r="B217" t="s">
        <v>30</v>
      </c>
      <c r="C217" t="s">
        <v>240</v>
      </c>
      <c r="D217">
        <v>21.557963999999998</v>
      </c>
    </row>
    <row r="218" spans="1:7" x14ac:dyDescent="0.25">
      <c r="A218">
        <v>215</v>
      </c>
      <c r="B218" t="s">
        <v>30</v>
      </c>
      <c r="C218" t="s">
        <v>240</v>
      </c>
      <c r="D218">
        <v>20.557603</v>
      </c>
    </row>
    <row r="219" spans="1:7" x14ac:dyDescent="0.25">
      <c r="A219">
        <v>216</v>
      </c>
      <c r="B219" t="s">
        <v>30</v>
      </c>
      <c r="C219" t="s">
        <v>240</v>
      </c>
      <c r="D219">
        <v>19.535477</v>
      </c>
    </row>
    <row r="220" spans="1:7" x14ac:dyDescent="0.25">
      <c r="A220">
        <v>217</v>
      </c>
      <c r="B220" t="s">
        <v>30</v>
      </c>
      <c r="C220" t="s">
        <v>241</v>
      </c>
      <c r="D220">
        <v>18.490743999999999</v>
      </c>
    </row>
    <row r="221" spans="1:7" x14ac:dyDescent="0.25">
      <c r="A221">
        <v>218</v>
      </c>
      <c r="B221" t="s">
        <v>30</v>
      </c>
      <c r="C221" t="s">
        <v>242</v>
      </c>
      <c r="D221">
        <v>17.422509000000002</v>
      </c>
    </row>
    <row r="222" spans="1:7" x14ac:dyDescent="0.25">
      <c r="A222">
        <v>219</v>
      </c>
      <c r="B222" t="s">
        <v>30</v>
      </c>
      <c r="C222" t="s">
        <v>242</v>
      </c>
      <c r="D222">
        <v>16.329823999999999</v>
      </c>
    </row>
    <row r="223" spans="1:7" x14ac:dyDescent="0.25">
      <c r="A223">
        <v>220</v>
      </c>
      <c r="B223" t="s">
        <v>30</v>
      </c>
      <c r="C223" t="s">
        <v>242</v>
      </c>
      <c r="D223">
        <v>15.211679</v>
      </c>
    </row>
    <row r="224" spans="1:7" x14ac:dyDescent="0.25">
      <c r="A224">
        <v>221</v>
      </c>
      <c r="B224" t="s">
        <v>30</v>
      </c>
      <c r="C224" t="s">
        <v>242</v>
      </c>
      <c r="D224">
        <v>14.067003</v>
      </c>
    </row>
    <row r="225" spans="1:4" x14ac:dyDescent="0.25">
      <c r="A225">
        <v>222</v>
      </c>
      <c r="B225" t="s">
        <v>30</v>
      </c>
      <c r="C225" t="s">
        <v>242</v>
      </c>
      <c r="D225">
        <v>12.894655</v>
      </c>
    </row>
    <row r="226" spans="1:4" x14ac:dyDescent="0.25">
      <c r="A226">
        <v>223</v>
      </c>
      <c r="B226" t="s">
        <v>30</v>
      </c>
      <c r="C226" t="s">
        <v>242</v>
      </c>
      <c r="D226">
        <v>11.693421000000001</v>
      </c>
    </row>
    <row r="227" spans="1:4" x14ac:dyDescent="0.25">
      <c r="A227">
        <v>224</v>
      </c>
      <c r="B227" t="s">
        <v>30</v>
      </c>
      <c r="C227" t="s">
        <v>242</v>
      </c>
      <c r="D227">
        <v>10.462008000000001</v>
      </c>
    </row>
    <row r="228" spans="1:4" x14ac:dyDescent="0.25">
      <c r="A228">
        <v>225</v>
      </c>
      <c r="B228" t="s">
        <v>30</v>
      </c>
      <c r="C228" t="s">
        <v>243</v>
      </c>
      <c r="D228">
        <v>9.1990370000000006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Phases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easyMelts</dc:creator>
  <cp:lastModifiedBy>Xinru Zhang</cp:lastModifiedBy>
  <dcterms:created xsi:type="dcterms:W3CDTF">2019-08-16T00:34:14Z</dcterms:created>
  <dcterms:modified xsi:type="dcterms:W3CDTF">2025-09-01T07:14:46Z</dcterms:modified>
</cp:coreProperties>
</file>