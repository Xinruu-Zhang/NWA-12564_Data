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ang\Desktop\"/>
    </mc:Choice>
  </mc:AlternateContent>
  <xr:revisionPtr revIDLastSave="0" documentId="13_ncr:1_{EEC68048-EA75-40C0-9402-746D7FF821B4}" xr6:coauthVersionLast="47" xr6:coauthVersionMax="47" xr10:uidLastSave="{00000000-0000-0000-0000-000000000000}"/>
  <bookViews>
    <workbookView xWindow="-108" yWindow="12852" windowWidth="23256" windowHeight="12456" xr2:uid="{FF49B81A-127A-B44C-A44B-FF0F3EF8FCF9}"/>
  </bookViews>
  <sheets>
    <sheet name="Data" sheetId="1" r:id="rId1"/>
    <sheet name="Phase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N18" i="1" l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13" i="1"/>
  <c r="AN14" i="1"/>
  <c r="AN15" i="1"/>
  <c r="AN16" i="1"/>
  <c r="AN17" i="1"/>
</calcChain>
</file>

<file path=xl/sharedStrings.xml><?xml version="1.0" encoding="utf-8"?>
<sst xmlns="http://schemas.openxmlformats.org/spreadsheetml/2006/main" count="353" uniqueCount="56">
  <si>
    <t>System properties (no fractionated)</t>
  </si>
  <si>
    <t>Masses</t>
  </si>
  <si>
    <t>Liquid composition wt%</t>
  </si>
  <si>
    <t>Solids in eq with liquid</t>
  </si>
  <si>
    <t>Index</t>
  </si>
  <si>
    <t>Mode</t>
  </si>
  <si>
    <t>T (C)</t>
  </si>
  <si>
    <t>P (bar)</t>
  </si>
  <si>
    <t>log fO2</t>
  </si>
  <si>
    <t>G (J)</t>
  </si>
  <si>
    <t>H (J)</t>
  </si>
  <si>
    <t>S (J/K)</t>
  </si>
  <si>
    <t>Cp (J)</t>
  </si>
  <si>
    <t>V (cm3)</t>
  </si>
  <si>
    <t>density (g/cm3)</t>
  </si>
  <si>
    <t>viscosity (log poise)</t>
  </si>
  <si>
    <t>m (total)</t>
  </si>
  <si>
    <t>m (melt)</t>
  </si>
  <si>
    <t>m (solid)</t>
  </si>
  <si>
    <t>m (frac)</t>
  </si>
  <si>
    <t>m (assim)</t>
  </si>
  <si>
    <t>SiO2</t>
  </si>
  <si>
    <t>TiO2</t>
  </si>
  <si>
    <t>Al2O3</t>
  </si>
  <si>
    <t>Fe2O3</t>
  </si>
  <si>
    <t>Cr2O3</t>
  </si>
  <si>
    <t>FeO</t>
  </si>
  <si>
    <t>MnO</t>
  </si>
  <si>
    <t>MgO</t>
  </si>
  <si>
    <t>NiO</t>
  </si>
  <si>
    <t>CoO</t>
  </si>
  <si>
    <t>CaO</t>
  </si>
  <si>
    <t>Na2O</t>
  </si>
  <si>
    <t>K2O</t>
  </si>
  <si>
    <t>P2O5</t>
  </si>
  <si>
    <t>H2O</t>
  </si>
  <si>
    <t>CO2</t>
  </si>
  <si>
    <t>SO3</t>
  </si>
  <si>
    <t>Cl2O-1</t>
  </si>
  <si>
    <t>F2O-1</t>
  </si>
  <si>
    <t>olivine</t>
  </si>
  <si>
    <t>orthopyroxene</t>
  </si>
  <si>
    <t>Isothermal</t>
  </si>
  <si>
    <t>Vsol&gt;Vliq</t>
  </si>
  <si>
    <t>Solid and fluid phases in equilibrium with the melt (and to be fractionated before next equilibration step if fractionation is active)</t>
  </si>
  <si>
    <t>Step</t>
  </si>
  <si>
    <t>Label</t>
  </si>
  <si>
    <t>Formula</t>
  </si>
  <si>
    <t>Mass</t>
  </si>
  <si>
    <t>(Ca0.01Mg0.76Fe''0.23Mn0.01Co0.00Ni0.00)2SiO4</t>
  </si>
  <si>
    <t>opx Na0.00Ca0.09Fe''0.35Mg1.50Fe'''0.00Ti0.00Al0.12Si1.94O6</t>
  </si>
  <si>
    <t>opx Na0.00Ca0.09Fe''0.35Mg1.50Fe'''0.00Ti0.00Al0.11Si1.94O6</t>
  </si>
  <si>
    <t>opx Na0.00Ca0.09Fe''0.35Mg1.51Fe'''0.00Ti0.00Al0.11Si1.94O6</t>
  </si>
  <si>
    <t>opx Na0.00Ca0.09Fe''0.34Mg1.51Fe'''0.00Ti0.00Al0.11Si1.94O6</t>
  </si>
  <si>
    <t>opx Na0.00Ca0.08Fe''0.34Mg1.51Fe'''0.00Ti0.00Al0.11Si1.94O6</t>
  </si>
  <si>
    <t>(Ca0.01Mg0.76Fe''0.22Mn0.01Co0.00Ni0.00)2SiO4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</si>
</sst>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rgb="FFFF0000"/>
      <name val="等线"/>
      <family val="2"/>
      <scheme val="minor"/>
    </font>
    <font>
      <sz val="12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2" borderId="0" xfId="0" applyFill="1"/>
    <xf numFmtId="0" fontId="3" fillId="2" borderId="0" xfId="0" applyFont="1" applyFill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AN53"/>
  <sheetViews>
    <sheetView tabSelected="1" topLeftCell="Y12" workbookViewId="0">
      <selection activeCell="X33" sqref="X33"/>
    </sheetView>
  </sheetViews>
  <sheetFormatPr defaultColWidth="11" defaultRowHeight="15.75" x14ac:dyDescent="0.25"/>
  <cols>
    <col min="14" max="14" width="11" style="2"/>
  </cols>
  <sheetData>
    <row r="1" spans="1:40" x14ac:dyDescent="0.25">
      <c r="B1" t="s">
        <v>0</v>
      </c>
      <c r="M1" t="s">
        <v>1</v>
      </c>
      <c r="R1" t="s">
        <v>2</v>
      </c>
      <c r="AK1" t="s">
        <v>3</v>
      </c>
    </row>
    <row r="2" spans="1:40" x14ac:dyDescent="0.25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s="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  <c r="W2" t="s">
        <v>26</v>
      </c>
      <c r="X2" t="s">
        <v>27</v>
      </c>
      <c r="Y2" t="s">
        <v>28</v>
      </c>
      <c r="Z2" t="s">
        <v>29</v>
      </c>
      <c r="AA2" t="s">
        <v>30</v>
      </c>
      <c r="AB2" t="s">
        <v>31</v>
      </c>
      <c r="AC2" t="s">
        <v>32</v>
      </c>
      <c r="AD2" t="s">
        <v>33</v>
      </c>
      <c r="AE2" t="s">
        <v>34</v>
      </c>
      <c r="AF2" t="s">
        <v>35</v>
      </c>
      <c r="AG2" t="s">
        <v>36</v>
      </c>
      <c r="AH2" t="s">
        <v>37</v>
      </c>
      <c r="AI2" t="s">
        <v>38</v>
      </c>
      <c r="AJ2" t="s">
        <v>39</v>
      </c>
      <c r="AK2" t="s">
        <v>40</v>
      </c>
      <c r="AL2" t="s">
        <v>41</v>
      </c>
    </row>
    <row r="3" spans="1:40" x14ac:dyDescent="0.25">
      <c r="A3">
        <v>0</v>
      </c>
      <c r="B3" t="s">
        <v>42</v>
      </c>
      <c r="C3">
        <v>1390</v>
      </c>
      <c r="D3">
        <v>15000</v>
      </c>
      <c r="E3">
        <v>-9.4141220000000008</v>
      </c>
      <c r="F3">
        <v>-1563805.3132780001</v>
      </c>
      <c r="G3">
        <v>-1140031.6909660001</v>
      </c>
      <c r="H3">
        <v>254.801805</v>
      </c>
      <c r="I3">
        <v>124.282724</v>
      </c>
      <c r="J3">
        <v>30.224824000000002</v>
      </c>
      <c r="K3">
        <v>3.3087300000000002</v>
      </c>
      <c r="L3" t="s">
        <v>43</v>
      </c>
      <c r="M3">
        <v>100.005787</v>
      </c>
      <c r="N3" s="2">
        <v>0</v>
      </c>
      <c r="O3">
        <v>100.005787</v>
      </c>
      <c r="P3">
        <v>0</v>
      </c>
      <c r="Q3">
        <v>0</v>
      </c>
      <c r="AK3">
        <v>57.704394999999998</v>
      </c>
      <c r="AL3">
        <v>42.301392</v>
      </c>
    </row>
    <row r="4" spans="1:40" x14ac:dyDescent="0.25">
      <c r="A4">
        <v>1</v>
      </c>
      <c r="B4" t="s">
        <v>42</v>
      </c>
      <c r="C4">
        <v>1390.5</v>
      </c>
      <c r="D4">
        <v>15000</v>
      </c>
      <c r="E4">
        <v>-9.4100029999999997</v>
      </c>
      <c r="F4">
        <v>-1563932.8039160001</v>
      </c>
      <c r="G4">
        <v>-1139969.3477</v>
      </c>
      <c r="H4">
        <v>254.83933300000001</v>
      </c>
      <c r="I4">
        <v>124.286984</v>
      </c>
      <c r="J4">
        <v>30.225572</v>
      </c>
      <c r="K4">
        <v>3.3086479999999998</v>
      </c>
      <c r="L4" t="s">
        <v>43</v>
      </c>
      <c r="M4">
        <v>100.005791</v>
      </c>
      <c r="N4" s="2">
        <v>0</v>
      </c>
      <c r="O4">
        <v>100.005791</v>
      </c>
      <c r="P4">
        <v>0</v>
      </c>
      <c r="Q4">
        <v>0</v>
      </c>
      <c r="AK4">
        <v>57.704535999999997</v>
      </c>
      <c r="AL4">
        <v>42.301254</v>
      </c>
    </row>
    <row r="5" spans="1:40" x14ac:dyDescent="0.25">
      <c r="A5">
        <v>2</v>
      </c>
      <c r="B5" t="s">
        <v>42</v>
      </c>
      <c r="C5">
        <v>1391</v>
      </c>
      <c r="D5">
        <v>15000</v>
      </c>
      <c r="E5">
        <v>-9.4058869999999999</v>
      </c>
      <c r="F5">
        <v>-1564060.3134399999</v>
      </c>
      <c r="G5">
        <v>-1139907.0073909999</v>
      </c>
      <c r="H5">
        <v>254.876848</v>
      </c>
      <c r="I5">
        <v>124.291241</v>
      </c>
      <c r="J5">
        <v>30.226319</v>
      </c>
      <c r="K5">
        <v>3.308567</v>
      </c>
      <c r="L5" t="s">
        <v>43</v>
      </c>
      <c r="M5">
        <v>100.00579500000001</v>
      </c>
      <c r="N5" s="2">
        <v>0</v>
      </c>
      <c r="O5">
        <v>100.00579500000001</v>
      </c>
      <c r="P5">
        <v>0</v>
      </c>
      <c r="Q5">
        <v>0</v>
      </c>
      <c r="AK5">
        <v>57.70467</v>
      </c>
      <c r="AL5">
        <v>42.301124999999999</v>
      </c>
    </row>
    <row r="6" spans="1:40" x14ac:dyDescent="0.25">
      <c r="A6">
        <v>3</v>
      </c>
      <c r="B6" t="s">
        <v>42</v>
      </c>
      <c r="C6">
        <v>1391.5</v>
      </c>
      <c r="D6">
        <v>15000</v>
      </c>
      <c r="E6">
        <v>-9.4017730000000004</v>
      </c>
      <c r="F6">
        <v>-1564187.8416619999</v>
      </c>
      <c r="G6">
        <v>-1139844.6613719999</v>
      </c>
      <c r="H6">
        <v>254.914355</v>
      </c>
      <c r="I6">
        <v>124.295496</v>
      </c>
      <c r="J6">
        <v>30.227067999999999</v>
      </c>
      <c r="K6">
        <v>3.3084850000000001</v>
      </c>
      <c r="L6" t="s">
        <v>43</v>
      </c>
      <c r="M6">
        <v>100.005798</v>
      </c>
      <c r="N6" s="2">
        <v>0</v>
      </c>
      <c r="O6">
        <v>100.005798</v>
      </c>
      <c r="P6">
        <v>0</v>
      </c>
      <c r="Q6">
        <v>0</v>
      </c>
      <c r="AK6">
        <v>57.704807000000002</v>
      </c>
      <c r="AL6">
        <v>42.300991000000003</v>
      </c>
    </row>
    <row r="7" spans="1:40" x14ac:dyDescent="0.25">
      <c r="A7">
        <v>4</v>
      </c>
      <c r="B7" t="s">
        <v>42</v>
      </c>
      <c r="C7">
        <v>1392</v>
      </c>
      <c r="D7">
        <v>15000</v>
      </c>
      <c r="E7">
        <v>-9.3976620000000004</v>
      </c>
      <c r="F7">
        <v>-1564315.388668</v>
      </c>
      <c r="G7">
        <v>-1139782.31387</v>
      </c>
      <c r="H7">
        <v>254.951851</v>
      </c>
      <c r="I7">
        <v>124.29974900000001</v>
      </c>
      <c r="J7">
        <v>30.227816000000001</v>
      </c>
      <c r="K7">
        <v>3.3084030000000002</v>
      </c>
      <c r="L7" t="s">
        <v>43</v>
      </c>
      <c r="M7">
        <v>100.005802</v>
      </c>
      <c r="N7" s="2">
        <v>0</v>
      </c>
      <c r="O7">
        <v>100.005802</v>
      </c>
      <c r="P7">
        <v>0</v>
      </c>
      <c r="Q7">
        <v>0</v>
      </c>
      <c r="AK7">
        <v>57.704945000000002</v>
      </c>
      <c r="AL7">
        <v>42.300857999999998</v>
      </c>
    </row>
    <row r="8" spans="1:40" x14ac:dyDescent="0.25">
      <c r="A8">
        <v>5</v>
      </c>
      <c r="B8" t="s">
        <v>42</v>
      </c>
      <c r="C8">
        <v>1392.5</v>
      </c>
      <c r="D8">
        <v>15000</v>
      </c>
      <c r="E8">
        <v>-9.3935530000000007</v>
      </c>
      <c r="F8">
        <v>-1564442.9544200001</v>
      </c>
      <c r="G8">
        <v>-1139719.963397</v>
      </c>
      <c r="H8">
        <v>254.989338</v>
      </c>
      <c r="I8">
        <v>124.304</v>
      </c>
      <c r="J8">
        <v>30.228563999999999</v>
      </c>
      <c r="K8">
        <v>3.3083209999999998</v>
      </c>
      <c r="L8" t="s">
        <v>43</v>
      </c>
      <c r="M8">
        <v>100.00580600000001</v>
      </c>
      <c r="N8" s="2">
        <v>0</v>
      </c>
      <c r="O8">
        <v>100.00580600000001</v>
      </c>
      <c r="P8">
        <v>0</v>
      </c>
      <c r="Q8">
        <v>0</v>
      </c>
      <c r="AK8">
        <v>57.705081999999997</v>
      </c>
      <c r="AL8">
        <v>42.300724000000002</v>
      </c>
    </row>
    <row r="9" spans="1:40" x14ac:dyDescent="0.25">
      <c r="A9">
        <v>6</v>
      </c>
      <c r="B9" t="s">
        <v>42</v>
      </c>
      <c r="C9">
        <v>1393</v>
      </c>
      <c r="D9">
        <v>15000</v>
      </c>
      <c r="E9">
        <v>-9.3894470000000005</v>
      </c>
      <c r="F9">
        <v>-1564570.53896</v>
      </c>
      <c r="G9">
        <v>-1139657.6121650001</v>
      </c>
      <c r="H9">
        <v>255.026814</v>
      </c>
      <c r="I9">
        <v>124.308249</v>
      </c>
      <c r="J9">
        <v>30.229312</v>
      </c>
      <c r="K9">
        <v>3.3082400000000001</v>
      </c>
      <c r="L9" t="s">
        <v>43</v>
      </c>
      <c r="M9">
        <v>100.005809</v>
      </c>
      <c r="N9" s="2">
        <v>0</v>
      </c>
      <c r="O9">
        <v>100.005809</v>
      </c>
      <c r="P9">
        <v>0</v>
      </c>
      <c r="Q9">
        <v>0</v>
      </c>
      <c r="AK9">
        <v>57.705219</v>
      </c>
      <c r="AL9">
        <v>42.300590999999997</v>
      </c>
    </row>
    <row r="10" spans="1:40" x14ac:dyDescent="0.25">
      <c r="A10">
        <v>7</v>
      </c>
      <c r="B10" t="s">
        <v>42</v>
      </c>
      <c r="C10">
        <v>1393.5</v>
      </c>
      <c r="D10">
        <v>15000</v>
      </c>
      <c r="E10">
        <v>-9.3853430000000007</v>
      </c>
      <c r="F10">
        <v>-1564698.1422369999</v>
      </c>
      <c r="G10">
        <v>-1139595.257987</v>
      </c>
      <c r="H10">
        <v>255.06428099999999</v>
      </c>
      <c r="I10">
        <v>124.312496</v>
      </c>
      <c r="J10">
        <v>30.230060999999999</v>
      </c>
      <c r="K10">
        <v>3.3081580000000002</v>
      </c>
      <c r="L10" t="s">
        <v>43</v>
      </c>
      <c r="M10">
        <v>100.005813</v>
      </c>
      <c r="N10" s="2">
        <v>0</v>
      </c>
      <c r="O10">
        <v>100.005813</v>
      </c>
      <c r="P10">
        <v>0</v>
      </c>
      <c r="Q10">
        <v>0</v>
      </c>
      <c r="AK10">
        <v>57.705353000000002</v>
      </c>
      <c r="AL10">
        <v>42.300457000000002</v>
      </c>
    </row>
    <row r="11" spans="1:40" x14ac:dyDescent="0.25">
      <c r="A11">
        <v>8</v>
      </c>
      <c r="B11" t="s">
        <v>42</v>
      </c>
      <c r="C11">
        <v>1394</v>
      </c>
      <c r="D11">
        <v>15000</v>
      </c>
      <c r="E11">
        <v>-9.3812409999999993</v>
      </c>
      <c r="F11">
        <v>-1564825.7642659999</v>
      </c>
      <c r="G11">
        <v>-1139532.9018580001</v>
      </c>
      <c r="H11">
        <v>255.10173800000001</v>
      </c>
      <c r="I11">
        <v>124.31674</v>
      </c>
      <c r="J11">
        <v>30.230809000000001</v>
      </c>
      <c r="K11">
        <v>3.3080759999999998</v>
      </c>
      <c r="L11" t="s">
        <v>43</v>
      </c>
      <c r="M11">
        <v>100.00581699999999</v>
      </c>
      <c r="N11" s="2">
        <v>0</v>
      </c>
      <c r="O11">
        <v>100.00581699999999</v>
      </c>
      <c r="P11">
        <v>0</v>
      </c>
      <c r="Q11">
        <v>0</v>
      </c>
      <c r="AK11">
        <v>57.705489999999998</v>
      </c>
      <c r="AL11">
        <v>42.300327000000003</v>
      </c>
    </row>
    <row r="12" spans="1:40" x14ac:dyDescent="0.25">
      <c r="A12">
        <v>9</v>
      </c>
      <c r="B12" t="s">
        <v>42</v>
      </c>
      <c r="C12">
        <v>1394.5</v>
      </c>
      <c r="D12">
        <v>15000</v>
      </c>
      <c r="E12">
        <v>-9.3771419999999992</v>
      </c>
      <c r="F12">
        <v>-1564953.4050380001</v>
      </c>
      <c r="G12">
        <v>-1139470.543515</v>
      </c>
      <c r="H12">
        <v>255.139185</v>
      </c>
      <c r="I12">
        <v>124.320983</v>
      </c>
      <c r="J12">
        <v>30.231558</v>
      </c>
      <c r="K12">
        <v>3.3079939999999999</v>
      </c>
      <c r="L12" t="s">
        <v>43</v>
      </c>
      <c r="M12">
        <v>100.005821</v>
      </c>
      <c r="N12" s="2">
        <v>0</v>
      </c>
      <c r="O12">
        <v>100.005821</v>
      </c>
      <c r="P12">
        <v>0</v>
      </c>
      <c r="Q12">
        <v>0</v>
      </c>
      <c r="AK12">
        <v>57.705627</v>
      </c>
      <c r="AL12">
        <v>42.300193999999998</v>
      </c>
    </row>
    <row r="13" spans="1:40" x14ac:dyDescent="0.25">
      <c r="A13">
        <v>10</v>
      </c>
      <c r="B13" t="s">
        <v>42</v>
      </c>
      <c r="C13">
        <v>1395</v>
      </c>
      <c r="D13">
        <v>15000</v>
      </c>
      <c r="E13">
        <v>-9.3730460000000004</v>
      </c>
      <c r="F13">
        <v>-1565081.061183</v>
      </c>
      <c r="G13">
        <v>-1139404.2494719999</v>
      </c>
      <c r="H13">
        <v>255.178978</v>
      </c>
      <c r="I13">
        <v>124.327997</v>
      </c>
      <c r="J13">
        <v>30.232627000000001</v>
      </c>
      <c r="K13">
        <v>3.307877</v>
      </c>
      <c r="L13" t="s">
        <v>43</v>
      </c>
      <c r="M13">
        <v>100.005824</v>
      </c>
      <c r="N13" s="2">
        <v>8.7709999999999993E-3</v>
      </c>
      <c r="O13">
        <v>99.997052999999994</v>
      </c>
      <c r="P13">
        <v>0</v>
      </c>
      <c r="Q13">
        <v>0</v>
      </c>
      <c r="R13">
        <v>42.903467999999997</v>
      </c>
      <c r="S13">
        <v>0.52255499999999999</v>
      </c>
      <c r="T13">
        <v>10.468723000000001</v>
      </c>
      <c r="U13">
        <v>0.44896900000000001</v>
      </c>
      <c r="V13">
        <v>0</v>
      </c>
      <c r="W13">
        <v>22.423069999999999</v>
      </c>
      <c r="X13">
        <v>0.101533</v>
      </c>
      <c r="Y13">
        <v>13.780379</v>
      </c>
      <c r="Z13">
        <v>0</v>
      </c>
      <c r="AA13">
        <v>0</v>
      </c>
      <c r="AB13">
        <v>7.0371600000000001</v>
      </c>
      <c r="AC13">
        <v>2.3141449999999999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57.70261</v>
      </c>
      <c r="AL13">
        <v>42.294440999999999</v>
      </c>
      <c r="AN13">
        <f>(Y13/40.31)/((Y13/40.31)+((W13+U13*0.9)/71.85))</f>
        <v>0.51831094075195172</v>
      </c>
    </row>
    <row r="14" spans="1:40" x14ac:dyDescent="0.25">
      <c r="A14">
        <v>11</v>
      </c>
      <c r="B14" t="s">
        <v>42</v>
      </c>
      <c r="C14">
        <v>1395.5</v>
      </c>
      <c r="D14">
        <v>15000</v>
      </c>
      <c r="E14">
        <v>-9.3689520000000002</v>
      </c>
      <c r="F14">
        <v>-1565208.736789</v>
      </c>
      <c r="G14">
        <v>-1139335.051553</v>
      </c>
      <c r="H14">
        <v>255.22049899999999</v>
      </c>
      <c r="I14">
        <v>124.337081</v>
      </c>
      <c r="J14">
        <v>30.233929</v>
      </c>
      <c r="K14">
        <v>3.3077350000000001</v>
      </c>
      <c r="L14" t="s">
        <v>43</v>
      </c>
      <c r="M14">
        <v>100.00582799999999</v>
      </c>
      <c r="N14" s="2">
        <v>2.4095999999999999E-2</v>
      </c>
      <c r="O14">
        <v>99.981731999999994</v>
      </c>
      <c r="P14">
        <v>0</v>
      </c>
      <c r="Q14">
        <v>0</v>
      </c>
      <c r="R14">
        <v>42.884478999999999</v>
      </c>
      <c r="S14">
        <v>0.52138099999999998</v>
      </c>
      <c r="T14">
        <v>10.447372</v>
      </c>
      <c r="U14">
        <v>0.44883099999999998</v>
      </c>
      <c r="V14">
        <v>0</v>
      </c>
      <c r="W14">
        <v>22.459976000000001</v>
      </c>
      <c r="X14">
        <v>0.101648</v>
      </c>
      <c r="Y14">
        <v>13.811487</v>
      </c>
      <c r="Z14">
        <v>0</v>
      </c>
      <c r="AA14">
        <v>0</v>
      </c>
      <c r="AB14">
        <v>7.0397150000000002</v>
      </c>
      <c r="AC14">
        <v>2.2851119999999998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57.697212</v>
      </c>
      <c r="AL14">
        <v>42.284519000000003</v>
      </c>
      <c r="AN14">
        <f t="shared" ref="AN14:AN53" si="0">(Y14/40.31)/((Y14/40.31)+((W14+U14*0.9)/71.85))</f>
        <v>0.51847193426151517</v>
      </c>
    </row>
    <row r="15" spans="1:40" x14ac:dyDescent="0.25">
      <c r="A15">
        <v>12</v>
      </c>
      <c r="B15" t="s">
        <v>42</v>
      </c>
      <c r="C15">
        <v>1396</v>
      </c>
      <c r="D15">
        <v>15000</v>
      </c>
      <c r="E15">
        <v>-9.3648600000000002</v>
      </c>
      <c r="F15">
        <v>-1565336.4341889999</v>
      </c>
      <c r="G15">
        <v>-1139265.7042340001</v>
      </c>
      <c r="H15">
        <v>255.26209700000001</v>
      </c>
      <c r="I15">
        <v>124.346272</v>
      </c>
      <c r="J15">
        <v>30.235240999999998</v>
      </c>
      <c r="K15">
        <v>3.3075920000000001</v>
      </c>
      <c r="L15" t="s">
        <v>43</v>
      </c>
      <c r="M15">
        <v>100.005831</v>
      </c>
      <c r="N15" s="2">
        <v>3.9752000000000003E-2</v>
      </c>
      <c r="O15">
        <v>99.966078999999993</v>
      </c>
      <c r="P15">
        <v>0</v>
      </c>
      <c r="Q15">
        <v>0</v>
      </c>
      <c r="R15">
        <v>42.865752999999998</v>
      </c>
      <c r="S15">
        <v>0.52017199999999997</v>
      </c>
      <c r="T15">
        <v>10.425958</v>
      </c>
      <c r="U15">
        <v>0.44869199999999998</v>
      </c>
      <c r="V15">
        <v>0</v>
      </c>
      <c r="W15">
        <v>22.496742000000001</v>
      </c>
      <c r="X15">
        <v>0.101766</v>
      </c>
      <c r="Y15">
        <v>13.84262</v>
      </c>
      <c r="Z15">
        <v>0</v>
      </c>
      <c r="AA15">
        <v>0</v>
      </c>
      <c r="AB15">
        <v>7.0419970000000003</v>
      </c>
      <c r="AC15">
        <v>2.2562989999999998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57.691699999999997</v>
      </c>
      <c r="AL15">
        <v>42.274380000000001</v>
      </c>
      <c r="AN15">
        <f t="shared" si="0"/>
        <v>0.5186342904590987</v>
      </c>
    </row>
    <row r="16" spans="1:40" x14ac:dyDescent="0.25">
      <c r="A16">
        <v>13</v>
      </c>
      <c r="B16" t="s">
        <v>42</v>
      </c>
      <c r="C16">
        <v>1396.5</v>
      </c>
      <c r="D16">
        <v>15000</v>
      </c>
      <c r="E16">
        <v>-9.3607709999999997</v>
      </c>
      <c r="F16">
        <v>-1565464.1534480001</v>
      </c>
      <c r="G16">
        <v>-1139196.204504</v>
      </c>
      <c r="H16">
        <v>255.303776</v>
      </c>
      <c r="I16">
        <v>124.355572</v>
      </c>
      <c r="J16">
        <v>30.236561999999999</v>
      </c>
      <c r="K16">
        <v>3.3074469999999998</v>
      </c>
      <c r="L16" t="s">
        <v>43</v>
      </c>
      <c r="M16">
        <v>100.005835</v>
      </c>
      <c r="N16" s="2">
        <v>5.5747999999999999E-2</v>
      </c>
      <c r="O16">
        <v>99.950086999999996</v>
      </c>
      <c r="P16">
        <v>0</v>
      </c>
      <c r="Q16">
        <v>0</v>
      </c>
      <c r="R16">
        <v>42.847292000000003</v>
      </c>
      <c r="S16">
        <v>0.51892899999999997</v>
      </c>
      <c r="T16">
        <v>10.40448</v>
      </c>
      <c r="U16">
        <v>0.44855299999999998</v>
      </c>
      <c r="V16">
        <v>0</v>
      </c>
      <c r="W16">
        <v>22.533366999999998</v>
      </c>
      <c r="X16">
        <v>0.101886</v>
      </c>
      <c r="Y16">
        <v>13.873780999999999</v>
      </c>
      <c r="Z16">
        <v>0</v>
      </c>
      <c r="AA16">
        <v>0</v>
      </c>
      <c r="AB16">
        <v>7.0440019999999999</v>
      </c>
      <c r="AC16">
        <v>2.2277100000000001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57.686069000000003</v>
      </c>
      <c r="AL16">
        <v>42.264018999999998</v>
      </c>
      <c r="AN16">
        <f t="shared" si="0"/>
        <v>0.51879805749814734</v>
      </c>
    </row>
    <row r="17" spans="1:40" x14ac:dyDescent="0.25">
      <c r="A17">
        <v>14</v>
      </c>
      <c r="B17" t="s">
        <v>42</v>
      </c>
      <c r="C17">
        <v>1397</v>
      </c>
      <c r="D17">
        <v>15000</v>
      </c>
      <c r="E17">
        <v>-9.3566839999999996</v>
      </c>
      <c r="F17">
        <v>-1565591.894632</v>
      </c>
      <c r="G17">
        <v>-1139126.5492990001</v>
      </c>
      <c r="H17">
        <v>255.34553500000001</v>
      </c>
      <c r="I17">
        <v>124.364985</v>
      </c>
      <c r="J17">
        <v>30.237891999999999</v>
      </c>
      <c r="K17">
        <v>3.307302</v>
      </c>
      <c r="L17" t="s">
        <v>43</v>
      </c>
      <c r="M17">
        <v>100.00583899999999</v>
      </c>
      <c r="N17" s="2">
        <v>7.2089E-2</v>
      </c>
      <c r="O17">
        <v>99.933749000000006</v>
      </c>
      <c r="P17">
        <v>0</v>
      </c>
      <c r="Q17">
        <v>0</v>
      </c>
      <c r="R17">
        <v>42.829098999999999</v>
      </c>
      <c r="S17">
        <v>0.51765000000000005</v>
      </c>
      <c r="T17">
        <v>10.382936000000001</v>
      </c>
      <c r="U17">
        <v>0.44841300000000001</v>
      </c>
      <c r="V17">
        <v>0</v>
      </c>
      <c r="W17">
        <v>22.569851</v>
      </c>
      <c r="X17">
        <v>0.102009</v>
      </c>
      <c r="Y17">
        <v>13.904971</v>
      </c>
      <c r="Z17">
        <v>0</v>
      </c>
      <c r="AA17">
        <v>0</v>
      </c>
      <c r="AB17">
        <v>7.0457270000000003</v>
      </c>
      <c r="AC17">
        <v>2.199344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57.680320999999999</v>
      </c>
      <c r="AL17">
        <v>42.253428999999997</v>
      </c>
      <c r="AN17">
        <f t="shared" si="0"/>
        <v>0.51896325589172809</v>
      </c>
    </row>
    <row r="18" spans="1:40" x14ac:dyDescent="0.25">
      <c r="A18">
        <v>15</v>
      </c>
      <c r="B18" t="s">
        <v>42</v>
      </c>
      <c r="C18">
        <v>1397.5</v>
      </c>
      <c r="D18">
        <v>15000</v>
      </c>
      <c r="E18">
        <v>-9.3526000000000007</v>
      </c>
      <c r="F18">
        <v>-1565719.657808</v>
      </c>
      <c r="G18">
        <v>-1139056.7355140001</v>
      </c>
      <c r="H18">
        <v>255.38737800000001</v>
      </c>
      <c r="I18">
        <v>124.37451</v>
      </c>
      <c r="J18">
        <v>30.239232999999999</v>
      </c>
      <c r="K18">
        <v>3.3071549999999998</v>
      </c>
      <c r="L18" t="s">
        <v>43</v>
      </c>
      <c r="M18">
        <v>100.005842</v>
      </c>
      <c r="N18" s="2">
        <v>8.8782E-2</v>
      </c>
      <c r="O18">
        <v>99.917060000000006</v>
      </c>
      <c r="P18">
        <v>0</v>
      </c>
      <c r="Q18">
        <v>0</v>
      </c>
      <c r="R18">
        <v>42.811176000000003</v>
      </c>
      <c r="S18">
        <v>0.51633700000000005</v>
      </c>
      <c r="T18">
        <v>10.361323000000001</v>
      </c>
      <c r="U18">
        <v>0.448272</v>
      </c>
      <c r="V18">
        <v>0</v>
      </c>
      <c r="W18">
        <v>22.606193999999999</v>
      </c>
      <c r="X18">
        <v>0.102135</v>
      </c>
      <c r="Y18">
        <v>13.936191000000001</v>
      </c>
      <c r="Z18">
        <v>0</v>
      </c>
      <c r="AA18">
        <v>0</v>
      </c>
      <c r="AB18">
        <v>7.047167</v>
      </c>
      <c r="AC18">
        <v>2.1712039999999999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57.67445</v>
      </c>
      <c r="AL18">
        <v>42.242610999999997</v>
      </c>
      <c r="AN18">
        <f t="shared" si="0"/>
        <v>0.51912989623501282</v>
      </c>
    </row>
    <row r="19" spans="1:40" x14ac:dyDescent="0.25">
      <c r="A19">
        <v>16</v>
      </c>
      <c r="B19" t="s">
        <v>42</v>
      </c>
      <c r="C19">
        <v>1398</v>
      </c>
      <c r="D19">
        <v>15000</v>
      </c>
      <c r="E19">
        <v>-9.3485180000000003</v>
      </c>
      <c r="F19">
        <v>-1565847.4430440001</v>
      </c>
      <c r="G19">
        <v>-1138986.760002</v>
      </c>
      <c r="H19">
        <v>255.429305</v>
      </c>
      <c r="I19">
        <v>124.384152</v>
      </c>
      <c r="J19">
        <v>30.240583999999998</v>
      </c>
      <c r="K19">
        <v>3.3070080000000002</v>
      </c>
      <c r="L19" t="s">
        <v>43</v>
      </c>
      <c r="M19">
        <v>100.00584600000001</v>
      </c>
      <c r="N19" s="2">
        <v>0.105834</v>
      </c>
      <c r="O19">
        <v>99.900012000000004</v>
      </c>
      <c r="P19">
        <v>0</v>
      </c>
      <c r="Q19">
        <v>0</v>
      </c>
      <c r="R19">
        <v>42.793525000000002</v>
      </c>
      <c r="S19">
        <v>0.514988</v>
      </c>
      <c r="T19">
        <v>10.339641</v>
      </c>
      <c r="U19">
        <v>0.448131</v>
      </c>
      <c r="V19">
        <v>0</v>
      </c>
      <c r="W19">
        <v>22.642396000000002</v>
      </c>
      <c r="X19">
        <v>0.10226399999999999</v>
      </c>
      <c r="Y19">
        <v>13.967444</v>
      </c>
      <c r="Z19">
        <v>0</v>
      </c>
      <c r="AA19">
        <v>0</v>
      </c>
      <c r="AB19">
        <v>7.0483209999999996</v>
      </c>
      <c r="AC19">
        <v>2.1432899999999999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57.668456999999997</v>
      </c>
      <c r="AL19">
        <v>42.231555999999998</v>
      </c>
      <c r="AN19">
        <f t="shared" si="0"/>
        <v>0.51929801502875494</v>
      </c>
    </row>
    <row r="20" spans="1:40" x14ac:dyDescent="0.25">
      <c r="A20">
        <v>17</v>
      </c>
      <c r="B20" t="s">
        <v>42</v>
      </c>
      <c r="C20">
        <v>1398.5</v>
      </c>
      <c r="D20">
        <v>15000</v>
      </c>
      <c r="E20">
        <v>-9.3444389999999995</v>
      </c>
      <c r="F20">
        <v>-1565975.2504100001</v>
      </c>
      <c r="G20">
        <v>-1138916.6195680001</v>
      </c>
      <c r="H20">
        <v>255.47131899999999</v>
      </c>
      <c r="I20">
        <v>124.393912</v>
      </c>
      <c r="J20">
        <v>30.241945000000001</v>
      </c>
      <c r="K20">
        <v>3.3068590000000002</v>
      </c>
      <c r="L20" t="s">
        <v>43</v>
      </c>
      <c r="M20">
        <v>100.00585</v>
      </c>
      <c r="N20" s="2">
        <v>0.123252</v>
      </c>
      <c r="O20">
        <v>99.882598000000002</v>
      </c>
      <c r="P20">
        <v>0</v>
      </c>
      <c r="Q20">
        <v>0</v>
      </c>
      <c r="R20">
        <v>42.776147999999999</v>
      </c>
      <c r="S20">
        <v>0.51360399999999995</v>
      </c>
      <c r="T20">
        <v>10.317888</v>
      </c>
      <c r="U20">
        <v>0.44798900000000003</v>
      </c>
      <c r="V20">
        <v>0</v>
      </c>
      <c r="W20">
        <v>22.678456000000001</v>
      </c>
      <c r="X20">
        <v>0.102395</v>
      </c>
      <c r="Y20">
        <v>13.99873</v>
      </c>
      <c r="Z20">
        <v>0</v>
      </c>
      <c r="AA20">
        <v>0</v>
      </c>
      <c r="AB20">
        <v>7.0491840000000003</v>
      </c>
      <c r="AC20">
        <v>2.115605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57.662334000000001</v>
      </c>
      <c r="AL20">
        <v>42.220264</v>
      </c>
      <c r="AN20">
        <f t="shared" si="0"/>
        <v>0.51946762520877843</v>
      </c>
    </row>
    <row r="21" spans="1:40" x14ac:dyDescent="0.25">
      <c r="A21">
        <v>18</v>
      </c>
      <c r="B21" t="s">
        <v>42</v>
      </c>
      <c r="C21">
        <v>1399</v>
      </c>
      <c r="D21">
        <v>15000</v>
      </c>
      <c r="E21">
        <v>-9.3403620000000007</v>
      </c>
      <c r="F21">
        <v>-1566103.0799759999</v>
      </c>
      <c r="G21">
        <v>-1138846.310976</v>
      </c>
      <c r="H21">
        <v>255.51342199999999</v>
      </c>
      <c r="I21">
        <v>124.40379299999999</v>
      </c>
      <c r="J21">
        <v>30.243316</v>
      </c>
      <c r="K21">
        <v>3.3067090000000001</v>
      </c>
      <c r="L21" t="s">
        <v>43</v>
      </c>
      <c r="M21">
        <v>100.005854</v>
      </c>
      <c r="N21" s="2">
        <v>0.141042</v>
      </c>
      <c r="O21">
        <v>99.864812000000001</v>
      </c>
      <c r="P21">
        <v>0</v>
      </c>
      <c r="Q21">
        <v>0</v>
      </c>
      <c r="R21">
        <v>42.759048999999997</v>
      </c>
      <c r="S21">
        <v>0.51218399999999997</v>
      </c>
      <c r="T21">
        <v>10.296061</v>
      </c>
      <c r="U21">
        <v>0.447847</v>
      </c>
      <c r="V21">
        <v>0</v>
      </c>
      <c r="W21">
        <v>22.714375</v>
      </c>
      <c r="X21">
        <v>0.10253</v>
      </c>
      <c r="Y21">
        <v>14.030051</v>
      </c>
      <c r="Z21">
        <v>0</v>
      </c>
      <c r="AA21">
        <v>0</v>
      </c>
      <c r="AB21">
        <v>7.0497529999999999</v>
      </c>
      <c r="AC21">
        <v>2.0881500000000002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57.656086000000002</v>
      </c>
      <c r="AL21">
        <v>42.208728999999998</v>
      </c>
      <c r="AN21">
        <f t="shared" si="0"/>
        <v>0.51963873420625817</v>
      </c>
    </row>
    <row r="22" spans="1:40" x14ac:dyDescent="0.25">
      <c r="A22">
        <v>19</v>
      </c>
      <c r="B22" t="s">
        <v>42</v>
      </c>
      <c r="C22">
        <v>1399.5</v>
      </c>
      <c r="D22">
        <v>15000</v>
      </c>
      <c r="E22">
        <v>-9.3362879999999997</v>
      </c>
      <c r="F22">
        <v>-1566230.931816</v>
      </c>
      <c r="G22">
        <v>-1138775.8309480001</v>
      </c>
      <c r="H22">
        <v>255.55561599999999</v>
      </c>
      <c r="I22">
        <v>124.413796</v>
      </c>
      <c r="J22">
        <v>30.244698</v>
      </c>
      <c r="K22">
        <v>3.3065579999999999</v>
      </c>
      <c r="L22" t="s">
        <v>43</v>
      </c>
      <c r="M22">
        <v>100.005858</v>
      </c>
      <c r="N22" s="2">
        <v>0.15921099999999999</v>
      </c>
      <c r="O22">
        <v>99.846647000000004</v>
      </c>
      <c r="P22">
        <v>0</v>
      </c>
      <c r="Q22">
        <v>0</v>
      </c>
      <c r="R22">
        <v>42.742229000000002</v>
      </c>
      <c r="S22">
        <v>0.51072899999999999</v>
      </c>
      <c r="T22">
        <v>10.274158999999999</v>
      </c>
      <c r="U22">
        <v>0.44770399999999999</v>
      </c>
      <c r="V22">
        <v>0</v>
      </c>
      <c r="W22">
        <v>22.750150999999999</v>
      </c>
      <c r="X22">
        <v>0.102668</v>
      </c>
      <c r="Y22">
        <v>14.06141</v>
      </c>
      <c r="Z22">
        <v>0</v>
      </c>
      <c r="AA22">
        <v>0</v>
      </c>
      <c r="AB22">
        <v>7.0500259999999999</v>
      </c>
      <c r="AC22">
        <v>2.0609259999999998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57.649704</v>
      </c>
      <c r="AL22">
        <v>42.196944999999999</v>
      </c>
      <c r="AN22">
        <f t="shared" si="0"/>
        <v>0.51981141883210635</v>
      </c>
    </row>
    <row r="23" spans="1:40" x14ac:dyDescent="0.25">
      <c r="A23">
        <v>20</v>
      </c>
      <c r="B23" t="s">
        <v>42</v>
      </c>
      <c r="C23">
        <v>1400</v>
      </c>
      <c r="D23">
        <v>15000</v>
      </c>
      <c r="E23">
        <v>-9.3322160000000007</v>
      </c>
      <c r="F23">
        <v>-1566358.8060039999</v>
      </c>
      <c r="G23">
        <v>-1138705.176161</v>
      </c>
      <c r="H23">
        <v>255.597902</v>
      </c>
      <c r="I23">
        <v>124.423925</v>
      </c>
      <c r="J23">
        <v>30.246089999999999</v>
      </c>
      <c r="K23">
        <v>3.306406</v>
      </c>
      <c r="L23" t="s">
        <v>43</v>
      </c>
      <c r="M23">
        <v>100.00586199999999</v>
      </c>
      <c r="N23" s="2">
        <v>0.17776600000000001</v>
      </c>
      <c r="O23">
        <v>99.828096000000002</v>
      </c>
      <c r="P23">
        <v>0</v>
      </c>
      <c r="Q23">
        <v>0</v>
      </c>
      <c r="R23">
        <v>42.72569</v>
      </c>
      <c r="S23">
        <v>0.50923799999999997</v>
      </c>
      <c r="T23">
        <v>10.252179</v>
      </c>
      <c r="U23">
        <v>0.44756000000000001</v>
      </c>
      <c r="V23">
        <v>0</v>
      </c>
      <c r="W23">
        <v>22.785785000000001</v>
      </c>
      <c r="X23">
        <v>0.102809</v>
      </c>
      <c r="Y23">
        <v>14.092808</v>
      </c>
      <c r="Z23">
        <v>0</v>
      </c>
      <c r="AA23">
        <v>0</v>
      </c>
      <c r="AB23">
        <v>7.0499980000000004</v>
      </c>
      <c r="AC23">
        <v>2.0339339999999999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57.643188000000002</v>
      </c>
      <c r="AL23">
        <v>42.184910000000002</v>
      </c>
      <c r="AN23">
        <f t="shared" si="0"/>
        <v>0.51998567789306871</v>
      </c>
    </row>
    <row r="24" spans="1:40" x14ac:dyDescent="0.25">
      <c r="A24">
        <v>21</v>
      </c>
      <c r="B24" t="s">
        <v>42</v>
      </c>
      <c r="C24">
        <v>1400.5</v>
      </c>
      <c r="D24">
        <v>15000</v>
      </c>
      <c r="E24">
        <v>-9.3281460000000003</v>
      </c>
      <c r="F24">
        <v>-1566486.7026150001</v>
      </c>
      <c r="G24">
        <v>-1138634.3432539999</v>
      </c>
      <c r="H24">
        <v>255.64028300000001</v>
      </c>
      <c r="I24">
        <v>124.434181</v>
      </c>
      <c r="J24">
        <v>30.247494</v>
      </c>
      <c r="K24">
        <v>3.3062529999999999</v>
      </c>
      <c r="L24" t="s">
        <v>43</v>
      </c>
      <c r="M24">
        <v>100.005866</v>
      </c>
      <c r="N24" s="2">
        <v>0.196714</v>
      </c>
      <c r="O24">
        <v>99.809151</v>
      </c>
      <c r="P24">
        <v>0</v>
      </c>
      <c r="Q24">
        <v>0</v>
      </c>
      <c r="R24">
        <v>42.709434000000002</v>
      </c>
      <c r="S24">
        <v>0.50771200000000005</v>
      </c>
      <c r="T24">
        <v>10.230121</v>
      </c>
      <c r="U24">
        <v>0.44741599999999998</v>
      </c>
      <c r="V24">
        <v>0</v>
      </c>
      <c r="W24">
        <v>22.821276000000001</v>
      </c>
      <c r="X24">
        <v>0.102953</v>
      </c>
      <c r="Y24">
        <v>14.124245999999999</v>
      </c>
      <c r="Z24">
        <v>0</v>
      </c>
      <c r="AA24">
        <v>0</v>
      </c>
      <c r="AB24">
        <v>7.0496660000000002</v>
      </c>
      <c r="AC24">
        <v>2.0071759999999998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57.636536</v>
      </c>
      <c r="AL24">
        <v>42.172615</v>
      </c>
      <c r="AN24">
        <f t="shared" si="0"/>
        <v>0.52016152200131782</v>
      </c>
    </row>
    <row r="25" spans="1:40" x14ac:dyDescent="0.25">
      <c r="A25">
        <v>22</v>
      </c>
      <c r="B25" t="s">
        <v>42</v>
      </c>
      <c r="C25">
        <v>1401</v>
      </c>
      <c r="D25">
        <v>15000</v>
      </c>
      <c r="E25">
        <v>-9.3240789999999993</v>
      </c>
      <c r="F25">
        <v>-1566614.621726</v>
      </c>
      <c r="G25">
        <v>-1138563.328823</v>
      </c>
      <c r="H25">
        <v>255.68276</v>
      </c>
      <c r="I25">
        <v>124.44456599999999</v>
      </c>
      <c r="J25">
        <v>30.248909000000001</v>
      </c>
      <c r="K25">
        <v>3.306098</v>
      </c>
      <c r="L25" t="s">
        <v>43</v>
      </c>
      <c r="M25">
        <v>100.00587</v>
      </c>
      <c r="N25" s="2">
        <v>0.21606400000000001</v>
      </c>
      <c r="O25">
        <v>99.789805999999999</v>
      </c>
      <c r="P25">
        <v>0</v>
      </c>
      <c r="Q25">
        <v>0</v>
      </c>
      <c r="R25">
        <v>42.693463999999999</v>
      </c>
      <c r="S25">
        <v>0.50615100000000002</v>
      </c>
      <c r="T25">
        <v>10.207981</v>
      </c>
      <c r="U25">
        <v>0.44727099999999997</v>
      </c>
      <c r="V25">
        <v>0</v>
      </c>
      <c r="W25">
        <v>22.856625000000001</v>
      </c>
      <c r="X25">
        <v>0.1031</v>
      </c>
      <c r="Y25">
        <v>14.155727000000001</v>
      </c>
      <c r="Z25">
        <v>0</v>
      </c>
      <c r="AA25">
        <v>0</v>
      </c>
      <c r="AB25">
        <v>7.049029</v>
      </c>
      <c r="AC25">
        <v>1.9806520000000001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57.629742</v>
      </c>
      <c r="AL25">
        <v>42.160065000000003</v>
      </c>
      <c r="AN25">
        <f t="shared" si="0"/>
        <v>0.52033899479557044</v>
      </c>
    </row>
    <row r="26" spans="1:40" x14ac:dyDescent="0.25">
      <c r="A26">
        <v>23</v>
      </c>
      <c r="B26" t="s">
        <v>42</v>
      </c>
      <c r="C26">
        <v>1401.5</v>
      </c>
      <c r="D26">
        <v>15000</v>
      </c>
      <c r="E26">
        <v>-9.3200140000000005</v>
      </c>
      <c r="F26">
        <v>-1566742.563416</v>
      </c>
      <c r="G26">
        <v>-1138492.1294239999</v>
      </c>
      <c r="H26">
        <v>255.725336</v>
      </c>
      <c r="I26">
        <v>124.455084</v>
      </c>
      <c r="J26">
        <v>30.250335</v>
      </c>
      <c r="K26">
        <v>3.3059430000000001</v>
      </c>
      <c r="L26" t="s">
        <v>43</v>
      </c>
      <c r="M26">
        <v>100.00587400000001</v>
      </c>
      <c r="N26" s="2">
        <v>0.23582</v>
      </c>
      <c r="O26">
        <v>99.770054000000002</v>
      </c>
      <c r="P26">
        <v>0</v>
      </c>
      <c r="Q26">
        <v>0</v>
      </c>
      <c r="R26">
        <v>42.677781000000003</v>
      </c>
      <c r="S26">
        <v>0.50455399999999995</v>
      </c>
      <c r="T26">
        <v>10.185758</v>
      </c>
      <c r="U26">
        <v>0.44712600000000002</v>
      </c>
      <c r="V26">
        <v>0</v>
      </c>
      <c r="W26">
        <v>22.891832000000001</v>
      </c>
      <c r="X26">
        <v>0.103251</v>
      </c>
      <c r="Y26">
        <v>14.187253</v>
      </c>
      <c r="Z26">
        <v>0</v>
      </c>
      <c r="AA26">
        <v>0</v>
      </c>
      <c r="AB26">
        <v>7.048082</v>
      </c>
      <c r="AC26">
        <v>1.9543649999999999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57.622807000000002</v>
      </c>
      <c r="AL26">
        <v>42.147247</v>
      </c>
      <c r="AN26">
        <f t="shared" si="0"/>
        <v>0.52051811335722642</v>
      </c>
    </row>
    <row r="27" spans="1:40" x14ac:dyDescent="0.25">
      <c r="A27">
        <v>24</v>
      </c>
      <c r="B27" t="s">
        <v>42</v>
      </c>
      <c r="C27">
        <v>1402</v>
      </c>
      <c r="D27">
        <v>15000</v>
      </c>
      <c r="E27">
        <v>-9.3159519999999993</v>
      </c>
      <c r="F27">
        <v>-1566870.527765</v>
      </c>
      <c r="G27">
        <v>-1138420.7415720001</v>
      </c>
      <c r="H27">
        <v>255.768013</v>
      </c>
      <c r="I27">
        <v>124.46573600000001</v>
      </c>
      <c r="J27">
        <v>30.251771999999999</v>
      </c>
      <c r="K27">
        <v>3.3057859999999999</v>
      </c>
      <c r="L27" t="s">
        <v>43</v>
      </c>
      <c r="M27">
        <v>100.005878</v>
      </c>
      <c r="N27" s="2">
        <v>0.255992</v>
      </c>
      <c r="O27">
        <v>99.749886000000004</v>
      </c>
      <c r="P27">
        <v>0</v>
      </c>
      <c r="Q27">
        <v>0</v>
      </c>
      <c r="R27">
        <v>42.662387000000003</v>
      </c>
      <c r="S27">
        <v>0.50292099999999995</v>
      </c>
      <c r="T27">
        <v>10.163451</v>
      </c>
      <c r="U27">
        <v>0.44697999999999999</v>
      </c>
      <c r="V27">
        <v>0</v>
      </c>
      <c r="W27">
        <v>22.926894999999998</v>
      </c>
      <c r="X27">
        <v>0.103405</v>
      </c>
      <c r="Y27">
        <v>14.218824</v>
      </c>
      <c r="Z27">
        <v>0</v>
      </c>
      <c r="AA27">
        <v>0</v>
      </c>
      <c r="AB27">
        <v>7.0468219999999997</v>
      </c>
      <c r="AC27">
        <v>1.9283140000000001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57.615726000000002</v>
      </c>
      <c r="AL27">
        <v>42.134158999999997</v>
      </c>
      <c r="AN27">
        <f t="shared" si="0"/>
        <v>0.52069890013399611</v>
      </c>
    </row>
    <row r="28" spans="1:40" x14ac:dyDescent="0.25">
      <c r="A28">
        <v>25</v>
      </c>
      <c r="B28" t="s">
        <v>42</v>
      </c>
      <c r="C28">
        <v>1402.5</v>
      </c>
      <c r="D28">
        <v>15000</v>
      </c>
      <c r="E28">
        <v>-9.3118920000000003</v>
      </c>
      <c r="F28">
        <v>-1566998.5148539999</v>
      </c>
      <c r="G28">
        <v>-1138349.1617419999</v>
      </c>
      <c r="H28">
        <v>255.81079199999999</v>
      </c>
      <c r="I28">
        <v>124.476525</v>
      </c>
      <c r="J28">
        <v>30.253222000000001</v>
      </c>
      <c r="K28">
        <v>3.305628</v>
      </c>
      <c r="L28" t="s">
        <v>43</v>
      </c>
      <c r="M28">
        <v>100.005882</v>
      </c>
      <c r="N28" s="2">
        <v>0.27658500000000003</v>
      </c>
      <c r="O28">
        <v>99.729297000000003</v>
      </c>
      <c r="P28">
        <v>0</v>
      </c>
      <c r="Q28">
        <v>0</v>
      </c>
      <c r="R28">
        <v>42.647284999999997</v>
      </c>
      <c r="S28">
        <v>0.50125299999999995</v>
      </c>
      <c r="T28">
        <v>10.141056000000001</v>
      </c>
      <c r="U28">
        <v>0.44683400000000001</v>
      </c>
      <c r="V28">
        <v>0</v>
      </c>
      <c r="W28">
        <v>22.961815999999999</v>
      </c>
      <c r="X28">
        <v>0.103562</v>
      </c>
      <c r="Y28">
        <v>14.250444</v>
      </c>
      <c r="Z28">
        <v>0</v>
      </c>
      <c r="AA28">
        <v>0</v>
      </c>
      <c r="AB28">
        <v>7.0452469999999998</v>
      </c>
      <c r="AC28">
        <v>1.9025019999999999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57.608497999999997</v>
      </c>
      <c r="AL28">
        <v>42.120800000000003</v>
      </c>
      <c r="AN28">
        <f t="shared" si="0"/>
        <v>0.52088138555940744</v>
      </c>
    </row>
    <row r="29" spans="1:40" x14ac:dyDescent="0.25">
      <c r="A29">
        <v>26</v>
      </c>
      <c r="B29" t="s">
        <v>42</v>
      </c>
      <c r="C29">
        <v>1403</v>
      </c>
      <c r="D29">
        <v>15000</v>
      </c>
      <c r="E29">
        <v>-9.3078339999999997</v>
      </c>
      <c r="F29">
        <v>-1567126.524766</v>
      </c>
      <c r="G29">
        <v>-1138277.386373</v>
      </c>
      <c r="H29">
        <v>255.85367600000001</v>
      </c>
      <c r="I29">
        <v>124.487453</v>
      </c>
      <c r="J29">
        <v>30.254683</v>
      </c>
      <c r="K29">
        <v>3.3054679999999999</v>
      </c>
      <c r="L29" t="s">
        <v>43</v>
      </c>
      <c r="M29">
        <v>100.005887</v>
      </c>
      <c r="N29" s="2">
        <v>0.29760799999999998</v>
      </c>
      <c r="O29">
        <v>99.708278000000007</v>
      </c>
      <c r="P29">
        <v>0</v>
      </c>
      <c r="Q29">
        <v>0</v>
      </c>
      <c r="R29">
        <v>42.632475999999997</v>
      </c>
      <c r="S29">
        <v>0.49954999999999999</v>
      </c>
      <c r="T29">
        <v>10.118572</v>
      </c>
      <c r="U29">
        <v>0.446687</v>
      </c>
      <c r="V29">
        <v>0</v>
      </c>
      <c r="W29">
        <v>22.996594999999999</v>
      </c>
      <c r="X29">
        <v>0.103723</v>
      </c>
      <c r="Y29">
        <v>14.282114</v>
      </c>
      <c r="Z29">
        <v>0</v>
      </c>
      <c r="AA29">
        <v>0</v>
      </c>
      <c r="AB29">
        <v>7.043355</v>
      </c>
      <c r="AC29">
        <v>1.8769279999999999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57.601115999999998</v>
      </c>
      <c r="AL29">
        <v>42.107162000000002</v>
      </c>
      <c r="AN29">
        <f t="shared" si="0"/>
        <v>0.52106558781064516</v>
      </c>
    </row>
    <row r="30" spans="1:40" x14ac:dyDescent="0.25">
      <c r="A30">
        <v>27</v>
      </c>
      <c r="B30" t="s">
        <v>42</v>
      </c>
      <c r="C30">
        <v>1403.5</v>
      </c>
      <c r="D30">
        <v>15000</v>
      </c>
      <c r="E30">
        <v>-9.3037790000000005</v>
      </c>
      <c r="F30">
        <v>-1567254.5575870001</v>
      </c>
      <c r="G30">
        <v>-1138205.4118619999</v>
      </c>
      <c r="H30">
        <v>255.89666600000001</v>
      </c>
      <c r="I30">
        <v>124.49852300000001</v>
      </c>
      <c r="J30">
        <v>30.256156000000001</v>
      </c>
      <c r="K30">
        <v>3.305307</v>
      </c>
      <c r="L30" t="s">
        <v>43</v>
      </c>
      <c r="M30">
        <v>100.00589100000001</v>
      </c>
      <c r="N30" s="2">
        <v>0.31906800000000002</v>
      </c>
      <c r="O30">
        <v>99.686823000000004</v>
      </c>
      <c r="P30">
        <v>0</v>
      </c>
      <c r="Q30">
        <v>0</v>
      </c>
      <c r="R30">
        <v>42.617961000000001</v>
      </c>
      <c r="S30">
        <v>0.49781199999999998</v>
      </c>
      <c r="T30">
        <v>10.095997000000001</v>
      </c>
      <c r="U30">
        <v>0.44653900000000002</v>
      </c>
      <c r="V30">
        <v>0</v>
      </c>
      <c r="W30">
        <v>23.031230000000001</v>
      </c>
      <c r="X30">
        <v>0.10388799999999999</v>
      </c>
      <c r="Y30">
        <v>14.313836</v>
      </c>
      <c r="Z30">
        <v>0</v>
      </c>
      <c r="AA30">
        <v>0</v>
      </c>
      <c r="AB30">
        <v>7.0411409999999997</v>
      </c>
      <c r="AC30">
        <v>1.8515950000000001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57.593581999999998</v>
      </c>
      <c r="AL30">
        <v>42.093243000000001</v>
      </c>
      <c r="AN30">
        <f t="shared" si="0"/>
        <v>0.52125155407602386</v>
      </c>
    </row>
    <row r="31" spans="1:40" x14ac:dyDescent="0.25">
      <c r="A31">
        <v>28</v>
      </c>
      <c r="B31" t="s">
        <v>42</v>
      </c>
      <c r="C31">
        <v>1404</v>
      </c>
      <c r="D31">
        <v>15000</v>
      </c>
      <c r="E31">
        <v>-9.2997270000000007</v>
      </c>
      <c r="F31">
        <v>-1567382.6134019999</v>
      </c>
      <c r="G31">
        <v>-1138133.2345710001</v>
      </c>
      <c r="H31">
        <v>255.93976599999999</v>
      </c>
      <c r="I31">
        <v>124.509737</v>
      </c>
      <c r="J31">
        <v>30.257641</v>
      </c>
      <c r="K31">
        <v>3.305145</v>
      </c>
      <c r="L31" t="s">
        <v>43</v>
      </c>
      <c r="M31">
        <v>100.00589600000001</v>
      </c>
      <c r="N31" s="2">
        <v>0.34097300000000003</v>
      </c>
      <c r="O31">
        <v>99.664923000000002</v>
      </c>
      <c r="P31">
        <v>0</v>
      </c>
      <c r="Q31">
        <v>0</v>
      </c>
      <c r="R31">
        <v>42.603743000000001</v>
      </c>
      <c r="S31">
        <v>0.49603799999999998</v>
      </c>
      <c r="T31">
        <v>10.073328999999999</v>
      </c>
      <c r="U31">
        <v>0.44639099999999998</v>
      </c>
      <c r="V31">
        <v>0</v>
      </c>
      <c r="W31">
        <v>23.065722999999998</v>
      </c>
      <c r="X31">
        <v>0.104056</v>
      </c>
      <c r="Y31">
        <v>14.345611999999999</v>
      </c>
      <c r="Z31">
        <v>0</v>
      </c>
      <c r="AA31">
        <v>0</v>
      </c>
      <c r="AB31">
        <v>7.0386050000000004</v>
      </c>
      <c r="AC31">
        <v>1.826503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57.585892000000001</v>
      </c>
      <c r="AL31">
        <v>42.079033000000003</v>
      </c>
      <c r="AN31">
        <f t="shared" si="0"/>
        <v>0.52143927907701715</v>
      </c>
    </row>
    <row r="32" spans="1:40" x14ac:dyDescent="0.25">
      <c r="A32">
        <v>29</v>
      </c>
      <c r="B32" t="s">
        <v>42</v>
      </c>
      <c r="C32">
        <v>1404.5</v>
      </c>
      <c r="D32">
        <v>15000</v>
      </c>
      <c r="E32">
        <v>-9.2956760000000003</v>
      </c>
      <c r="F32">
        <v>-1567510.692299</v>
      </c>
      <c r="G32">
        <v>-1138060.8508260001</v>
      </c>
      <c r="H32">
        <v>255.98297700000001</v>
      </c>
      <c r="I32">
        <v>124.52109799999999</v>
      </c>
      <c r="J32">
        <v>30.259139000000001</v>
      </c>
      <c r="K32">
        <v>3.3049819999999999</v>
      </c>
      <c r="L32" t="s">
        <v>43</v>
      </c>
      <c r="M32">
        <v>100.0059</v>
      </c>
      <c r="N32" s="2">
        <v>0.36332900000000001</v>
      </c>
      <c r="O32">
        <v>99.642571000000004</v>
      </c>
      <c r="P32">
        <v>0</v>
      </c>
      <c r="Q32">
        <v>0</v>
      </c>
      <c r="R32">
        <v>42.589823000000003</v>
      </c>
      <c r="S32">
        <v>0.49423</v>
      </c>
      <c r="T32">
        <v>10.050565000000001</v>
      </c>
      <c r="U32">
        <v>0.446243</v>
      </c>
      <c r="V32">
        <v>0</v>
      </c>
      <c r="W32">
        <v>23.100072000000001</v>
      </c>
      <c r="X32">
        <v>0.104228</v>
      </c>
      <c r="Y32">
        <v>14.377444000000001</v>
      </c>
      <c r="Z32">
        <v>0</v>
      </c>
      <c r="AA32">
        <v>0</v>
      </c>
      <c r="AB32">
        <v>7.0357419999999999</v>
      </c>
      <c r="AC32">
        <v>1.801652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57.578037000000002</v>
      </c>
      <c r="AL32">
        <v>42.064532999999997</v>
      </c>
      <c r="AN32">
        <f t="shared" si="0"/>
        <v>0.5216288095120647</v>
      </c>
    </row>
    <row r="33" spans="1:40" x14ac:dyDescent="0.25">
      <c r="A33">
        <v>30</v>
      </c>
      <c r="B33" t="s">
        <v>42</v>
      </c>
      <c r="C33">
        <v>1405</v>
      </c>
      <c r="D33">
        <v>15000</v>
      </c>
      <c r="E33">
        <v>-9.2916290000000004</v>
      </c>
      <c r="F33">
        <v>-1567638.794367</v>
      </c>
      <c r="G33">
        <v>-1137988.256915</v>
      </c>
      <c r="H33">
        <v>256.02630099999999</v>
      </c>
      <c r="I33">
        <v>124.532607</v>
      </c>
      <c r="J33">
        <v>30.260649999999998</v>
      </c>
      <c r="K33">
        <v>3.3048169999999999</v>
      </c>
      <c r="L33" t="s">
        <v>43</v>
      </c>
      <c r="M33">
        <v>100.005905</v>
      </c>
      <c r="N33" s="2">
        <v>0.38614399999999999</v>
      </c>
      <c r="O33">
        <v>99.619760999999997</v>
      </c>
      <c r="P33">
        <v>0</v>
      </c>
      <c r="Q33">
        <v>0</v>
      </c>
      <c r="R33">
        <v>42.576203</v>
      </c>
      <c r="S33">
        <v>0.49238700000000002</v>
      </c>
      <c r="T33">
        <v>10.027704</v>
      </c>
      <c r="U33">
        <v>0.44609399999999999</v>
      </c>
      <c r="V33">
        <v>0</v>
      </c>
      <c r="W33">
        <v>23.134278999999999</v>
      </c>
      <c r="X33">
        <v>0.104404</v>
      </c>
      <c r="Y33">
        <v>14.409333</v>
      </c>
      <c r="Z33">
        <v>0</v>
      </c>
      <c r="AA33">
        <v>0</v>
      </c>
      <c r="AB33">
        <v>7.0325509999999998</v>
      </c>
      <c r="AC33">
        <v>1.777045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57.570022999999999</v>
      </c>
      <c r="AL33">
        <v>42.049736000000003</v>
      </c>
      <c r="AN33">
        <f t="shared" si="0"/>
        <v>0.52182014153734868</v>
      </c>
    </row>
    <row r="34" spans="1:40" x14ac:dyDescent="0.25">
      <c r="A34">
        <v>31</v>
      </c>
      <c r="B34" t="s">
        <v>42</v>
      </c>
      <c r="C34">
        <v>1405.5</v>
      </c>
      <c r="D34">
        <v>15000</v>
      </c>
      <c r="E34">
        <v>-9.2875829999999997</v>
      </c>
      <c r="F34">
        <v>-1567766.919698</v>
      </c>
      <c r="G34">
        <v>-1137915.449093</v>
      </c>
      <c r="H34">
        <v>256.06974100000002</v>
      </c>
      <c r="I34">
        <v>124.544269</v>
      </c>
      <c r="J34">
        <v>30.262174000000002</v>
      </c>
      <c r="K34">
        <v>3.3046509999999998</v>
      </c>
      <c r="L34" t="s">
        <v>43</v>
      </c>
      <c r="M34">
        <v>100.005909</v>
      </c>
      <c r="N34" s="2">
        <v>0.40942699999999999</v>
      </c>
      <c r="O34">
        <v>99.596483000000006</v>
      </c>
      <c r="P34">
        <v>0</v>
      </c>
      <c r="Q34">
        <v>0</v>
      </c>
      <c r="R34">
        <v>42.562882999999999</v>
      </c>
      <c r="S34">
        <v>0.49051</v>
      </c>
      <c r="T34">
        <v>10.004742999999999</v>
      </c>
      <c r="U34">
        <v>0.44594499999999998</v>
      </c>
      <c r="V34">
        <v>0</v>
      </c>
      <c r="W34">
        <v>23.168343</v>
      </c>
      <c r="X34">
        <v>0.104584</v>
      </c>
      <c r="Y34">
        <v>14.441283</v>
      </c>
      <c r="Z34">
        <v>0</v>
      </c>
      <c r="AA34">
        <v>0</v>
      </c>
      <c r="AB34">
        <v>7.0290290000000004</v>
      </c>
      <c r="AC34">
        <v>1.75268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57.561844000000001</v>
      </c>
      <c r="AL34">
        <v>42.034641000000001</v>
      </c>
      <c r="AN34">
        <f t="shared" si="0"/>
        <v>0.52201333583925213</v>
      </c>
    </row>
    <row r="35" spans="1:40" x14ac:dyDescent="0.25">
      <c r="A35">
        <v>32</v>
      </c>
      <c r="B35" t="s">
        <v>42</v>
      </c>
      <c r="C35">
        <v>1406</v>
      </c>
      <c r="D35">
        <v>15000</v>
      </c>
      <c r="E35">
        <v>-9.2835400000000003</v>
      </c>
      <c r="F35">
        <v>-1567895.0683840001</v>
      </c>
      <c r="G35">
        <v>-1137842.4235789999</v>
      </c>
      <c r="H35">
        <v>256.11329799999999</v>
      </c>
      <c r="I35">
        <v>124.556084</v>
      </c>
      <c r="J35">
        <v>30.26371</v>
      </c>
      <c r="K35">
        <v>3.3044829999999998</v>
      </c>
      <c r="L35" t="s">
        <v>43</v>
      </c>
      <c r="M35">
        <v>100.005914</v>
      </c>
      <c r="N35" s="2">
        <v>0.43318400000000001</v>
      </c>
      <c r="O35">
        <v>99.572730000000007</v>
      </c>
      <c r="P35">
        <v>0</v>
      </c>
      <c r="Q35">
        <v>0</v>
      </c>
      <c r="R35">
        <v>42.549866999999999</v>
      </c>
      <c r="S35">
        <v>0.48859799999999998</v>
      </c>
      <c r="T35">
        <v>9.9816800000000008</v>
      </c>
      <c r="U35">
        <v>0.445795</v>
      </c>
      <c r="V35">
        <v>0</v>
      </c>
      <c r="W35">
        <v>23.202265000000001</v>
      </c>
      <c r="X35">
        <v>0.104768</v>
      </c>
      <c r="Y35">
        <v>14.473293999999999</v>
      </c>
      <c r="Z35">
        <v>0</v>
      </c>
      <c r="AA35">
        <v>0</v>
      </c>
      <c r="AB35">
        <v>7.0251739999999998</v>
      </c>
      <c r="AC35">
        <v>1.7285600000000001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57.553489999999996</v>
      </c>
      <c r="AL35">
        <v>42.019238000000001</v>
      </c>
      <c r="AN35">
        <f t="shared" si="0"/>
        <v>0.52220838148521243</v>
      </c>
    </row>
    <row r="36" spans="1:40" x14ac:dyDescent="0.25">
      <c r="A36">
        <v>33</v>
      </c>
      <c r="B36" t="s">
        <v>42</v>
      </c>
      <c r="C36">
        <v>1406.5</v>
      </c>
      <c r="D36">
        <v>15000</v>
      </c>
      <c r="E36">
        <v>-9.2795000000000005</v>
      </c>
      <c r="F36">
        <v>-1568023.240519</v>
      </c>
      <c r="G36">
        <v>-1137769.1765600001</v>
      </c>
      <c r="H36">
        <v>256.15697599999999</v>
      </c>
      <c r="I36">
        <v>124.568056</v>
      </c>
      <c r="J36">
        <v>30.265260000000001</v>
      </c>
      <c r="K36">
        <v>3.3043140000000002</v>
      </c>
      <c r="L36" t="s">
        <v>43</v>
      </c>
      <c r="M36">
        <v>100.00591900000001</v>
      </c>
      <c r="N36" s="2">
        <v>0.45742300000000002</v>
      </c>
      <c r="O36">
        <v>99.548496</v>
      </c>
      <c r="P36">
        <v>0</v>
      </c>
      <c r="Q36">
        <v>0</v>
      </c>
      <c r="R36">
        <v>42.537153000000004</v>
      </c>
      <c r="S36">
        <v>0.48665199999999997</v>
      </c>
      <c r="T36">
        <v>9.9585139999999992</v>
      </c>
      <c r="U36">
        <v>0.44564399999999998</v>
      </c>
      <c r="V36">
        <v>0</v>
      </c>
      <c r="W36">
        <v>23.236042999999999</v>
      </c>
      <c r="X36">
        <v>0.10495599999999999</v>
      </c>
      <c r="Y36">
        <v>14.505369</v>
      </c>
      <c r="Z36">
        <v>0</v>
      </c>
      <c r="AA36">
        <v>0</v>
      </c>
      <c r="AB36">
        <v>7.0209840000000003</v>
      </c>
      <c r="AC36">
        <v>1.7046840000000001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57.544967999999997</v>
      </c>
      <c r="AL36">
        <v>42.003529</v>
      </c>
      <c r="AN36">
        <f t="shared" si="0"/>
        <v>0.52240534139645145</v>
      </c>
    </row>
    <row r="37" spans="1:40" x14ac:dyDescent="0.25">
      <c r="A37">
        <v>34</v>
      </c>
      <c r="B37" t="s">
        <v>42</v>
      </c>
      <c r="C37">
        <v>1407</v>
      </c>
      <c r="D37">
        <v>15000</v>
      </c>
      <c r="E37">
        <v>-9.275461</v>
      </c>
      <c r="F37">
        <v>-1568151.4362000001</v>
      </c>
      <c r="G37">
        <v>-1137695.7041879999</v>
      </c>
      <c r="H37">
        <v>256.20077500000002</v>
      </c>
      <c r="I37">
        <v>124.580187</v>
      </c>
      <c r="J37">
        <v>30.266822999999999</v>
      </c>
      <c r="K37">
        <v>3.3041429999999998</v>
      </c>
      <c r="L37" t="s">
        <v>43</v>
      </c>
      <c r="M37">
        <v>100.00592399999999</v>
      </c>
      <c r="N37" s="2">
        <v>0.48215200000000003</v>
      </c>
      <c r="O37">
        <v>99.523771999999994</v>
      </c>
      <c r="P37">
        <v>0</v>
      </c>
      <c r="Q37">
        <v>0</v>
      </c>
      <c r="R37">
        <v>42.524745000000003</v>
      </c>
      <c r="S37">
        <v>0.48467300000000002</v>
      </c>
      <c r="T37">
        <v>9.9352409999999995</v>
      </c>
      <c r="U37">
        <v>0.445494</v>
      </c>
      <c r="V37">
        <v>0</v>
      </c>
      <c r="W37">
        <v>23.269679</v>
      </c>
      <c r="X37">
        <v>0.10514800000000001</v>
      </c>
      <c r="Y37">
        <v>14.537509999999999</v>
      </c>
      <c r="Z37">
        <v>0</v>
      </c>
      <c r="AA37">
        <v>0</v>
      </c>
      <c r="AB37">
        <v>7.0164569999999999</v>
      </c>
      <c r="AC37">
        <v>1.6810529999999999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57.536270000000002</v>
      </c>
      <c r="AL37">
        <v>41.987502999999997</v>
      </c>
      <c r="AN37">
        <f t="shared" si="0"/>
        <v>0.52260419969342253</v>
      </c>
    </row>
    <row r="38" spans="1:40" s="1" customFormat="1" x14ac:dyDescent="0.25">
      <c r="A38" s="1">
        <v>35</v>
      </c>
      <c r="B38" s="1" t="s">
        <v>42</v>
      </c>
      <c r="C38" s="1">
        <v>1407.5</v>
      </c>
      <c r="D38" s="1">
        <v>15000</v>
      </c>
      <c r="E38" s="1">
        <v>-9.2714259999999999</v>
      </c>
      <c r="F38" s="1">
        <v>-1568279.6555230001</v>
      </c>
      <c r="G38" s="1">
        <v>-1137622.0025859999</v>
      </c>
      <c r="H38" s="1">
        <v>256.24469900000003</v>
      </c>
      <c r="I38" s="1">
        <v>124.59247999999999</v>
      </c>
      <c r="J38" s="1">
        <v>30.2684</v>
      </c>
      <c r="K38" s="1">
        <v>3.3039710000000002</v>
      </c>
      <c r="L38" s="1" t="s">
        <v>43</v>
      </c>
      <c r="M38" s="1">
        <v>100.00592899999999</v>
      </c>
      <c r="N38" s="3">
        <v>0.50737900000000002</v>
      </c>
      <c r="O38" s="1">
        <v>99.498549999999994</v>
      </c>
      <c r="P38" s="1">
        <v>0</v>
      </c>
      <c r="Q38" s="1">
        <v>0</v>
      </c>
      <c r="R38" s="1">
        <v>42.512642999999997</v>
      </c>
      <c r="S38" s="1">
        <v>0.48265999999999998</v>
      </c>
      <c r="T38" s="1">
        <v>9.911861</v>
      </c>
      <c r="U38" s="1">
        <v>0.44534299999999999</v>
      </c>
      <c r="V38" s="1">
        <v>0</v>
      </c>
      <c r="W38" s="1">
        <v>23.303172</v>
      </c>
      <c r="X38" s="1">
        <v>0.10534499999999999</v>
      </c>
      <c r="Y38" s="1">
        <v>14.569718</v>
      </c>
      <c r="Z38" s="1">
        <v>0</v>
      </c>
      <c r="AA38" s="1">
        <v>0</v>
      </c>
      <c r="AB38" s="1">
        <v>7.01159</v>
      </c>
      <c r="AC38" s="1">
        <v>1.6576679999999999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57.527393000000004</v>
      </c>
      <c r="AL38" s="1">
        <v>41.971156999999998</v>
      </c>
      <c r="AN38" s="4">
        <f t="shared" si="0"/>
        <v>0.52280499284126714</v>
      </c>
    </row>
    <row r="39" spans="1:40" x14ac:dyDescent="0.25">
      <c r="A39">
        <v>36</v>
      </c>
      <c r="B39" t="s">
        <v>42</v>
      </c>
      <c r="C39">
        <v>1408</v>
      </c>
      <c r="D39">
        <v>15000</v>
      </c>
      <c r="E39">
        <v>-9.2673919999999992</v>
      </c>
      <c r="F39">
        <v>-1568407.8985890001</v>
      </c>
      <c r="G39">
        <v>-1137548.067846</v>
      </c>
      <c r="H39">
        <v>256.288749</v>
      </c>
      <c r="I39">
        <v>124.60493700000001</v>
      </c>
      <c r="J39">
        <v>30.269991000000001</v>
      </c>
      <c r="K39">
        <v>3.303798</v>
      </c>
      <c r="L39" t="s">
        <v>43</v>
      </c>
      <c r="M39">
        <v>100.005934</v>
      </c>
      <c r="N39" s="2">
        <v>0.53311200000000003</v>
      </c>
      <c r="O39">
        <v>99.472823000000005</v>
      </c>
      <c r="P39">
        <v>0</v>
      </c>
      <c r="Q39">
        <v>0</v>
      </c>
      <c r="R39">
        <v>42.500849000000002</v>
      </c>
      <c r="S39">
        <v>0.48061399999999999</v>
      </c>
      <c r="T39">
        <v>9.8883700000000001</v>
      </c>
      <c r="U39">
        <v>0.445191</v>
      </c>
      <c r="V39">
        <v>0</v>
      </c>
      <c r="W39">
        <v>23.336523</v>
      </c>
      <c r="X39">
        <v>0.105545</v>
      </c>
      <c r="Y39">
        <v>14.601997000000001</v>
      </c>
      <c r="Z39">
        <v>0</v>
      </c>
      <c r="AA39">
        <v>0</v>
      </c>
      <c r="AB39">
        <v>7.0063829999999996</v>
      </c>
      <c r="AC39">
        <v>1.634528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57.518332999999998</v>
      </c>
      <c r="AL39">
        <v>41.954490999999997</v>
      </c>
      <c r="AN39">
        <f t="shared" si="0"/>
        <v>0.52300776837835605</v>
      </c>
    </row>
    <row r="40" spans="1:40" x14ac:dyDescent="0.25">
      <c r="A40">
        <v>37</v>
      </c>
      <c r="B40" t="s">
        <v>42</v>
      </c>
      <c r="C40">
        <v>1408.5</v>
      </c>
      <c r="D40">
        <v>15000</v>
      </c>
      <c r="E40">
        <v>-9.2633609999999997</v>
      </c>
      <c r="F40">
        <v>-1568536.1654970001</v>
      </c>
      <c r="G40">
        <v>-1137473.8960269999</v>
      </c>
      <c r="H40">
        <v>256.33292899999998</v>
      </c>
      <c r="I40">
        <v>124.61756099999999</v>
      </c>
      <c r="J40">
        <v>30.271595999999999</v>
      </c>
      <c r="K40">
        <v>3.303623</v>
      </c>
      <c r="L40" t="s">
        <v>43</v>
      </c>
      <c r="M40">
        <v>100.005939</v>
      </c>
      <c r="N40" s="2">
        <v>0.55935699999999999</v>
      </c>
      <c r="O40">
        <v>99.446582000000006</v>
      </c>
      <c r="P40">
        <v>0</v>
      </c>
      <c r="Q40">
        <v>0</v>
      </c>
      <c r="R40">
        <v>42.489362999999997</v>
      </c>
      <c r="S40">
        <v>0.47853499999999999</v>
      </c>
      <c r="T40">
        <v>9.8647659999999995</v>
      </c>
      <c r="U40">
        <v>0.44503900000000002</v>
      </c>
      <c r="V40">
        <v>0</v>
      </c>
      <c r="W40">
        <v>23.369731000000002</v>
      </c>
      <c r="X40">
        <v>0.10575</v>
      </c>
      <c r="Y40">
        <v>14.634347</v>
      </c>
      <c r="Z40">
        <v>0</v>
      </c>
      <c r="AA40">
        <v>0</v>
      </c>
      <c r="AB40">
        <v>7.0008330000000001</v>
      </c>
      <c r="AC40">
        <v>1.6116360000000001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57.509087000000001</v>
      </c>
      <c r="AL40">
        <v>41.937496000000003</v>
      </c>
      <c r="AN40">
        <f t="shared" si="0"/>
        <v>0.5232125167281948</v>
      </c>
    </row>
    <row r="41" spans="1:40" x14ac:dyDescent="0.25">
      <c r="A41">
        <v>38</v>
      </c>
      <c r="B41" t="s">
        <v>42</v>
      </c>
      <c r="C41">
        <v>1409</v>
      </c>
      <c r="D41">
        <v>15000</v>
      </c>
      <c r="E41">
        <v>-9.2593329999999998</v>
      </c>
      <c r="F41">
        <v>-1568664.4563500001</v>
      </c>
      <c r="G41">
        <v>-1137399.4831610001</v>
      </c>
      <c r="H41">
        <v>256.37723899999997</v>
      </c>
      <c r="I41">
        <v>124.630354</v>
      </c>
      <c r="J41">
        <v>30.273215</v>
      </c>
      <c r="K41">
        <v>3.3034460000000001</v>
      </c>
      <c r="L41" t="s">
        <v>43</v>
      </c>
      <c r="M41">
        <v>100.005944</v>
      </c>
      <c r="N41" s="2">
        <v>0.58612399999999998</v>
      </c>
      <c r="O41">
        <v>99.419820999999999</v>
      </c>
      <c r="P41">
        <v>0</v>
      </c>
      <c r="Q41">
        <v>0</v>
      </c>
      <c r="R41">
        <v>42.478186000000001</v>
      </c>
      <c r="S41">
        <v>0.47642400000000001</v>
      </c>
      <c r="T41">
        <v>9.8410480000000007</v>
      </c>
      <c r="U41">
        <v>0.44488699999999998</v>
      </c>
      <c r="V41">
        <v>0</v>
      </c>
      <c r="W41">
        <v>23.402797</v>
      </c>
      <c r="X41">
        <v>0.10596</v>
      </c>
      <c r="Y41">
        <v>14.666771000000001</v>
      </c>
      <c r="Z41">
        <v>0</v>
      </c>
      <c r="AA41">
        <v>0</v>
      </c>
      <c r="AB41">
        <v>6.9949389999999996</v>
      </c>
      <c r="AC41">
        <v>1.588989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57.499653000000002</v>
      </c>
      <c r="AL41">
        <v>41.920166000000002</v>
      </c>
      <c r="AN41">
        <f t="shared" si="0"/>
        <v>0.52341926788550852</v>
      </c>
    </row>
    <row r="42" spans="1:40" x14ac:dyDescent="0.25">
      <c r="A42">
        <v>39</v>
      </c>
      <c r="B42" t="s">
        <v>42</v>
      </c>
      <c r="C42">
        <v>1409.5</v>
      </c>
      <c r="D42">
        <v>15000</v>
      </c>
      <c r="E42">
        <v>-9.2553070000000002</v>
      </c>
      <c r="F42">
        <v>-1568792.771253</v>
      </c>
      <c r="G42">
        <v>-1137324.825252</v>
      </c>
      <c r="H42">
        <v>256.42168400000003</v>
      </c>
      <c r="I42">
        <v>124.64332</v>
      </c>
      <c r="J42">
        <v>30.274849</v>
      </c>
      <c r="K42">
        <v>3.3032680000000001</v>
      </c>
      <c r="L42" t="s">
        <v>43</v>
      </c>
      <c r="M42">
        <v>100.00595</v>
      </c>
      <c r="N42" s="2">
        <v>0.61341900000000005</v>
      </c>
      <c r="O42">
        <v>99.392531000000005</v>
      </c>
      <c r="P42">
        <v>0</v>
      </c>
      <c r="Q42">
        <v>0</v>
      </c>
      <c r="R42">
        <v>42.467319000000003</v>
      </c>
      <c r="S42">
        <v>0.47428100000000001</v>
      </c>
      <c r="T42">
        <v>9.8172130000000006</v>
      </c>
      <c r="U42">
        <v>0.44473400000000002</v>
      </c>
      <c r="V42">
        <v>0</v>
      </c>
      <c r="W42">
        <v>23.43572</v>
      </c>
      <c r="X42">
        <v>0.106174</v>
      </c>
      <c r="Y42">
        <v>14.69927</v>
      </c>
      <c r="Z42">
        <v>0</v>
      </c>
      <c r="AA42">
        <v>0</v>
      </c>
      <c r="AB42">
        <v>6.9886990000000004</v>
      </c>
      <c r="AC42">
        <v>1.5665899999999999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57.490028000000002</v>
      </c>
      <c r="AL42">
        <v>41.902504</v>
      </c>
      <c r="AN42">
        <f t="shared" si="0"/>
        <v>0.52362804793443452</v>
      </c>
    </row>
    <row r="43" spans="1:40" x14ac:dyDescent="0.25">
      <c r="A43">
        <v>40</v>
      </c>
      <c r="B43" t="s">
        <v>42</v>
      </c>
      <c r="C43">
        <v>1410</v>
      </c>
      <c r="D43">
        <v>15000</v>
      </c>
      <c r="E43">
        <v>-9.2512830000000008</v>
      </c>
      <c r="F43">
        <v>-1568921.1103119999</v>
      </c>
      <c r="G43">
        <v>-1137249.9182760001</v>
      </c>
      <c r="H43">
        <v>256.46626400000002</v>
      </c>
      <c r="I43">
        <v>124.656459</v>
      </c>
      <c r="J43">
        <v>30.276496999999999</v>
      </c>
      <c r="K43">
        <v>3.3030889999999999</v>
      </c>
      <c r="L43" t="s">
        <v>43</v>
      </c>
      <c r="M43">
        <v>100.005955</v>
      </c>
      <c r="N43" s="2">
        <v>0.64125100000000002</v>
      </c>
      <c r="O43">
        <v>99.364704000000003</v>
      </c>
      <c r="P43">
        <v>0</v>
      </c>
      <c r="Q43">
        <v>0</v>
      </c>
      <c r="R43">
        <v>42.456763000000002</v>
      </c>
      <c r="S43">
        <v>0.47210600000000003</v>
      </c>
      <c r="T43">
        <v>9.7932590000000008</v>
      </c>
      <c r="U43">
        <v>0.444581</v>
      </c>
      <c r="V43">
        <v>0</v>
      </c>
      <c r="W43">
        <v>23.468501</v>
      </c>
      <c r="X43">
        <v>0.106392</v>
      </c>
      <c r="Y43">
        <v>14.731847</v>
      </c>
      <c r="Z43">
        <v>0</v>
      </c>
      <c r="AA43">
        <v>0</v>
      </c>
      <c r="AB43">
        <v>6.982113</v>
      </c>
      <c r="AC43">
        <v>1.544438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57.480206000000003</v>
      </c>
      <c r="AL43">
        <v>41.884498999999998</v>
      </c>
      <c r="AN43">
        <f t="shared" si="0"/>
        <v>0.52383887692691011</v>
      </c>
    </row>
    <row r="44" spans="1:40" x14ac:dyDescent="0.25">
      <c r="A44">
        <v>41</v>
      </c>
      <c r="B44" t="s">
        <v>42</v>
      </c>
      <c r="C44">
        <v>1410.5</v>
      </c>
      <c r="D44">
        <v>15000</v>
      </c>
      <c r="E44">
        <v>-9.247261</v>
      </c>
      <c r="F44">
        <v>-1569049.4736339999</v>
      </c>
      <c r="G44">
        <v>-1137174.7581819999</v>
      </c>
      <c r="H44">
        <v>256.51098200000001</v>
      </c>
      <c r="I44">
        <v>124.669776</v>
      </c>
      <c r="J44">
        <v>30.27816</v>
      </c>
      <c r="K44">
        <v>3.3029069999999998</v>
      </c>
      <c r="L44" t="s">
        <v>43</v>
      </c>
      <c r="M44">
        <v>100.005961</v>
      </c>
      <c r="N44" s="2">
        <v>0.669628</v>
      </c>
      <c r="O44">
        <v>99.336332999999996</v>
      </c>
      <c r="P44">
        <v>0</v>
      </c>
      <c r="Q44">
        <v>0</v>
      </c>
      <c r="R44">
        <v>42.446517999999998</v>
      </c>
      <c r="S44">
        <v>0.46989999999999998</v>
      </c>
      <c r="T44">
        <v>9.7691839999999992</v>
      </c>
      <c r="U44">
        <v>0.44442700000000002</v>
      </c>
      <c r="V44">
        <v>0</v>
      </c>
      <c r="W44">
        <v>23.501139999999999</v>
      </c>
      <c r="X44">
        <v>0.106616</v>
      </c>
      <c r="Y44">
        <v>14.764504000000001</v>
      </c>
      <c r="Z44">
        <v>0</v>
      </c>
      <c r="AA44">
        <v>0</v>
      </c>
      <c r="AB44">
        <v>6.9751779999999997</v>
      </c>
      <c r="AC44">
        <v>1.522532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57.470188</v>
      </c>
      <c r="AL44">
        <v>41.866146000000001</v>
      </c>
      <c r="AN44">
        <f t="shared" si="0"/>
        <v>0.52405178697582999</v>
      </c>
    </row>
    <row r="45" spans="1:40" x14ac:dyDescent="0.25">
      <c r="A45">
        <v>42</v>
      </c>
      <c r="B45" t="s">
        <v>42</v>
      </c>
      <c r="C45">
        <v>1411</v>
      </c>
      <c r="D45">
        <v>15000</v>
      </c>
      <c r="E45">
        <v>-9.2432420000000004</v>
      </c>
      <c r="F45">
        <v>-1569177.861329</v>
      </c>
      <c r="G45">
        <v>-1137099.3408919999</v>
      </c>
      <c r="H45">
        <v>256.55584099999999</v>
      </c>
      <c r="I45">
        <v>124.683272</v>
      </c>
      <c r="J45">
        <v>30.279838000000002</v>
      </c>
      <c r="K45">
        <v>3.3027250000000001</v>
      </c>
      <c r="L45" t="s">
        <v>43</v>
      </c>
      <c r="M45">
        <v>100.005966</v>
      </c>
      <c r="N45" s="2">
        <v>0.69855699999999998</v>
      </c>
      <c r="O45">
        <v>99.307409000000007</v>
      </c>
      <c r="P45">
        <v>0</v>
      </c>
      <c r="Q45">
        <v>0</v>
      </c>
      <c r="R45">
        <v>42.436585999999998</v>
      </c>
      <c r="S45">
        <v>0.467663</v>
      </c>
      <c r="T45">
        <v>9.7449849999999998</v>
      </c>
      <c r="U45">
        <v>0.44427299999999997</v>
      </c>
      <c r="V45">
        <v>0</v>
      </c>
      <c r="W45">
        <v>23.533636999999999</v>
      </c>
      <c r="X45">
        <v>0.10684399999999999</v>
      </c>
      <c r="Y45">
        <v>14.797243</v>
      </c>
      <c r="Z45">
        <v>0</v>
      </c>
      <c r="AA45">
        <v>0</v>
      </c>
      <c r="AB45">
        <v>6.9678940000000003</v>
      </c>
      <c r="AC45">
        <v>1.500874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57.459964999999997</v>
      </c>
      <c r="AL45">
        <v>41.847445999999998</v>
      </c>
      <c r="AN45">
        <f t="shared" si="0"/>
        <v>0.52426679115984087</v>
      </c>
    </row>
    <row r="46" spans="1:40" x14ac:dyDescent="0.25">
      <c r="A46">
        <v>43</v>
      </c>
      <c r="B46" t="s">
        <v>42</v>
      </c>
      <c r="C46">
        <v>1411.5</v>
      </c>
      <c r="D46">
        <v>15000</v>
      </c>
      <c r="E46">
        <v>-9.2392260000000004</v>
      </c>
      <c r="F46">
        <v>-1569306.273508</v>
      </c>
      <c r="G46">
        <v>-1137023.662306</v>
      </c>
      <c r="H46">
        <v>256.600844</v>
      </c>
      <c r="I46">
        <v>124.696951</v>
      </c>
      <c r="J46">
        <v>30.281531999999999</v>
      </c>
      <c r="K46">
        <v>3.30254</v>
      </c>
      <c r="L46" t="s">
        <v>43</v>
      </c>
      <c r="M46">
        <v>100.005972</v>
      </c>
      <c r="N46" s="2">
        <v>0.72804599999999997</v>
      </c>
      <c r="O46">
        <v>99.277925999999994</v>
      </c>
      <c r="P46">
        <v>0</v>
      </c>
      <c r="Q46">
        <v>0</v>
      </c>
      <c r="R46">
        <v>42.426966</v>
      </c>
      <c r="S46">
        <v>0.46539599999999998</v>
      </c>
      <c r="T46">
        <v>9.7206620000000008</v>
      </c>
      <c r="U46">
        <v>0.44411899999999999</v>
      </c>
      <c r="V46">
        <v>0</v>
      </c>
      <c r="W46">
        <v>23.565991</v>
      </c>
      <c r="X46">
        <v>0.107076</v>
      </c>
      <c r="Y46">
        <v>14.830064999999999</v>
      </c>
      <c r="Z46">
        <v>0</v>
      </c>
      <c r="AA46">
        <v>0</v>
      </c>
      <c r="AB46">
        <v>6.960261</v>
      </c>
      <c r="AC46">
        <v>1.479463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57.449534999999997</v>
      </c>
      <c r="AL46">
        <v>41.828387999999997</v>
      </c>
      <c r="AN46">
        <f t="shared" si="0"/>
        <v>0.5244839053418171</v>
      </c>
    </row>
    <row r="47" spans="1:40" x14ac:dyDescent="0.25">
      <c r="A47">
        <v>44</v>
      </c>
      <c r="B47" t="s">
        <v>42</v>
      </c>
      <c r="C47">
        <v>1412</v>
      </c>
      <c r="D47">
        <v>15000</v>
      </c>
      <c r="E47">
        <v>-9.2352109999999996</v>
      </c>
      <c r="F47">
        <v>-1569434.710284</v>
      </c>
      <c r="G47">
        <v>-1136947.718296</v>
      </c>
      <c r="H47">
        <v>256.64599099999998</v>
      </c>
      <c r="I47">
        <v>124.710815</v>
      </c>
      <c r="J47">
        <v>30.283241</v>
      </c>
      <c r="K47">
        <v>3.3023539999999998</v>
      </c>
      <c r="L47" t="s">
        <v>43</v>
      </c>
      <c r="M47">
        <v>100.005978</v>
      </c>
      <c r="N47" s="2">
        <v>0.758104</v>
      </c>
      <c r="O47">
        <v>99.247873999999996</v>
      </c>
      <c r="P47">
        <v>0</v>
      </c>
      <c r="Q47">
        <v>0</v>
      </c>
      <c r="R47">
        <v>42.417659999999998</v>
      </c>
      <c r="S47">
        <v>0.46309899999999998</v>
      </c>
      <c r="T47">
        <v>9.6962109999999999</v>
      </c>
      <c r="U47">
        <v>0.443965</v>
      </c>
      <c r="V47">
        <v>0</v>
      </c>
      <c r="W47">
        <v>23.598203999999999</v>
      </c>
      <c r="X47">
        <v>0.10731400000000001</v>
      </c>
      <c r="Y47">
        <v>14.862973</v>
      </c>
      <c r="Z47">
        <v>0</v>
      </c>
      <c r="AA47">
        <v>0</v>
      </c>
      <c r="AB47">
        <v>6.9522760000000003</v>
      </c>
      <c r="AC47">
        <v>1.458299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57.438899999999997</v>
      </c>
      <c r="AL47">
        <v>41.808974999999997</v>
      </c>
      <c r="AN47">
        <f t="shared" si="0"/>
        <v>0.52470314763791293</v>
      </c>
    </row>
    <row r="48" spans="1:40" x14ac:dyDescent="0.25">
      <c r="A48">
        <v>45</v>
      </c>
      <c r="B48" t="s">
        <v>42</v>
      </c>
      <c r="C48">
        <v>1412.5</v>
      </c>
      <c r="D48">
        <v>15000</v>
      </c>
      <c r="E48">
        <v>-9.2311999999999994</v>
      </c>
      <c r="F48">
        <v>-1569563.1717709999</v>
      </c>
      <c r="G48">
        <v>-1136871.504713</v>
      </c>
      <c r="H48">
        <v>256.69128599999999</v>
      </c>
      <c r="I48">
        <v>124.72486600000001</v>
      </c>
      <c r="J48">
        <v>30.284965</v>
      </c>
      <c r="K48">
        <v>3.3021660000000002</v>
      </c>
      <c r="L48" t="s">
        <v>43</v>
      </c>
      <c r="M48">
        <v>100.005984</v>
      </c>
      <c r="N48" s="2">
        <v>0.78873700000000002</v>
      </c>
      <c r="O48">
        <v>99.217246000000003</v>
      </c>
      <c r="P48">
        <v>0</v>
      </c>
      <c r="Q48">
        <v>0</v>
      </c>
      <c r="R48">
        <v>42.408667000000001</v>
      </c>
      <c r="S48">
        <v>0.46077299999999999</v>
      </c>
      <c r="T48">
        <v>9.6716300000000004</v>
      </c>
      <c r="U48">
        <v>0.44380999999999998</v>
      </c>
      <c r="V48">
        <v>0</v>
      </c>
      <c r="W48">
        <v>23.630274</v>
      </c>
      <c r="X48">
        <v>0.107557</v>
      </c>
      <c r="Y48">
        <v>14.895968</v>
      </c>
      <c r="Z48">
        <v>0</v>
      </c>
      <c r="AA48">
        <v>0</v>
      </c>
      <c r="AB48">
        <v>6.9439399999999996</v>
      </c>
      <c r="AC48">
        <v>1.437381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57.428051000000004</v>
      </c>
      <c r="AL48">
        <v>41.789195999999997</v>
      </c>
      <c r="AN48">
        <f t="shared" si="0"/>
        <v>0.52492455327360155</v>
      </c>
    </row>
    <row r="49" spans="1:40" x14ac:dyDescent="0.25">
      <c r="A49">
        <v>46</v>
      </c>
      <c r="B49" t="s">
        <v>42</v>
      </c>
      <c r="C49">
        <v>1413</v>
      </c>
      <c r="D49">
        <v>15000</v>
      </c>
      <c r="E49">
        <v>-9.2271900000000002</v>
      </c>
      <c r="F49">
        <v>-1569691.658086</v>
      </c>
      <c r="G49">
        <v>-1136795.0173830001</v>
      </c>
      <c r="H49">
        <v>256.73673200000002</v>
      </c>
      <c r="I49">
        <v>124.739107</v>
      </c>
      <c r="J49">
        <v>30.286705999999999</v>
      </c>
      <c r="K49">
        <v>3.3019759999999998</v>
      </c>
      <c r="L49" t="s">
        <v>43</v>
      </c>
      <c r="M49">
        <v>100.00599</v>
      </c>
      <c r="N49" s="2">
        <v>0.81995499999999999</v>
      </c>
      <c r="O49">
        <v>99.186035000000004</v>
      </c>
      <c r="P49">
        <v>0</v>
      </c>
      <c r="Q49">
        <v>0</v>
      </c>
      <c r="R49">
        <v>42.399988</v>
      </c>
      <c r="S49">
        <v>0.45841799999999999</v>
      </c>
      <c r="T49">
        <v>9.6469179999999994</v>
      </c>
      <c r="U49">
        <v>0.44365500000000002</v>
      </c>
      <c r="V49">
        <v>0</v>
      </c>
      <c r="W49">
        <v>23.662202000000001</v>
      </c>
      <c r="X49">
        <v>0.107805</v>
      </c>
      <c r="Y49">
        <v>14.929052</v>
      </c>
      <c r="Z49">
        <v>0</v>
      </c>
      <c r="AA49">
        <v>0</v>
      </c>
      <c r="AB49">
        <v>6.9352530000000003</v>
      </c>
      <c r="AC49">
        <v>1.416709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57.416984999999997</v>
      </c>
      <c r="AL49">
        <v>41.769050999999997</v>
      </c>
      <c r="AN49">
        <f t="shared" si="0"/>
        <v>0.52514812419607149</v>
      </c>
    </row>
    <row r="50" spans="1:40" x14ac:dyDescent="0.25">
      <c r="A50">
        <v>47</v>
      </c>
      <c r="B50" t="s">
        <v>42</v>
      </c>
      <c r="C50">
        <v>1413.5</v>
      </c>
      <c r="D50">
        <v>15000</v>
      </c>
      <c r="E50">
        <v>-9.2231830000000006</v>
      </c>
      <c r="F50">
        <v>-1569820.1693490001</v>
      </c>
      <c r="G50">
        <v>-1136718.252111</v>
      </c>
      <c r="H50">
        <v>256.78233</v>
      </c>
      <c r="I50">
        <v>124.753541</v>
      </c>
      <c r="J50">
        <v>30.288461999999999</v>
      </c>
      <c r="K50">
        <v>3.3017850000000002</v>
      </c>
      <c r="L50" t="s">
        <v>43</v>
      </c>
      <c r="M50">
        <v>100.005996</v>
      </c>
      <c r="N50" s="2">
        <v>0.85176399999999997</v>
      </c>
      <c r="O50">
        <v>99.154230999999996</v>
      </c>
      <c r="P50">
        <v>0</v>
      </c>
      <c r="Q50">
        <v>0</v>
      </c>
      <c r="R50">
        <v>42.391621999999998</v>
      </c>
      <c r="S50">
        <v>0.456036</v>
      </c>
      <c r="T50">
        <v>9.6220719999999993</v>
      </c>
      <c r="U50">
        <v>0.44350000000000001</v>
      </c>
      <c r="V50">
        <v>0</v>
      </c>
      <c r="W50">
        <v>23.693988000000001</v>
      </c>
      <c r="X50">
        <v>0.108058</v>
      </c>
      <c r="Y50">
        <v>14.962228</v>
      </c>
      <c r="Z50">
        <v>0</v>
      </c>
      <c r="AA50">
        <v>0</v>
      </c>
      <c r="AB50">
        <v>6.9262129999999997</v>
      </c>
      <c r="AC50">
        <v>1.3962840000000001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57.405697000000004</v>
      </c>
      <c r="AL50">
        <v>41.748531</v>
      </c>
      <c r="AN50">
        <f t="shared" si="0"/>
        <v>0.52537389856861405</v>
      </c>
    </row>
    <row r="51" spans="1:40" x14ac:dyDescent="0.25">
      <c r="A51">
        <v>48</v>
      </c>
      <c r="B51" t="s">
        <v>42</v>
      </c>
      <c r="C51">
        <v>1414</v>
      </c>
      <c r="D51">
        <v>15000</v>
      </c>
      <c r="E51">
        <v>-9.2191779999999994</v>
      </c>
      <c r="F51">
        <v>-1569948.7056770001</v>
      </c>
      <c r="G51">
        <v>-1136641.204681</v>
      </c>
      <c r="H51">
        <v>256.82808299999999</v>
      </c>
      <c r="I51">
        <v>124.76817</v>
      </c>
      <c r="J51">
        <v>30.290234999999999</v>
      </c>
      <c r="K51">
        <v>3.3015919999999999</v>
      </c>
      <c r="L51" t="s">
        <v>43</v>
      </c>
      <c r="M51">
        <v>100.006002</v>
      </c>
      <c r="N51" s="2">
        <v>0.88417299999999999</v>
      </c>
      <c r="O51">
        <v>99.121827999999994</v>
      </c>
      <c r="P51">
        <v>0</v>
      </c>
      <c r="Q51">
        <v>0</v>
      </c>
      <c r="R51">
        <v>42.383571000000003</v>
      </c>
      <c r="S51">
        <v>0.453625</v>
      </c>
      <c r="T51">
        <v>9.5970899999999997</v>
      </c>
      <c r="U51">
        <v>0.44334400000000002</v>
      </c>
      <c r="V51">
        <v>0</v>
      </c>
      <c r="W51">
        <v>23.725632000000001</v>
      </c>
      <c r="X51">
        <v>0.108316</v>
      </c>
      <c r="Y51">
        <v>14.995495999999999</v>
      </c>
      <c r="Z51">
        <v>0</v>
      </c>
      <c r="AA51">
        <v>0</v>
      </c>
      <c r="AB51">
        <v>6.9168209999999997</v>
      </c>
      <c r="AC51">
        <v>1.376104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57.394191999999997</v>
      </c>
      <c r="AL51">
        <v>41.727637999999999</v>
      </c>
      <c r="AN51">
        <f t="shared" si="0"/>
        <v>0.52560187360005095</v>
      </c>
    </row>
    <row r="52" spans="1:40" x14ac:dyDescent="0.25">
      <c r="A52">
        <v>49</v>
      </c>
      <c r="B52" t="s">
        <v>42</v>
      </c>
      <c r="C52">
        <v>1414.5</v>
      </c>
      <c r="D52">
        <v>15000</v>
      </c>
      <c r="E52">
        <v>-9.2151759999999996</v>
      </c>
      <c r="F52">
        <v>-1570077.2671950001</v>
      </c>
      <c r="G52">
        <v>-1136563.8708520001</v>
      </c>
      <c r="H52">
        <v>256.87399399999998</v>
      </c>
      <c r="I52">
        <v>124.782996</v>
      </c>
      <c r="J52">
        <v>30.292024000000001</v>
      </c>
      <c r="K52">
        <v>3.3013970000000001</v>
      </c>
      <c r="L52" t="s">
        <v>43</v>
      </c>
      <c r="M52">
        <v>100.00600799999999</v>
      </c>
      <c r="N52" s="2">
        <v>0.91718999999999995</v>
      </c>
      <c r="O52">
        <v>99.088818000000003</v>
      </c>
      <c r="P52">
        <v>0</v>
      </c>
      <c r="Q52">
        <v>0</v>
      </c>
      <c r="R52">
        <v>42.375833</v>
      </c>
      <c r="S52">
        <v>0.45118799999999998</v>
      </c>
      <c r="T52">
        <v>9.5719709999999996</v>
      </c>
      <c r="U52">
        <v>0.44318800000000003</v>
      </c>
      <c r="V52">
        <v>0</v>
      </c>
      <c r="W52">
        <v>23.757134000000001</v>
      </c>
      <c r="X52">
        <v>0.10857899999999999</v>
      </c>
      <c r="Y52">
        <v>15.02886</v>
      </c>
      <c r="Z52">
        <v>0</v>
      </c>
      <c r="AA52">
        <v>0</v>
      </c>
      <c r="AB52">
        <v>6.9070780000000003</v>
      </c>
      <c r="AC52">
        <v>1.356169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57.382454000000003</v>
      </c>
      <c r="AL52">
        <v>41.706364000000001</v>
      </c>
      <c r="AN52">
        <f t="shared" si="0"/>
        <v>0.52583209431153388</v>
      </c>
    </row>
    <row r="53" spans="1:40" x14ac:dyDescent="0.25">
      <c r="A53">
        <v>50</v>
      </c>
      <c r="B53" t="s">
        <v>42</v>
      </c>
      <c r="C53">
        <v>1415</v>
      </c>
      <c r="D53">
        <v>15000</v>
      </c>
      <c r="E53">
        <v>-9.211176</v>
      </c>
      <c r="F53">
        <v>-1570205.854024</v>
      </c>
      <c r="G53">
        <v>-1136486.246366</v>
      </c>
      <c r="H53">
        <v>256.92006500000002</v>
      </c>
      <c r="I53">
        <v>124.798024</v>
      </c>
      <c r="J53">
        <v>30.29383</v>
      </c>
      <c r="K53">
        <v>3.3012009999999998</v>
      </c>
      <c r="L53" t="s">
        <v>43</v>
      </c>
      <c r="M53">
        <v>100.006015</v>
      </c>
      <c r="N53" s="2">
        <v>0.95082299999999997</v>
      </c>
      <c r="O53">
        <v>99.055192000000005</v>
      </c>
      <c r="P53">
        <v>0</v>
      </c>
      <c r="Q53">
        <v>0</v>
      </c>
      <c r="R53">
        <v>42.368409999999997</v>
      </c>
      <c r="S53">
        <v>0.44872400000000001</v>
      </c>
      <c r="T53">
        <v>9.5467119999999994</v>
      </c>
      <c r="U53">
        <v>0.44303199999999998</v>
      </c>
      <c r="V53">
        <v>0</v>
      </c>
      <c r="W53">
        <v>23.788494</v>
      </c>
      <c r="X53">
        <v>0.108848</v>
      </c>
      <c r="Y53">
        <v>15.06232</v>
      </c>
      <c r="Z53">
        <v>0</v>
      </c>
      <c r="AA53">
        <v>0</v>
      </c>
      <c r="AB53">
        <v>6.8969820000000004</v>
      </c>
      <c r="AC53">
        <v>1.3364780000000001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57.370486999999997</v>
      </c>
      <c r="AL53">
        <v>41.684704000000004</v>
      </c>
      <c r="AN53">
        <f t="shared" si="0"/>
        <v>0.52606454831861094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3"/>
  <sheetViews>
    <sheetView workbookViewId="0"/>
  </sheetViews>
  <sheetFormatPr defaultColWidth="11" defaultRowHeight="15.75" x14ac:dyDescent="0.25"/>
  <sheetData>
    <row r="1" spans="1:7" x14ac:dyDescent="0.25">
      <c r="A1" t="s">
        <v>44</v>
      </c>
    </row>
    <row r="2" spans="1:7" x14ac:dyDescent="0.25">
      <c r="A2" t="s">
        <v>45</v>
      </c>
      <c r="B2" t="s">
        <v>46</v>
      </c>
      <c r="C2" t="s">
        <v>47</v>
      </c>
      <c r="D2" t="s">
        <v>48</v>
      </c>
    </row>
    <row r="3" spans="1:7" x14ac:dyDescent="0.25">
      <c r="A3">
        <v>0</v>
      </c>
      <c r="B3" t="s">
        <v>40</v>
      </c>
      <c r="C3" t="s">
        <v>49</v>
      </c>
      <c r="D3">
        <v>57.704397</v>
      </c>
      <c r="E3" t="s">
        <v>41</v>
      </c>
      <c r="F3" t="s">
        <v>50</v>
      </c>
      <c r="G3">
        <v>42.301389999999998</v>
      </c>
    </row>
    <row r="4" spans="1:7" x14ac:dyDescent="0.25">
      <c r="A4">
        <v>1</v>
      </c>
      <c r="B4" t="s">
        <v>40</v>
      </c>
      <c r="C4" t="s">
        <v>49</v>
      </c>
      <c r="D4">
        <v>57.704535999999997</v>
      </c>
      <c r="E4" t="s">
        <v>41</v>
      </c>
      <c r="F4" t="s">
        <v>50</v>
      </c>
      <c r="G4">
        <v>42.301254999999998</v>
      </c>
    </row>
    <row r="5" spans="1:7" x14ac:dyDescent="0.25">
      <c r="A5">
        <v>2</v>
      </c>
      <c r="B5" t="s">
        <v>40</v>
      </c>
      <c r="C5" t="s">
        <v>49</v>
      </c>
      <c r="D5">
        <v>57.70467</v>
      </c>
      <c r="E5" t="s">
        <v>41</v>
      </c>
      <c r="F5" t="s">
        <v>50</v>
      </c>
      <c r="G5">
        <v>42.301124000000002</v>
      </c>
    </row>
    <row r="6" spans="1:7" x14ac:dyDescent="0.25">
      <c r="A6">
        <v>3</v>
      </c>
      <c r="B6" t="s">
        <v>40</v>
      </c>
      <c r="C6" t="s">
        <v>49</v>
      </c>
      <c r="D6">
        <v>57.704808</v>
      </c>
      <c r="E6" t="s">
        <v>41</v>
      </c>
      <c r="F6" t="s">
        <v>50</v>
      </c>
      <c r="G6">
        <v>42.300991000000003</v>
      </c>
    </row>
    <row r="7" spans="1:7" x14ac:dyDescent="0.25">
      <c r="A7">
        <v>4</v>
      </c>
      <c r="B7" t="s">
        <v>40</v>
      </c>
      <c r="C7" t="s">
        <v>49</v>
      </c>
      <c r="D7">
        <v>57.704943999999998</v>
      </c>
      <c r="E7" t="s">
        <v>41</v>
      </c>
      <c r="F7" t="s">
        <v>50</v>
      </c>
      <c r="G7">
        <v>42.300857999999998</v>
      </c>
    </row>
    <row r="8" spans="1:7" x14ac:dyDescent="0.25">
      <c r="A8">
        <v>5</v>
      </c>
      <c r="B8" t="s">
        <v>40</v>
      </c>
      <c r="C8" t="s">
        <v>49</v>
      </c>
      <c r="D8">
        <v>57.705081999999997</v>
      </c>
      <c r="E8" t="s">
        <v>41</v>
      </c>
      <c r="F8" t="s">
        <v>50</v>
      </c>
      <c r="G8">
        <v>42.300724000000002</v>
      </c>
    </row>
    <row r="9" spans="1:7" x14ac:dyDescent="0.25">
      <c r="A9">
        <v>6</v>
      </c>
      <c r="B9" t="s">
        <v>40</v>
      </c>
      <c r="C9" t="s">
        <v>49</v>
      </c>
      <c r="D9">
        <v>57.705218000000002</v>
      </c>
      <c r="E9" t="s">
        <v>41</v>
      </c>
      <c r="F9" t="s">
        <v>50</v>
      </c>
      <c r="G9">
        <v>42.300590999999997</v>
      </c>
    </row>
    <row r="10" spans="1:7" x14ac:dyDescent="0.25">
      <c r="A10">
        <v>7</v>
      </c>
      <c r="B10" t="s">
        <v>40</v>
      </c>
      <c r="C10" t="s">
        <v>49</v>
      </c>
      <c r="D10">
        <v>57.705354999999997</v>
      </c>
      <c r="E10" t="s">
        <v>41</v>
      </c>
      <c r="F10" t="s">
        <v>50</v>
      </c>
      <c r="G10">
        <v>42.300458999999996</v>
      </c>
    </row>
    <row r="11" spans="1:7" x14ac:dyDescent="0.25">
      <c r="A11">
        <v>8</v>
      </c>
      <c r="B11" t="s">
        <v>40</v>
      </c>
      <c r="C11" t="s">
        <v>49</v>
      </c>
      <c r="D11">
        <v>57.705491000000002</v>
      </c>
      <c r="E11" t="s">
        <v>41</v>
      </c>
      <c r="F11" t="s">
        <v>50</v>
      </c>
      <c r="G11">
        <v>42.300325999999998</v>
      </c>
    </row>
    <row r="12" spans="1:7" x14ac:dyDescent="0.25">
      <c r="A12">
        <v>9</v>
      </c>
      <c r="B12" t="s">
        <v>40</v>
      </c>
      <c r="C12" t="s">
        <v>49</v>
      </c>
      <c r="D12">
        <v>57.705627</v>
      </c>
      <c r="E12" t="s">
        <v>41</v>
      </c>
      <c r="F12" t="s">
        <v>50</v>
      </c>
      <c r="G12">
        <v>42.300193</v>
      </c>
    </row>
    <row r="13" spans="1:7" x14ac:dyDescent="0.25">
      <c r="A13">
        <v>10</v>
      </c>
      <c r="B13" t="s">
        <v>40</v>
      </c>
      <c r="C13" t="s">
        <v>49</v>
      </c>
      <c r="D13">
        <v>57.702612000000002</v>
      </c>
      <c r="E13" t="s">
        <v>41</v>
      </c>
      <c r="F13" t="s">
        <v>50</v>
      </c>
      <c r="G13">
        <v>42.294440999999999</v>
      </c>
    </row>
    <row r="14" spans="1:7" x14ac:dyDescent="0.25">
      <c r="A14">
        <v>11</v>
      </c>
      <c r="B14" t="s">
        <v>40</v>
      </c>
      <c r="C14" t="s">
        <v>49</v>
      </c>
      <c r="D14">
        <v>57.697212</v>
      </c>
      <c r="E14" t="s">
        <v>41</v>
      </c>
      <c r="F14" t="s">
        <v>50</v>
      </c>
      <c r="G14">
        <v>42.284520000000001</v>
      </c>
    </row>
    <row r="15" spans="1:7" x14ac:dyDescent="0.25">
      <c r="A15">
        <v>12</v>
      </c>
      <c r="B15" t="s">
        <v>40</v>
      </c>
      <c r="C15" t="s">
        <v>49</v>
      </c>
      <c r="D15">
        <v>57.691699</v>
      </c>
      <c r="E15" t="s">
        <v>41</v>
      </c>
      <c r="F15" t="s">
        <v>50</v>
      </c>
      <c r="G15">
        <v>42.274380000000001</v>
      </c>
    </row>
    <row r="16" spans="1:7" x14ac:dyDescent="0.25">
      <c r="A16">
        <v>13</v>
      </c>
      <c r="B16" t="s">
        <v>40</v>
      </c>
      <c r="C16" t="s">
        <v>49</v>
      </c>
      <c r="D16">
        <v>57.686069000000003</v>
      </c>
      <c r="E16" t="s">
        <v>41</v>
      </c>
      <c r="F16" t="s">
        <v>50</v>
      </c>
      <c r="G16">
        <v>42.264018</v>
      </c>
    </row>
    <row r="17" spans="1:7" x14ac:dyDescent="0.25">
      <c r="A17">
        <v>14</v>
      </c>
      <c r="B17" t="s">
        <v>40</v>
      </c>
      <c r="C17" t="s">
        <v>49</v>
      </c>
      <c r="D17">
        <v>57.680320000000002</v>
      </c>
      <c r="E17" t="s">
        <v>41</v>
      </c>
      <c r="F17" t="s">
        <v>50</v>
      </c>
      <c r="G17">
        <v>42.253430000000002</v>
      </c>
    </row>
    <row r="18" spans="1:7" x14ac:dyDescent="0.25">
      <c r="A18">
        <v>15</v>
      </c>
      <c r="B18" t="s">
        <v>40</v>
      </c>
      <c r="C18" t="s">
        <v>49</v>
      </c>
      <c r="D18">
        <v>57.674449000000003</v>
      </c>
      <c r="E18" t="s">
        <v>41</v>
      </c>
      <c r="F18" t="s">
        <v>50</v>
      </c>
      <c r="G18">
        <v>42.242609999999999</v>
      </c>
    </row>
    <row r="19" spans="1:7" x14ac:dyDescent="0.25">
      <c r="A19">
        <v>16</v>
      </c>
      <c r="B19" t="s">
        <v>40</v>
      </c>
      <c r="C19" t="s">
        <v>49</v>
      </c>
      <c r="D19">
        <v>57.668455000000002</v>
      </c>
      <c r="E19" t="s">
        <v>41</v>
      </c>
      <c r="F19" t="s">
        <v>50</v>
      </c>
      <c r="G19">
        <v>42.231555999999998</v>
      </c>
    </row>
    <row r="20" spans="1:7" x14ac:dyDescent="0.25">
      <c r="A20">
        <v>17</v>
      </c>
      <c r="B20" t="s">
        <v>40</v>
      </c>
      <c r="C20" t="s">
        <v>49</v>
      </c>
      <c r="D20">
        <v>57.662334999999999</v>
      </c>
      <c r="E20" t="s">
        <v>41</v>
      </c>
      <c r="F20" t="s">
        <v>50</v>
      </c>
      <c r="G20">
        <v>42.220263000000003</v>
      </c>
    </row>
    <row r="21" spans="1:7" x14ac:dyDescent="0.25">
      <c r="A21">
        <v>18</v>
      </c>
      <c r="B21" t="s">
        <v>40</v>
      </c>
      <c r="C21" t="s">
        <v>49</v>
      </c>
      <c r="D21">
        <v>57.656084999999997</v>
      </c>
      <c r="E21" t="s">
        <v>41</v>
      </c>
      <c r="F21" t="s">
        <v>50</v>
      </c>
      <c r="G21">
        <v>42.208727000000003</v>
      </c>
    </row>
    <row r="22" spans="1:7" x14ac:dyDescent="0.25">
      <c r="A22">
        <v>19</v>
      </c>
      <c r="B22" t="s">
        <v>40</v>
      </c>
      <c r="C22" t="s">
        <v>49</v>
      </c>
      <c r="D22">
        <v>57.649703000000002</v>
      </c>
      <c r="E22" t="s">
        <v>41</v>
      </c>
      <c r="F22" t="s">
        <v>50</v>
      </c>
      <c r="G22">
        <v>42.196944000000002</v>
      </c>
    </row>
    <row r="23" spans="1:7" x14ac:dyDescent="0.25">
      <c r="A23">
        <v>20</v>
      </c>
      <c r="B23" t="s">
        <v>40</v>
      </c>
      <c r="C23" t="s">
        <v>49</v>
      </c>
      <c r="D23">
        <v>57.643188000000002</v>
      </c>
      <c r="E23" t="s">
        <v>41</v>
      </c>
      <c r="F23" t="s">
        <v>50</v>
      </c>
      <c r="G23">
        <v>42.184908</v>
      </c>
    </row>
    <row r="24" spans="1:7" x14ac:dyDescent="0.25">
      <c r="A24">
        <v>21</v>
      </c>
      <c r="B24" t="s">
        <v>40</v>
      </c>
      <c r="C24" t="s">
        <v>49</v>
      </c>
      <c r="D24">
        <v>57.636535000000002</v>
      </c>
      <c r="E24" t="s">
        <v>41</v>
      </c>
      <c r="F24" t="s">
        <v>50</v>
      </c>
      <c r="G24">
        <v>42.172615999999998</v>
      </c>
    </row>
    <row r="25" spans="1:7" x14ac:dyDescent="0.25">
      <c r="A25">
        <v>22</v>
      </c>
      <c r="B25" t="s">
        <v>40</v>
      </c>
      <c r="C25" t="s">
        <v>49</v>
      </c>
      <c r="D25">
        <v>57.629742</v>
      </c>
      <c r="E25" t="s">
        <v>41</v>
      </c>
      <c r="F25" t="s">
        <v>51</v>
      </c>
      <c r="G25">
        <v>42.160063999999998</v>
      </c>
    </row>
    <row r="26" spans="1:7" x14ac:dyDescent="0.25">
      <c r="A26">
        <v>23</v>
      </c>
      <c r="B26" t="s">
        <v>40</v>
      </c>
      <c r="C26" t="s">
        <v>49</v>
      </c>
      <c r="D26">
        <v>57.622807000000002</v>
      </c>
      <c r="E26" t="s">
        <v>41</v>
      </c>
      <c r="F26" t="s">
        <v>51</v>
      </c>
      <c r="G26">
        <v>42.147247</v>
      </c>
    </row>
    <row r="27" spans="1:7" x14ac:dyDescent="0.25">
      <c r="A27">
        <v>24</v>
      </c>
      <c r="B27" t="s">
        <v>40</v>
      </c>
      <c r="C27" t="s">
        <v>49</v>
      </c>
      <c r="D27">
        <v>57.615726000000002</v>
      </c>
      <c r="E27" t="s">
        <v>41</v>
      </c>
      <c r="F27" t="s">
        <v>51</v>
      </c>
      <c r="G27">
        <v>42.134160999999999</v>
      </c>
    </row>
    <row r="28" spans="1:7" x14ac:dyDescent="0.25">
      <c r="A28">
        <v>25</v>
      </c>
      <c r="B28" t="s">
        <v>40</v>
      </c>
      <c r="C28" t="s">
        <v>49</v>
      </c>
      <c r="D28">
        <v>57.608497</v>
      </c>
      <c r="E28" t="s">
        <v>41</v>
      </c>
      <c r="F28" t="s">
        <v>51</v>
      </c>
      <c r="G28">
        <v>42.120801</v>
      </c>
    </row>
    <row r="29" spans="1:7" x14ac:dyDescent="0.25">
      <c r="A29">
        <v>26</v>
      </c>
      <c r="B29" t="s">
        <v>40</v>
      </c>
      <c r="C29" t="s">
        <v>49</v>
      </c>
      <c r="D29">
        <v>57.601115999999998</v>
      </c>
      <c r="E29" t="s">
        <v>41</v>
      </c>
      <c r="F29" t="s">
        <v>51</v>
      </c>
      <c r="G29">
        <v>42.107162000000002</v>
      </c>
    </row>
    <row r="30" spans="1:7" x14ac:dyDescent="0.25">
      <c r="A30">
        <v>27</v>
      </c>
      <c r="B30" t="s">
        <v>40</v>
      </c>
      <c r="C30" t="s">
        <v>49</v>
      </c>
      <c r="D30">
        <v>57.593581999999998</v>
      </c>
      <c r="E30" t="s">
        <v>41</v>
      </c>
      <c r="F30" t="s">
        <v>51</v>
      </c>
      <c r="G30">
        <v>42.093240999999999</v>
      </c>
    </row>
    <row r="31" spans="1:7" x14ac:dyDescent="0.25">
      <c r="A31">
        <v>28</v>
      </c>
      <c r="B31" t="s">
        <v>40</v>
      </c>
      <c r="C31" t="s">
        <v>49</v>
      </c>
      <c r="D31">
        <v>57.585889999999999</v>
      </c>
      <c r="E31" t="s">
        <v>41</v>
      </c>
      <c r="F31" t="s">
        <v>52</v>
      </c>
      <c r="G31">
        <v>42.079033000000003</v>
      </c>
    </row>
    <row r="32" spans="1:7" x14ac:dyDescent="0.25">
      <c r="A32">
        <v>29</v>
      </c>
      <c r="B32" t="s">
        <v>40</v>
      </c>
      <c r="C32" t="s">
        <v>49</v>
      </c>
      <c r="D32">
        <v>57.578037999999999</v>
      </c>
      <c r="E32" t="s">
        <v>41</v>
      </c>
      <c r="F32" t="s">
        <v>53</v>
      </c>
      <c r="G32">
        <v>42.064532999999997</v>
      </c>
    </row>
    <row r="33" spans="1:7" x14ac:dyDescent="0.25">
      <c r="A33">
        <v>30</v>
      </c>
      <c r="B33" t="s">
        <v>40</v>
      </c>
      <c r="C33" t="s">
        <v>49</v>
      </c>
      <c r="D33">
        <v>57.570022999999999</v>
      </c>
      <c r="E33" t="s">
        <v>41</v>
      </c>
      <c r="F33" t="s">
        <v>53</v>
      </c>
      <c r="G33">
        <v>42.049737</v>
      </c>
    </row>
    <row r="34" spans="1:7" x14ac:dyDescent="0.25">
      <c r="A34">
        <v>31</v>
      </c>
      <c r="B34" t="s">
        <v>40</v>
      </c>
      <c r="C34" t="s">
        <v>49</v>
      </c>
      <c r="D34">
        <v>57.561841999999999</v>
      </c>
      <c r="E34" t="s">
        <v>41</v>
      </c>
      <c r="F34" t="s">
        <v>54</v>
      </c>
      <c r="G34">
        <v>42.034641000000001</v>
      </c>
    </row>
    <row r="35" spans="1:7" x14ac:dyDescent="0.25">
      <c r="A35">
        <v>32</v>
      </c>
      <c r="B35" t="s">
        <v>40</v>
      </c>
      <c r="C35" t="s">
        <v>49</v>
      </c>
      <c r="D35">
        <v>57.553491000000001</v>
      </c>
      <c r="E35" t="s">
        <v>41</v>
      </c>
      <c r="F35" t="s">
        <v>54</v>
      </c>
      <c r="G35">
        <v>42.019238999999999</v>
      </c>
    </row>
    <row r="36" spans="1:7" x14ac:dyDescent="0.25">
      <c r="A36">
        <v>33</v>
      </c>
      <c r="B36" t="s">
        <v>40</v>
      </c>
      <c r="C36" t="s">
        <v>49</v>
      </c>
      <c r="D36">
        <v>57.544967999999997</v>
      </c>
      <c r="E36" t="s">
        <v>41</v>
      </c>
      <c r="F36" t="s">
        <v>54</v>
      </c>
      <c r="G36">
        <v>42.003528000000003</v>
      </c>
    </row>
    <row r="37" spans="1:7" x14ac:dyDescent="0.25">
      <c r="A37">
        <v>34</v>
      </c>
      <c r="B37" t="s">
        <v>40</v>
      </c>
      <c r="C37" t="s">
        <v>49</v>
      </c>
      <c r="D37">
        <v>57.536270000000002</v>
      </c>
      <c r="E37" t="s">
        <v>41</v>
      </c>
      <c r="F37" t="s">
        <v>54</v>
      </c>
      <c r="G37">
        <v>41.987501999999999</v>
      </c>
    </row>
    <row r="38" spans="1:7" x14ac:dyDescent="0.25">
      <c r="A38">
        <v>35</v>
      </c>
      <c r="B38" t="s">
        <v>40</v>
      </c>
      <c r="C38" t="s">
        <v>49</v>
      </c>
      <c r="D38">
        <v>57.527391999999999</v>
      </c>
      <c r="E38" t="s">
        <v>41</v>
      </c>
      <c r="F38" t="s">
        <v>54</v>
      </c>
      <c r="G38">
        <v>41.971158000000003</v>
      </c>
    </row>
    <row r="39" spans="1:7" x14ac:dyDescent="0.25">
      <c r="A39">
        <v>36</v>
      </c>
      <c r="B39" t="s">
        <v>40</v>
      </c>
      <c r="C39" t="s">
        <v>49</v>
      </c>
      <c r="D39">
        <v>57.518332000000001</v>
      </c>
      <c r="E39" t="s">
        <v>41</v>
      </c>
      <c r="F39" t="s">
        <v>54</v>
      </c>
      <c r="G39">
        <v>41.95449</v>
      </c>
    </row>
    <row r="40" spans="1:7" x14ac:dyDescent="0.25">
      <c r="A40">
        <v>37</v>
      </c>
      <c r="B40" t="s">
        <v>40</v>
      </c>
      <c r="C40" t="s">
        <v>49</v>
      </c>
      <c r="D40">
        <v>57.509087000000001</v>
      </c>
      <c r="E40" t="s">
        <v>41</v>
      </c>
      <c r="F40" t="s">
        <v>54</v>
      </c>
      <c r="G40">
        <v>41.937494999999998</v>
      </c>
    </row>
    <row r="41" spans="1:7" x14ac:dyDescent="0.25">
      <c r="A41">
        <v>38</v>
      </c>
      <c r="B41" t="s">
        <v>40</v>
      </c>
      <c r="C41" t="s">
        <v>49</v>
      </c>
      <c r="D41">
        <v>57.499653000000002</v>
      </c>
      <c r="E41" t="s">
        <v>41</v>
      </c>
      <c r="F41" t="s">
        <v>54</v>
      </c>
      <c r="G41">
        <v>41.920166999999999</v>
      </c>
    </row>
    <row r="42" spans="1:7" x14ac:dyDescent="0.25">
      <c r="A42">
        <v>39</v>
      </c>
      <c r="B42" t="s">
        <v>40</v>
      </c>
      <c r="C42" t="s">
        <v>49</v>
      </c>
      <c r="D42">
        <v>57.490028000000002</v>
      </c>
      <c r="E42" t="s">
        <v>41</v>
      </c>
      <c r="F42" t="s">
        <v>54</v>
      </c>
      <c r="G42">
        <v>41.902503000000003</v>
      </c>
    </row>
    <row r="43" spans="1:7" x14ac:dyDescent="0.25">
      <c r="A43">
        <v>40</v>
      </c>
      <c r="B43" t="s">
        <v>40</v>
      </c>
      <c r="C43" t="s">
        <v>49</v>
      </c>
      <c r="D43">
        <v>57.480206000000003</v>
      </c>
      <c r="E43" t="s">
        <v>41</v>
      </c>
      <c r="F43" t="s">
        <v>54</v>
      </c>
      <c r="G43">
        <v>41.884498000000001</v>
      </c>
    </row>
    <row r="44" spans="1:7" x14ac:dyDescent="0.25">
      <c r="A44">
        <v>41</v>
      </c>
      <c r="B44" t="s">
        <v>40</v>
      </c>
      <c r="C44" t="s">
        <v>49</v>
      </c>
      <c r="D44">
        <v>57.470185999999998</v>
      </c>
      <c r="E44" t="s">
        <v>41</v>
      </c>
      <c r="F44" t="s">
        <v>54</v>
      </c>
      <c r="G44">
        <v>41.866146999999998</v>
      </c>
    </row>
    <row r="45" spans="1:7" x14ac:dyDescent="0.25">
      <c r="A45">
        <v>42</v>
      </c>
      <c r="B45" t="s">
        <v>40</v>
      </c>
      <c r="C45" t="s">
        <v>49</v>
      </c>
      <c r="D45">
        <v>57.459963999999999</v>
      </c>
      <c r="E45" t="s">
        <v>41</v>
      </c>
      <c r="F45" t="s">
        <v>54</v>
      </c>
      <c r="G45">
        <v>41.847445</v>
      </c>
    </row>
    <row r="46" spans="1:7" x14ac:dyDescent="0.25">
      <c r="A46">
        <v>43</v>
      </c>
      <c r="B46" t="s">
        <v>40</v>
      </c>
      <c r="C46" t="s">
        <v>49</v>
      </c>
      <c r="D46">
        <v>57.449536000000002</v>
      </c>
      <c r="E46" t="s">
        <v>41</v>
      </c>
      <c r="F46" t="s">
        <v>54</v>
      </c>
      <c r="G46">
        <v>41.828389999999999</v>
      </c>
    </row>
    <row r="47" spans="1:7" x14ac:dyDescent="0.25">
      <c r="A47">
        <v>44</v>
      </c>
      <c r="B47" t="s">
        <v>40</v>
      </c>
      <c r="C47" t="s">
        <v>49</v>
      </c>
      <c r="D47">
        <v>57.438898999999999</v>
      </c>
      <c r="E47" t="s">
        <v>41</v>
      </c>
      <c r="F47" t="s">
        <v>54</v>
      </c>
      <c r="G47">
        <v>41.808974999999997</v>
      </c>
    </row>
    <row r="48" spans="1:7" x14ac:dyDescent="0.25">
      <c r="A48">
        <v>45</v>
      </c>
      <c r="B48" t="s">
        <v>40</v>
      </c>
      <c r="C48" t="s">
        <v>49</v>
      </c>
      <c r="D48">
        <v>57.428049999999999</v>
      </c>
      <c r="E48" t="s">
        <v>41</v>
      </c>
      <c r="F48" t="s">
        <v>54</v>
      </c>
      <c r="G48">
        <v>41.789197000000001</v>
      </c>
    </row>
    <row r="49" spans="1:7" x14ac:dyDescent="0.25">
      <c r="A49">
        <v>46</v>
      </c>
      <c r="B49" t="s">
        <v>40</v>
      </c>
      <c r="C49" t="s">
        <v>49</v>
      </c>
      <c r="D49">
        <v>57.416983999999999</v>
      </c>
      <c r="E49" t="s">
        <v>41</v>
      </c>
      <c r="F49" t="s">
        <v>54</v>
      </c>
      <c r="G49">
        <v>41.769050999999997</v>
      </c>
    </row>
    <row r="50" spans="1:7" x14ac:dyDescent="0.25">
      <c r="A50">
        <v>47</v>
      </c>
      <c r="B50" t="s">
        <v>40</v>
      </c>
      <c r="C50" t="s">
        <v>49</v>
      </c>
      <c r="D50">
        <v>57.405698999999998</v>
      </c>
      <c r="E50" t="s">
        <v>41</v>
      </c>
      <c r="F50" t="s">
        <v>54</v>
      </c>
      <c r="G50">
        <v>41.748533000000002</v>
      </c>
    </row>
    <row r="51" spans="1:7" x14ac:dyDescent="0.25">
      <c r="A51">
        <v>48</v>
      </c>
      <c r="B51" t="s">
        <v>40</v>
      </c>
      <c r="C51" t="s">
        <v>49</v>
      </c>
      <c r="D51">
        <v>57.394190000000002</v>
      </c>
      <c r="E51" t="s">
        <v>41</v>
      </c>
      <c r="F51" t="s">
        <v>54</v>
      </c>
      <c r="G51">
        <v>41.727639000000003</v>
      </c>
    </row>
    <row r="52" spans="1:7" x14ac:dyDescent="0.25">
      <c r="A52">
        <v>49</v>
      </c>
      <c r="B52" t="s">
        <v>40</v>
      </c>
      <c r="C52" t="s">
        <v>49</v>
      </c>
      <c r="D52">
        <v>57.382454000000003</v>
      </c>
      <c r="E52" t="s">
        <v>41</v>
      </c>
      <c r="F52" t="s">
        <v>54</v>
      </c>
      <c r="G52">
        <v>41.706364000000001</v>
      </c>
    </row>
    <row r="53" spans="1:7" x14ac:dyDescent="0.25">
      <c r="A53">
        <v>50</v>
      </c>
      <c r="B53" t="s">
        <v>40</v>
      </c>
      <c r="C53" t="s">
        <v>55</v>
      </c>
      <c r="D53">
        <v>57.370488000000002</v>
      </c>
      <c r="E53" t="s">
        <v>41</v>
      </c>
      <c r="F53" t="s">
        <v>54</v>
      </c>
      <c r="G53">
        <v>41.684704000000004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Phases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easyMelts</dc:creator>
  <cp:lastModifiedBy>Xinru Zhang</cp:lastModifiedBy>
  <dcterms:created xsi:type="dcterms:W3CDTF">2019-08-16T00:34:14Z</dcterms:created>
  <dcterms:modified xsi:type="dcterms:W3CDTF">2025-09-01T07:33:04Z</dcterms:modified>
</cp:coreProperties>
</file>