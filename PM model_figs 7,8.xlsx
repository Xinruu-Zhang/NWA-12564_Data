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zhang\Desktop\12564\原始数据\"/>
    </mc:Choice>
  </mc:AlternateContent>
  <xr:revisionPtr revIDLastSave="0" documentId="13_ncr:1_{EAA5C203-805E-4C34-9CD8-62A9C656BF84}" xr6:coauthVersionLast="47" xr6:coauthVersionMax="47" xr10:uidLastSave="{00000000-0000-0000-0000-000000000000}"/>
  <bookViews>
    <workbookView xWindow="-108" yWindow="12852" windowWidth="23256" windowHeight="12456" activeTab="1" xr2:uid="{00000000-000D-0000-FFFF-FFFF00000000}"/>
  </bookViews>
  <sheets>
    <sheet name=" DMM+TL REE RESULTS" sheetId="3" r:id="rId1"/>
    <sheet name="EMM REE RESULTS" sheetId="10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3" i="3" l="1"/>
  <c r="P54" i="3"/>
  <c r="P55" i="3"/>
  <c r="P56" i="3"/>
  <c r="P57" i="3"/>
  <c r="P58" i="3"/>
  <c r="P59" i="3"/>
  <c r="P60" i="3"/>
  <c r="P61" i="3"/>
  <c r="P62" i="3"/>
  <c r="P63" i="3"/>
  <c r="P52" i="3"/>
  <c r="P49" i="10"/>
  <c r="V48" i="10"/>
  <c r="AB48" i="10"/>
  <c r="AH16" i="10"/>
  <c r="AN16" i="10"/>
  <c r="O65" i="10"/>
  <c r="O66" i="10"/>
  <c r="O54" i="10"/>
  <c r="O55" i="10"/>
  <c r="O56" i="10"/>
  <c r="O57" i="10"/>
  <c r="O58" i="10"/>
  <c r="O59" i="10"/>
  <c r="O60" i="10"/>
  <c r="O61" i="10"/>
  <c r="O62" i="10"/>
  <c r="O63" i="10"/>
  <c r="O64" i="10"/>
  <c r="O53" i="10"/>
  <c r="R65" i="10"/>
  <c r="S65" i="10"/>
  <c r="S66" i="10"/>
  <c r="AT49" i="10"/>
  <c r="AT48" i="10"/>
  <c r="AT36" i="10"/>
  <c r="AT37" i="10"/>
  <c r="AT38" i="10"/>
  <c r="AT39" i="10"/>
  <c r="AT40" i="10"/>
  <c r="AT41" i="10"/>
  <c r="AT42" i="10"/>
  <c r="AT43" i="10"/>
  <c r="AT44" i="10"/>
  <c r="AT45" i="10"/>
  <c r="AT46" i="10"/>
  <c r="AT47" i="10"/>
  <c r="AT35" i="10"/>
  <c r="AQ36" i="10"/>
  <c r="AQ35" i="10"/>
  <c r="AN49" i="10"/>
  <c r="AN48" i="10"/>
  <c r="AN36" i="10"/>
  <c r="AN37" i="10"/>
  <c r="AN38" i="10"/>
  <c r="AN39" i="10"/>
  <c r="AN40" i="10"/>
  <c r="AN41" i="10"/>
  <c r="AN42" i="10"/>
  <c r="AN43" i="10"/>
  <c r="AN44" i="10"/>
  <c r="AN45" i="10"/>
  <c r="AN46" i="10"/>
  <c r="AN47" i="10"/>
  <c r="AN35" i="10"/>
  <c r="AK36" i="10"/>
  <c r="AK35" i="10"/>
  <c r="AH49" i="10"/>
  <c r="AH48" i="10"/>
  <c r="AH36" i="10"/>
  <c r="AH37" i="10"/>
  <c r="AH38" i="10"/>
  <c r="AH39" i="10"/>
  <c r="AH40" i="10"/>
  <c r="AH41" i="10"/>
  <c r="AH42" i="10"/>
  <c r="AH43" i="10"/>
  <c r="AH44" i="10"/>
  <c r="AH45" i="10"/>
  <c r="AH46" i="10"/>
  <c r="AH47" i="10"/>
  <c r="AH35" i="10"/>
  <c r="AE36" i="10"/>
  <c r="AE35" i="10"/>
  <c r="AB49" i="10"/>
  <c r="AB47" i="10"/>
  <c r="AB36" i="10"/>
  <c r="AB37" i="10"/>
  <c r="AB38" i="10"/>
  <c r="AB39" i="10"/>
  <c r="AB40" i="10"/>
  <c r="AB41" i="10"/>
  <c r="AB42" i="10"/>
  <c r="AB43" i="10"/>
  <c r="AB44" i="10"/>
  <c r="AB45" i="10"/>
  <c r="AB46" i="10"/>
  <c r="AB35" i="10"/>
  <c r="S36" i="10"/>
  <c r="S35" i="10"/>
  <c r="P48" i="10"/>
  <c r="AA35" i="10"/>
  <c r="Y36" i="10"/>
  <c r="Y35" i="10"/>
  <c r="O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35" i="10"/>
  <c r="M36" i="10"/>
  <c r="M35" i="10"/>
  <c r="AO19" i="10"/>
  <c r="AO20" i="10"/>
  <c r="AO21" i="10"/>
  <c r="AO22" i="10"/>
  <c r="AO23" i="10"/>
  <c r="AO24" i="10"/>
  <c r="AO25" i="10"/>
  <c r="AO26" i="10"/>
  <c r="AO27" i="10"/>
  <c r="AO28" i="10"/>
  <c r="AO29" i="10"/>
  <c r="AN32" i="10"/>
  <c r="AO7" i="10"/>
  <c r="AO9" i="10"/>
  <c r="AO10" i="10"/>
  <c r="AO11" i="10"/>
  <c r="AO12" i="10"/>
  <c r="AO13" i="10"/>
  <c r="AO14" i="10"/>
  <c r="AO3" i="10"/>
  <c r="AO15" i="10" s="1"/>
  <c r="AN7" i="10"/>
  <c r="AN9" i="10"/>
  <c r="AN10" i="10"/>
  <c r="AN11" i="10"/>
  <c r="AN12" i="10"/>
  <c r="AN13" i="10"/>
  <c r="AN14" i="10"/>
  <c r="AN3" i="10"/>
  <c r="AM4" i="10"/>
  <c r="AM5" i="10"/>
  <c r="AN5" i="10" s="1"/>
  <c r="AO5" i="10" s="1"/>
  <c r="AM6" i="10"/>
  <c r="AN31" i="10" s="1"/>
  <c r="AM7" i="10"/>
  <c r="AM8" i="10"/>
  <c r="AN8" i="10" s="1"/>
  <c r="AO8" i="10" s="1"/>
  <c r="AM9" i="10"/>
  <c r="AM10" i="10"/>
  <c r="AM11" i="10"/>
  <c r="AM12" i="10"/>
  <c r="AM13" i="10"/>
  <c r="AM14" i="10"/>
  <c r="AM15" i="10"/>
  <c r="AN15" i="10" s="1"/>
  <c r="AM3" i="10"/>
  <c r="AK4" i="10"/>
  <c r="AK3" i="10"/>
  <c r="AH10" i="10"/>
  <c r="AH11" i="10"/>
  <c r="AH12" i="10"/>
  <c r="AG4" i="10"/>
  <c r="AH4" i="10" s="1"/>
  <c r="AG5" i="10"/>
  <c r="AH5" i="10" s="1"/>
  <c r="AG6" i="10"/>
  <c r="AH6" i="10" s="1"/>
  <c r="AG7" i="10"/>
  <c r="AH7" i="10" s="1"/>
  <c r="AG8" i="10"/>
  <c r="AH8" i="10" s="1"/>
  <c r="AG9" i="10"/>
  <c r="AH9" i="10" s="1"/>
  <c r="AG10" i="10"/>
  <c r="AG11" i="10"/>
  <c r="AG12" i="10"/>
  <c r="AG13" i="10"/>
  <c r="AH13" i="10" s="1"/>
  <c r="AG14" i="10"/>
  <c r="AH14" i="10" s="1"/>
  <c r="AG15" i="10"/>
  <c r="AH15" i="10" s="1"/>
  <c r="AG3" i="10"/>
  <c r="AH3" i="10" s="1"/>
  <c r="AE4" i="10"/>
  <c r="AE3" i="10"/>
  <c r="AS41" i="10" l="1"/>
  <c r="AU41" i="10" s="1"/>
  <c r="AS46" i="10"/>
  <c r="AU46" i="10" s="1"/>
  <c r="AS40" i="10"/>
  <c r="AU40" i="10" s="1"/>
  <c r="AS39" i="10"/>
  <c r="AU39" i="10" s="1"/>
  <c r="AS38" i="10"/>
  <c r="AU38" i="10" s="1"/>
  <c r="AS37" i="10"/>
  <c r="AS35" i="10"/>
  <c r="AU35" i="10" s="1"/>
  <c r="AS45" i="10"/>
  <c r="AU45" i="10" s="1"/>
  <c r="AS44" i="10"/>
  <c r="AU44" i="10" s="1"/>
  <c r="AS43" i="10"/>
  <c r="AU43" i="10" s="1"/>
  <c r="AS42" i="10"/>
  <c r="AU42" i="10" s="1"/>
  <c r="AS47" i="10"/>
  <c r="AS36" i="10"/>
  <c r="AU36" i="10" s="1"/>
  <c r="AN19" i="10"/>
  <c r="AN6" i="10"/>
  <c r="AO6" i="10" s="1"/>
  <c r="AN17" i="10"/>
  <c r="AN4" i="10"/>
  <c r="AO4" i="10" s="1"/>
  <c r="AN18" i="10"/>
  <c r="AO18" i="10" s="1"/>
  <c r="AN20" i="10"/>
  <c r="AN26" i="10"/>
  <c r="AN27" i="10"/>
  <c r="AN22" i="10"/>
  <c r="AN23" i="10"/>
  <c r="AN24" i="10"/>
  <c r="AN25" i="10"/>
  <c r="AN28" i="10"/>
  <c r="AN30" i="10"/>
  <c r="AH22" i="10"/>
  <c r="AH23" i="10"/>
  <c r="AI23" i="10" s="1"/>
  <c r="AH25" i="10"/>
  <c r="AI13" i="10"/>
  <c r="AH29" i="10"/>
  <c r="AI29" i="10" s="1"/>
  <c r="AH32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AS15" i="10"/>
  <c r="AA15" i="10"/>
  <c r="U15" i="10"/>
  <c r="O15" i="10"/>
  <c r="AS14" i="10"/>
  <c r="AT14" i="10" s="1"/>
  <c r="AA14" i="10"/>
  <c r="U14" i="10"/>
  <c r="V14" i="10" s="1"/>
  <c r="O14" i="10"/>
  <c r="AS13" i="10"/>
  <c r="AT13" i="10" s="1"/>
  <c r="AT28" i="10" s="1"/>
  <c r="AU28" i="10" s="1"/>
  <c r="AA13" i="10"/>
  <c r="AB13" i="10" s="1"/>
  <c r="AB28" i="10" s="1"/>
  <c r="AC28" i="10" s="1"/>
  <c r="U13" i="10"/>
  <c r="V13" i="10" s="1"/>
  <c r="O13" i="10"/>
  <c r="P13" i="10" s="1"/>
  <c r="AS12" i="10"/>
  <c r="AT12" i="10" s="1"/>
  <c r="AH27" i="10"/>
  <c r="AA12" i="10"/>
  <c r="AB12" i="10" s="1"/>
  <c r="AC12" i="10" s="1"/>
  <c r="U12" i="10"/>
  <c r="V12" i="10" s="1"/>
  <c r="W12" i="10" s="1"/>
  <c r="O12" i="10"/>
  <c r="P12" i="10" s="1"/>
  <c r="Q12" i="10" s="1"/>
  <c r="AS11" i="10"/>
  <c r="AT11" i="10" s="1"/>
  <c r="AT26" i="10" s="1"/>
  <c r="AU26" i="10" s="1"/>
  <c r="AA11" i="10"/>
  <c r="AB11" i="10" s="1"/>
  <c r="AB26" i="10" s="1"/>
  <c r="AC26" i="10" s="1"/>
  <c r="U11" i="10"/>
  <c r="V11" i="10" s="1"/>
  <c r="O11" i="10"/>
  <c r="P11" i="10" s="1"/>
  <c r="AS10" i="10"/>
  <c r="AT10" i="10" s="1"/>
  <c r="AT25" i="10" s="1"/>
  <c r="AU25" i="10" s="1"/>
  <c r="AA10" i="10"/>
  <c r="AB10" i="10" s="1"/>
  <c r="AC10" i="10" s="1"/>
  <c r="U10" i="10"/>
  <c r="V10" i="10" s="1"/>
  <c r="V25" i="10" s="1"/>
  <c r="W25" i="10" s="1"/>
  <c r="O10" i="10"/>
  <c r="P10" i="10" s="1"/>
  <c r="AS9" i="10"/>
  <c r="AT9" i="10" s="1"/>
  <c r="AA9" i="10"/>
  <c r="AB9" i="10" s="1"/>
  <c r="AB24" i="10" s="1"/>
  <c r="AC24" i="10" s="1"/>
  <c r="U9" i="10"/>
  <c r="V9" i="10" s="1"/>
  <c r="W9" i="10" s="1"/>
  <c r="O9" i="10"/>
  <c r="P9" i="10" s="1"/>
  <c r="Q9" i="10" s="1"/>
  <c r="AS8" i="10"/>
  <c r="AT8" i="10" s="1"/>
  <c r="AU8" i="10" s="1"/>
  <c r="AA8" i="10"/>
  <c r="AB8" i="10" s="1"/>
  <c r="U8" i="10"/>
  <c r="V8" i="10" s="1"/>
  <c r="V23" i="10" s="1"/>
  <c r="W23" i="10" s="1"/>
  <c r="O8" i="10"/>
  <c r="P8" i="10" s="1"/>
  <c r="AS7" i="10"/>
  <c r="AT7" i="10" s="1"/>
  <c r="AA7" i="10"/>
  <c r="AB7" i="10" s="1"/>
  <c r="AB22" i="10" s="1"/>
  <c r="AC22" i="10" s="1"/>
  <c r="U7" i="10"/>
  <c r="V7" i="10" s="1"/>
  <c r="W7" i="10" s="1"/>
  <c r="O7" i="10"/>
  <c r="P7" i="10" s="1"/>
  <c r="P22" i="10" s="1"/>
  <c r="Q22" i="10" s="1"/>
  <c r="AS6" i="10"/>
  <c r="AA6" i="10"/>
  <c r="U6" i="10"/>
  <c r="O6" i="10"/>
  <c r="M6" i="10"/>
  <c r="AS5" i="10"/>
  <c r="AT5" i="10" s="1"/>
  <c r="AA5" i="10"/>
  <c r="AB5" i="10" s="1"/>
  <c r="Y5" i="10"/>
  <c r="U5" i="10"/>
  <c r="V5" i="10" s="1"/>
  <c r="S5" i="10"/>
  <c r="O5" i="10"/>
  <c r="M5" i="10"/>
  <c r="AS4" i="10"/>
  <c r="AT4" i="10" s="1"/>
  <c r="AQ4" i="10"/>
  <c r="AA4" i="10"/>
  <c r="AB4" i="10" s="1"/>
  <c r="Y4" i="10"/>
  <c r="U4" i="10"/>
  <c r="V4" i="10" s="1"/>
  <c r="S4" i="10"/>
  <c r="O4" i="10"/>
  <c r="P4" i="10" s="1"/>
  <c r="Q4" i="10" s="1"/>
  <c r="M4" i="10"/>
  <c r="AS3" i="10"/>
  <c r="AT3" i="10" s="1"/>
  <c r="AQ3" i="10"/>
  <c r="AA3" i="10"/>
  <c r="AB3" i="10" s="1"/>
  <c r="Y3" i="10"/>
  <c r="U3" i="10"/>
  <c r="V3" i="10" s="1"/>
  <c r="S3" i="10"/>
  <c r="O3" i="10"/>
  <c r="P3" i="10" s="1"/>
  <c r="M3" i="10"/>
  <c r="AU37" i="10" l="1"/>
  <c r="AN21" i="10"/>
  <c r="AN29" i="10"/>
  <c r="U39" i="10"/>
  <c r="V39" i="10" s="1"/>
  <c r="AG44" i="10"/>
  <c r="AI44" i="10" s="1"/>
  <c r="AA42" i="10"/>
  <c r="AC42" i="10" s="1"/>
  <c r="P32" i="10"/>
  <c r="AB32" i="10"/>
  <c r="AB31" i="10"/>
  <c r="P31" i="10"/>
  <c r="AT31" i="10"/>
  <c r="AG46" i="10"/>
  <c r="AI46" i="10" s="1"/>
  <c r="U47" i="10"/>
  <c r="P14" i="10"/>
  <c r="P29" i="10" s="1"/>
  <c r="Q29" i="10" s="1"/>
  <c r="AB6" i="10"/>
  <c r="AB21" i="10" s="1"/>
  <c r="AC21" i="10" s="1"/>
  <c r="AG47" i="10"/>
  <c r="AB17" i="10"/>
  <c r="AB15" i="10"/>
  <c r="AB30" i="10" s="1"/>
  <c r="P6" i="10"/>
  <c r="Q6" i="10" s="1"/>
  <c r="AT16" i="10"/>
  <c r="P5" i="10"/>
  <c r="Q5" i="10" s="1"/>
  <c r="P16" i="10"/>
  <c r="AB16" i="10"/>
  <c r="O47" i="10"/>
  <c r="V27" i="10"/>
  <c r="W27" i="10" s="1"/>
  <c r="AC13" i="10"/>
  <c r="AC7" i="10"/>
  <c r="W10" i="10"/>
  <c r="AU10" i="10"/>
  <c r="V22" i="10"/>
  <c r="W22" i="10" s="1"/>
  <c r="Q7" i="10"/>
  <c r="AC11" i="10"/>
  <c r="P24" i="10"/>
  <c r="Q24" i="10" s="1"/>
  <c r="AH30" i="10"/>
  <c r="AH17" i="10"/>
  <c r="P28" i="10"/>
  <c r="Q28" i="10" s="1"/>
  <c r="Q13" i="10"/>
  <c r="AT24" i="10"/>
  <c r="AU24" i="10" s="1"/>
  <c r="AU9" i="10"/>
  <c r="AT18" i="10"/>
  <c r="AU18" i="10" s="1"/>
  <c r="AU3" i="10"/>
  <c r="AH21" i="10"/>
  <c r="AI6" i="10"/>
  <c r="V17" i="10"/>
  <c r="V15" i="10"/>
  <c r="V30" i="10" s="1"/>
  <c r="V20" i="10"/>
  <c r="W20" i="10" s="1"/>
  <c r="W5" i="10"/>
  <c r="AB23" i="10"/>
  <c r="AC23" i="10" s="1"/>
  <c r="AC8" i="10"/>
  <c r="AU11" i="10"/>
  <c r="P27" i="10"/>
  <c r="Q27" i="10" s="1"/>
  <c r="W4" i="10"/>
  <c r="V19" i="10"/>
  <c r="W19" i="10" s="1"/>
  <c r="AU13" i="10"/>
  <c r="AA44" i="10"/>
  <c r="AC44" i="10" s="1"/>
  <c r="AA40" i="10"/>
  <c r="AC40" i="10" s="1"/>
  <c r="AA36" i="10"/>
  <c r="AA43" i="10"/>
  <c r="AA39" i="10"/>
  <c r="AC39" i="10" s="1"/>
  <c r="AA47" i="10"/>
  <c r="AA46" i="10"/>
  <c r="AC46" i="10" s="1"/>
  <c r="AI25" i="10"/>
  <c r="P18" i="10"/>
  <c r="Q18" i="10" s="1"/>
  <c r="Q3" i="10"/>
  <c r="AI10" i="10"/>
  <c r="AT32" i="10"/>
  <c r="AT15" i="10"/>
  <c r="AT30" i="10" s="1"/>
  <c r="AT17" i="10"/>
  <c r="AC4" i="10"/>
  <c r="AB19" i="10"/>
  <c r="AC19" i="10" s="1"/>
  <c r="AT20" i="10"/>
  <c r="AU20" i="10" s="1"/>
  <c r="AU5" i="10"/>
  <c r="AI27" i="10"/>
  <c r="AH28" i="10"/>
  <c r="AA37" i="10"/>
  <c r="AI8" i="10"/>
  <c r="V18" i="10"/>
  <c r="W18" i="10" s="1"/>
  <c r="W3" i="10"/>
  <c r="AI12" i="10"/>
  <c r="V29" i="10"/>
  <c r="W29" i="10" s="1"/>
  <c r="W14" i="10"/>
  <c r="AM36" i="10"/>
  <c r="AM43" i="10"/>
  <c r="AM39" i="10"/>
  <c r="AO39" i="10" s="1"/>
  <c r="AM44" i="10"/>
  <c r="AO44" i="10" s="1"/>
  <c r="AM40" i="10"/>
  <c r="AO40" i="10" s="1"/>
  <c r="AH19" i="10"/>
  <c r="AI4" i="10"/>
  <c r="AI22" i="10"/>
  <c r="W39" i="10"/>
  <c r="P26" i="10"/>
  <c r="Q26" i="10" s="1"/>
  <c r="Q11" i="10"/>
  <c r="AT27" i="10"/>
  <c r="AU27" i="10" s="1"/>
  <c r="AU12" i="10"/>
  <c r="V6" i="10"/>
  <c r="V31" i="10"/>
  <c r="V16" i="10"/>
  <c r="AI7" i="10"/>
  <c r="V26" i="10"/>
  <c r="W26" i="10" s="1"/>
  <c r="W11" i="10"/>
  <c r="AI14" i="10"/>
  <c r="AA41" i="10"/>
  <c r="AB20" i="10"/>
  <c r="AC20" i="10" s="1"/>
  <c r="AC5" i="10"/>
  <c r="AB18" i="10"/>
  <c r="AC18" i="10" s="1"/>
  <c r="AC3" i="10"/>
  <c r="AC9" i="10"/>
  <c r="AT19" i="10"/>
  <c r="AU19" i="10" s="1"/>
  <c r="AU4" i="10"/>
  <c r="AT22" i="10"/>
  <c r="AU22" i="10" s="1"/>
  <c r="AU7" i="10"/>
  <c r="AH24" i="10"/>
  <c r="AI9" i="10"/>
  <c r="V32" i="10"/>
  <c r="AT23" i="10"/>
  <c r="AU23" i="10" s="1"/>
  <c r="AM42" i="10"/>
  <c r="AO42" i="10" s="1"/>
  <c r="AH18" i="10"/>
  <c r="AI3" i="10"/>
  <c r="AI15" i="10" s="1"/>
  <c r="P23" i="10"/>
  <c r="Q23" i="10" s="1"/>
  <c r="Q8" i="10"/>
  <c r="V28" i="10"/>
  <c r="W28" i="10" s="1"/>
  <c r="W13" i="10"/>
  <c r="AT29" i="10"/>
  <c r="AU29" i="10" s="1"/>
  <c r="AU14" i="10"/>
  <c r="P19" i="10"/>
  <c r="Q19" i="10" s="1"/>
  <c r="O36" i="10"/>
  <c r="O42" i="10"/>
  <c r="Q42" i="10" s="1"/>
  <c r="O38" i="10"/>
  <c r="O43" i="10"/>
  <c r="O39" i="10"/>
  <c r="Q39" i="10" s="1"/>
  <c r="AA38" i="10"/>
  <c r="AA45" i="10"/>
  <c r="P17" i="10"/>
  <c r="P15" i="10"/>
  <c r="P30" i="10" s="1"/>
  <c r="AB25" i="10"/>
  <c r="AC25" i="10" s="1"/>
  <c r="U42" i="10"/>
  <c r="U38" i="10"/>
  <c r="V38" i="10" s="1"/>
  <c r="U46" i="10"/>
  <c r="U45" i="10"/>
  <c r="V45" i="10" s="1"/>
  <c r="U41" i="10"/>
  <c r="V41" i="10" s="1"/>
  <c r="U37" i="10"/>
  <c r="U35" i="10"/>
  <c r="V35" i="10" s="1"/>
  <c r="U44" i="10"/>
  <c r="U40" i="10"/>
  <c r="U43" i="10"/>
  <c r="V43" i="10" s="1"/>
  <c r="AH31" i="10"/>
  <c r="W8" i="10"/>
  <c r="P25" i="10"/>
  <c r="Q25" i="10" s="1"/>
  <c r="Q10" i="10"/>
  <c r="AH26" i="10"/>
  <c r="AI11" i="10"/>
  <c r="U36" i="10"/>
  <c r="V36" i="10" s="1"/>
  <c r="AG35" i="10"/>
  <c r="AG37" i="10"/>
  <c r="AG41" i="10"/>
  <c r="AG45" i="10"/>
  <c r="AM37" i="10"/>
  <c r="O40" i="10"/>
  <c r="Q40" i="10" s="1"/>
  <c r="AM41" i="10"/>
  <c r="O44" i="10"/>
  <c r="Q44" i="10" s="1"/>
  <c r="AM45" i="10"/>
  <c r="AM47" i="10"/>
  <c r="AT6" i="10"/>
  <c r="AM46" i="10"/>
  <c r="AO46" i="10" s="1"/>
  <c r="AG38" i="10"/>
  <c r="V24" i="10"/>
  <c r="W24" i="10" s="1"/>
  <c r="AB27" i="10"/>
  <c r="AC27" i="10" s="1"/>
  <c r="AM35" i="10"/>
  <c r="AG42" i="10"/>
  <c r="AI42" i="10" s="1"/>
  <c r="AB14" i="10"/>
  <c r="O37" i="10"/>
  <c r="AM38" i="10"/>
  <c r="O41" i="10"/>
  <c r="O45" i="10"/>
  <c r="AG39" i="10"/>
  <c r="AI39" i="10" s="1"/>
  <c r="AG43" i="10"/>
  <c r="O46" i="10"/>
  <c r="Q46" i="10" s="1"/>
  <c r="AG36" i="10"/>
  <c r="AG40" i="10"/>
  <c r="AI40" i="10" s="1"/>
  <c r="V46" i="10" l="1"/>
  <c r="W46" i="10" s="1"/>
  <c r="V49" i="10"/>
  <c r="V47" i="10"/>
  <c r="V42" i="10"/>
  <c r="W42" i="10" s="1"/>
  <c r="V40" i="10"/>
  <c r="W40" i="10" s="1"/>
  <c r="V44" i="10"/>
  <c r="W44" i="10" s="1"/>
  <c r="V37" i="10"/>
  <c r="AU15" i="10"/>
  <c r="AC15" i="10"/>
  <c r="AC6" i="10"/>
  <c r="P21" i="10"/>
  <c r="Q21" i="10" s="1"/>
  <c r="P20" i="10"/>
  <c r="Q20" i="10" s="1"/>
  <c r="Q14" i="10"/>
  <c r="Q15" i="10"/>
  <c r="W15" i="10"/>
  <c r="N62" i="10"/>
  <c r="S62" i="10"/>
  <c r="Q62" i="10"/>
  <c r="P62" i="10"/>
  <c r="M62" i="10"/>
  <c r="R62" i="10"/>
  <c r="S57" i="10"/>
  <c r="P57" i="10"/>
  <c r="R57" i="10"/>
  <c r="Q57" i="10"/>
  <c r="N57" i="10"/>
  <c r="M57" i="10"/>
  <c r="S58" i="10"/>
  <c r="Q58" i="10"/>
  <c r="R58" i="10"/>
  <c r="N58" i="10"/>
  <c r="P58" i="10"/>
  <c r="M58" i="10"/>
  <c r="Q64" i="10"/>
  <c r="N64" i="10"/>
  <c r="M64" i="10"/>
  <c r="S64" i="10"/>
  <c r="R64" i="10"/>
  <c r="P64" i="10"/>
  <c r="Q60" i="10"/>
  <c r="S60" i="10"/>
  <c r="R60" i="10"/>
  <c r="N60" i="10"/>
  <c r="M60" i="10"/>
  <c r="P60" i="10"/>
  <c r="AI36" i="10"/>
  <c r="AI19" i="10"/>
  <c r="AC36" i="10"/>
  <c r="W36" i="10"/>
  <c r="AO36" i="10"/>
  <c r="Q36" i="10"/>
  <c r="AC41" i="10"/>
  <c r="W41" i="10"/>
  <c r="Q41" i="10"/>
  <c r="AO41" i="10"/>
  <c r="AI41" i="10"/>
  <c r="AI24" i="10"/>
  <c r="V21" i="10"/>
  <c r="W21" i="10" s="1"/>
  <c r="W6" i="10"/>
  <c r="AO43" i="10"/>
  <c r="AI43" i="10"/>
  <c r="AC43" i="10"/>
  <c r="W43" i="10"/>
  <c r="Q43" i="10"/>
  <c r="AI26" i="10"/>
  <c r="AT21" i="10"/>
  <c r="AU21" i="10" s="1"/>
  <c r="AU6" i="10"/>
  <c r="AI5" i="10"/>
  <c r="AH20" i="10"/>
  <c r="Q38" i="10"/>
  <c r="AO38" i="10"/>
  <c r="AI38" i="10"/>
  <c r="W38" i="10"/>
  <c r="AC38" i="10"/>
  <c r="AI21" i="10"/>
  <c r="AB29" i="10"/>
  <c r="AC29" i="10" s="1"/>
  <c r="AC14" i="10"/>
  <c r="AC45" i="10"/>
  <c r="W45" i="10"/>
  <c r="Q45" i="10"/>
  <c r="AO45" i="10"/>
  <c r="AI28" i="10"/>
  <c r="AI45" i="10"/>
  <c r="W35" i="10"/>
  <c r="AO35" i="10"/>
  <c r="Q35" i="10"/>
  <c r="AI18" i="10"/>
  <c r="AI35" i="10"/>
  <c r="AC35" i="10"/>
  <c r="R59" i="10" l="1"/>
  <c r="P59" i="10"/>
  <c r="S59" i="10"/>
  <c r="Q59" i="10"/>
  <c r="M59" i="10"/>
  <c r="N59" i="10"/>
  <c r="S54" i="10"/>
  <c r="R54" i="10"/>
  <c r="Q54" i="10"/>
  <c r="P54" i="10"/>
  <c r="N54" i="10"/>
  <c r="M54" i="10"/>
  <c r="AC37" i="10"/>
  <c r="W37" i="10"/>
  <c r="Q37" i="10"/>
  <c r="AO37" i="10"/>
  <c r="AI20" i="10"/>
  <c r="AI37" i="10"/>
  <c r="S53" i="10"/>
  <c r="R53" i="10"/>
  <c r="Q53" i="10"/>
  <c r="P53" i="10"/>
  <c r="N53" i="10"/>
  <c r="M53" i="10"/>
  <c r="S56" i="10"/>
  <c r="R56" i="10"/>
  <c r="Q56" i="10"/>
  <c r="N56" i="10"/>
  <c r="P56" i="10"/>
  <c r="M56" i="10"/>
  <c r="P65" i="10"/>
  <c r="N65" i="10"/>
  <c r="M65" i="10"/>
  <c r="Q65" i="10"/>
  <c r="R66" i="10"/>
  <c r="Q66" i="10"/>
  <c r="P66" i="10"/>
  <c r="N66" i="10"/>
  <c r="M66" i="10"/>
  <c r="M61" i="10"/>
  <c r="S61" i="10"/>
  <c r="R61" i="10"/>
  <c r="P61" i="10"/>
  <c r="N61" i="10"/>
  <c r="Q61" i="10"/>
  <c r="P63" i="10"/>
  <c r="M63" i="10"/>
  <c r="R63" i="10"/>
  <c r="Q63" i="10"/>
  <c r="S63" i="10"/>
  <c r="N63" i="10"/>
  <c r="S55" i="10" l="1"/>
  <c r="R55" i="10"/>
  <c r="Q55" i="10"/>
  <c r="P55" i="10"/>
  <c r="N55" i="10"/>
  <c r="M55" i="10"/>
  <c r="R4" i="3" l="1"/>
  <c r="R5" i="3"/>
  <c r="R6" i="3"/>
  <c r="R7" i="3"/>
  <c r="R8" i="3"/>
  <c r="R9" i="3"/>
  <c r="R10" i="3"/>
  <c r="R11" i="3"/>
  <c r="R12" i="3"/>
  <c r="R13" i="3"/>
  <c r="R14" i="3"/>
  <c r="R3" i="3"/>
  <c r="Z3" i="3"/>
  <c r="Z4" i="3"/>
  <c r="Z5" i="3"/>
  <c r="Z6" i="3"/>
  <c r="Z7" i="3"/>
  <c r="Z8" i="3"/>
  <c r="Z9" i="3"/>
  <c r="Z10" i="3"/>
  <c r="Z11" i="3"/>
  <c r="Z12" i="3"/>
  <c r="Z13" i="3"/>
  <c r="Z14" i="3"/>
  <c r="W47" i="3" l="1"/>
  <c r="W46" i="3"/>
  <c r="W45" i="3"/>
  <c r="F45" i="3"/>
  <c r="E45" i="3"/>
  <c r="W44" i="3"/>
  <c r="F44" i="3"/>
  <c r="E44" i="3"/>
  <c r="W43" i="3"/>
  <c r="F43" i="3"/>
  <c r="E43" i="3"/>
  <c r="W42" i="3"/>
  <c r="F42" i="3"/>
  <c r="E42" i="3"/>
  <c r="W41" i="3"/>
  <c r="F41" i="3"/>
  <c r="E41" i="3"/>
  <c r="W40" i="3"/>
  <c r="F40" i="3"/>
  <c r="E40" i="3"/>
  <c r="W39" i="3"/>
  <c r="F39" i="3"/>
  <c r="E39" i="3"/>
  <c r="W38" i="3"/>
  <c r="F38" i="3"/>
  <c r="E38" i="3"/>
  <c r="W37" i="3"/>
  <c r="U37" i="3"/>
  <c r="F37" i="3"/>
  <c r="E37" i="3"/>
  <c r="W36" i="3"/>
  <c r="U36" i="3"/>
  <c r="F36" i="3"/>
  <c r="E36" i="3"/>
  <c r="W35" i="3"/>
  <c r="U35" i="3"/>
  <c r="F35" i="3"/>
  <c r="E35" i="3"/>
  <c r="F34" i="3"/>
  <c r="E34" i="3"/>
  <c r="AT16" i="3"/>
  <c r="AT15" i="3"/>
  <c r="AS15" i="3"/>
  <c r="AL15" i="3"/>
  <c r="AM15" i="3" s="1"/>
  <c r="AM30" i="3" s="1"/>
  <c r="AF15" i="3"/>
  <c r="AF30" i="3" s="1"/>
  <c r="AE15" i="3"/>
  <c r="X15" i="3"/>
  <c r="X30" i="3" s="1"/>
  <c r="W15" i="3"/>
  <c r="O15" i="3"/>
  <c r="P15" i="3" s="1"/>
  <c r="P30" i="3" s="1"/>
  <c r="AS14" i="3"/>
  <c r="AT14" i="3" s="1"/>
  <c r="AU14" i="3" s="1"/>
  <c r="AL14" i="3"/>
  <c r="AM14" i="3" s="1"/>
  <c r="AE14" i="3"/>
  <c r="AF14" i="3" s="1"/>
  <c r="AG14" i="3" s="1"/>
  <c r="W14" i="3"/>
  <c r="X14" i="3" s="1"/>
  <c r="P14" i="3"/>
  <c r="Q14" i="3" s="1"/>
  <c r="O14" i="3"/>
  <c r="P32" i="3" s="1"/>
  <c r="J14" i="3"/>
  <c r="AS13" i="3"/>
  <c r="AT13" i="3" s="1"/>
  <c r="AL13" i="3"/>
  <c r="AM13" i="3" s="1"/>
  <c r="AE13" i="3"/>
  <c r="AF13" i="3" s="1"/>
  <c r="AF28" i="3" s="1"/>
  <c r="AG28" i="3" s="1"/>
  <c r="W13" i="3"/>
  <c r="X13" i="3" s="1"/>
  <c r="Y13" i="3" s="1"/>
  <c r="O13" i="3"/>
  <c r="P13" i="3" s="1"/>
  <c r="J13" i="3"/>
  <c r="AS12" i="3"/>
  <c r="AT12" i="3" s="1"/>
  <c r="AL12" i="3"/>
  <c r="AM12" i="3" s="1"/>
  <c r="AE12" i="3"/>
  <c r="AF12" i="3" s="1"/>
  <c r="W12" i="3"/>
  <c r="X12" i="3" s="1"/>
  <c r="O12" i="3"/>
  <c r="P12" i="3" s="1"/>
  <c r="J12" i="3"/>
  <c r="AS11" i="3"/>
  <c r="AT11" i="3" s="1"/>
  <c r="AL11" i="3"/>
  <c r="AM11" i="3" s="1"/>
  <c r="AN11" i="3" s="1"/>
  <c r="AF11" i="3"/>
  <c r="AF26" i="3" s="1"/>
  <c r="AG26" i="3" s="1"/>
  <c r="AE11" i="3"/>
  <c r="W11" i="3"/>
  <c r="X11" i="3" s="1"/>
  <c r="O11" i="3"/>
  <c r="P11" i="3" s="1"/>
  <c r="J11" i="3"/>
  <c r="AS10" i="3"/>
  <c r="AT10" i="3" s="1"/>
  <c r="AU10" i="3" s="1"/>
  <c r="AL10" i="3"/>
  <c r="AM10" i="3" s="1"/>
  <c r="AE10" i="3"/>
  <c r="AF10" i="3" s="1"/>
  <c r="AG10" i="3" s="1"/>
  <c r="W10" i="3"/>
  <c r="X10" i="3" s="1"/>
  <c r="P10" i="3"/>
  <c r="Q10" i="3" s="1"/>
  <c r="O10" i="3"/>
  <c r="J10" i="3"/>
  <c r="AS9" i="3"/>
  <c r="AT9" i="3" s="1"/>
  <c r="AL9" i="3"/>
  <c r="AM9" i="3" s="1"/>
  <c r="AF9" i="3"/>
  <c r="AF24" i="3" s="1"/>
  <c r="AG24" i="3" s="1"/>
  <c r="AE9" i="3"/>
  <c r="X9" i="3"/>
  <c r="Y9" i="3" s="1"/>
  <c r="W9" i="3"/>
  <c r="O9" i="3"/>
  <c r="P9" i="3" s="1"/>
  <c r="J9" i="3"/>
  <c r="AS8" i="3"/>
  <c r="AT8" i="3" s="1"/>
  <c r="AL8" i="3"/>
  <c r="AM8" i="3" s="1"/>
  <c r="AE8" i="3"/>
  <c r="AF8" i="3" s="1"/>
  <c r="W8" i="3"/>
  <c r="X8" i="3" s="1"/>
  <c r="O8" i="3"/>
  <c r="P8" i="3" s="1"/>
  <c r="J8" i="3"/>
  <c r="AS7" i="3"/>
  <c r="AT7" i="3" s="1"/>
  <c r="AM7" i="3"/>
  <c r="AN7" i="3" s="1"/>
  <c r="AL7" i="3"/>
  <c r="AE7" i="3"/>
  <c r="AF7" i="3" s="1"/>
  <c r="AF22" i="3" s="1"/>
  <c r="AG22" i="3" s="1"/>
  <c r="W7" i="3"/>
  <c r="X7" i="3" s="1"/>
  <c r="O7" i="3"/>
  <c r="P7" i="3" s="1"/>
  <c r="J7" i="3"/>
  <c r="AS6" i="3"/>
  <c r="AT6" i="3" s="1"/>
  <c r="AU6" i="3" s="1"/>
  <c r="AL6" i="3"/>
  <c r="AM6" i="3" s="1"/>
  <c r="AE6" i="3"/>
  <c r="AF6" i="3" s="1"/>
  <c r="AF21" i="3" s="1"/>
  <c r="AG21" i="3" s="1"/>
  <c r="W6" i="3"/>
  <c r="X6" i="3" s="1"/>
  <c r="O6" i="3"/>
  <c r="P6" i="3" s="1"/>
  <c r="Q6" i="3" s="1"/>
  <c r="M6" i="3"/>
  <c r="J6" i="3"/>
  <c r="AT5" i="3"/>
  <c r="AU5" i="3" s="1"/>
  <c r="AS5" i="3"/>
  <c r="AM5" i="3"/>
  <c r="AN5" i="3" s="1"/>
  <c r="AL5" i="3"/>
  <c r="AE5" i="3"/>
  <c r="AC5" i="3"/>
  <c r="W5" i="3"/>
  <c r="X16" i="3" s="1"/>
  <c r="U5" i="3"/>
  <c r="O5" i="3"/>
  <c r="P5" i="3" s="1"/>
  <c r="P20" i="3" s="1"/>
  <c r="Q20" i="3" s="1"/>
  <c r="M5" i="3"/>
  <c r="J5" i="3"/>
  <c r="AS4" i="3"/>
  <c r="AT4" i="3" s="1"/>
  <c r="AQ4" i="3"/>
  <c r="AL4" i="3"/>
  <c r="AM4" i="3" s="1"/>
  <c r="AJ4" i="3"/>
  <c r="AE4" i="3"/>
  <c r="AF4" i="3" s="1"/>
  <c r="AG4" i="3" s="1"/>
  <c r="AC4" i="3"/>
  <c r="X4" i="3"/>
  <c r="Y4" i="3" s="1"/>
  <c r="W4" i="3"/>
  <c r="U4" i="3"/>
  <c r="O4" i="3"/>
  <c r="P4" i="3" s="1"/>
  <c r="P19" i="3" s="1"/>
  <c r="Q19" i="3" s="1"/>
  <c r="M4" i="3"/>
  <c r="J4" i="3"/>
  <c r="AS3" i="3"/>
  <c r="AT3" i="3" s="1"/>
  <c r="AT18" i="3" s="1"/>
  <c r="AU18" i="3" s="1"/>
  <c r="AQ3" i="3"/>
  <c r="AL3" i="3"/>
  <c r="AM3" i="3" s="1"/>
  <c r="AJ3" i="3"/>
  <c r="AE3" i="3"/>
  <c r="AF3" i="3" s="1"/>
  <c r="AC3" i="3"/>
  <c r="W3" i="3"/>
  <c r="X3" i="3" s="1"/>
  <c r="U3" i="3"/>
  <c r="P3" i="3"/>
  <c r="P18" i="3" s="1"/>
  <c r="Q18" i="3" s="1"/>
  <c r="O3" i="3"/>
  <c r="M3" i="3"/>
  <c r="J3" i="3"/>
  <c r="X17" i="3" l="1"/>
  <c r="X5" i="3"/>
  <c r="X20" i="3" s="1"/>
  <c r="X37" i="3" s="1"/>
  <c r="P16" i="3"/>
  <c r="AM16" i="3"/>
  <c r="P31" i="3"/>
  <c r="AF16" i="3"/>
  <c r="X31" i="3"/>
  <c r="X48" i="3" s="1"/>
  <c r="X32" i="3"/>
  <c r="P17" i="3"/>
  <c r="AF17" i="3"/>
  <c r="AM17" i="3"/>
  <c r="AM20" i="3"/>
  <c r="AN20" i="3" s="1"/>
  <c r="AT29" i="3"/>
  <c r="AU29" i="3" s="1"/>
  <c r="AF19" i="3"/>
  <c r="AG19" i="3" s="1"/>
  <c r="X28" i="3"/>
  <c r="AF29" i="3"/>
  <c r="AG29" i="3" s="1"/>
  <c r="AG7" i="3"/>
  <c r="AG11" i="3"/>
  <c r="AT20" i="3"/>
  <c r="AU20" i="3" s="1"/>
  <c r="AT17" i="3"/>
  <c r="AM26" i="3"/>
  <c r="X49" i="3"/>
  <c r="AF32" i="3"/>
  <c r="AM32" i="3" s="1"/>
  <c r="X21" i="3"/>
  <c r="X38" i="3" s="1"/>
  <c r="Y6" i="3"/>
  <c r="P23" i="3"/>
  <c r="Q23" i="3" s="1"/>
  <c r="Q8" i="3"/>
  <c r="X25" i="3"/>
  <c r="X42" i="3" s="1"/>
  <c r="Y10" i="3"/>
  <c r="P27" i="3"/>
  <c r="Q27" i="3" s="1"/>
  <c r="Q12" i="3"/>
  <c r="X29" i="3"/>
  <c r="X46" i="3" s="1"/>
  <c r="Y14" i="3"/>
  <c r="AN10" i="3"/>
  <c r="AM25" i="3"/>
  <c r="AM21" i="3"/>
  <c r="AN6" i="3"/>
  <c r="AU8" i="3"/>
  <c r="AT23" i="3"/>
  <c r="AU23" i="3" s="1"/>
  <c r="AT27" i="3"/>
  <c r="AU27" i="3" s="1"/>
  <c r="AU12" i="3"/>
  <c r="AF23" i="3"/>
  <c r="AG23" i="3" s="1"/>
  <c r="AG8" i="3"/>
  <c r="Y37" i="3"/>
  <c r="Y20" i="3"/>
  <c r="AN8" i="3"/>
  <c r="AM23" i="3"/>
  <c r="Q9" i="3"/>
  <c r="P24" i="3"/>
  <c r="Q24" i="3" s="1"/>
  <c r="P28" i="3"/>
  <c r="Q28" i="3" s="1"/>
  <c r="Q13" i="3"/>
  <c r="AG12" i="3"/>
  <c r="AF27" i="3"/>
  <c r="AG27" i="3" s="1"/>
  <c r="AM27" i="3"/>
  <c r="AN12" i="3"/>
  <c r="Q7" i="3"/>
  <c r="P22" i="3"/>
  <c r="Q22" i="3" s="1"/>
  <c r="P26" i="3"/>
  <c r="Q26" i="3" s="1"/>
  <c r="Q11" i="3"/>
  <c r="Y12" i="3"/>
  <c r="X27" i="3"/>
  <c r="X44" i="3" s="1"/>
  <c r="AN14" i="3"/>
  <c r="AM29" i="3"/>
  <c r="X22" i="3"/>
  <c r="X39" i="3" s="1"/>
  <c r="Y7" i="3"/>
  <c r="X26" i="3"/>
  <c r="X43" i="3" s="1"/>
  <c r="Y11" i="3"/>
  <c r="Y3" i="3"/>
  <c r="X18" i="3"/>
  <c r="X35" i="3" s="1"/>
  <c r="AG3" i="3"/>
  <c r="AF18" i="3"/>
  <c r="AG18" i="3" s="1"/>
  <c r="AM24" i="3"/>
  <c r="AN9" i="3"/>
  <c r="AM28" i="3"/>
  <c r="AN13" i="3"/>
  <c r="X23" i="3"/>
  <c r="X40" i="3" s="1"/>
  <c r="Y8" i="3"/>
  <c r="AN4" i="3"/>
  <c r="AM19" i="3"/>
  <c r="AT24" i="3"/>
  <c r="AU24" i="3" s="1"/>
  <c r="AU9" i="3"/>
  <c r="AT28" i="3"/>
  <c r="AU28" i="3" s="1"/>
  <c r="AU13" i="3"/>
  <c r="AN3" i="3"/>
  <c r="AM18" i="3"/>
  <c r="AU4" i="3"/>
  <c r="AT19" i="3"/>
  <c r="AU19" i="3" s="1"/>
  <c r="AU7" i="3"/>
  <c r="AT22" i="3"/>
  <c r="AU22" i="3" s="1"/>
  <c r="AT26" i="3"/>
  <c r="AU26" i="3" s="1"/>
  <c r="AU11" i="3"/>
  <c r="AF5" i="3"/>
  <c r="X19" i="3"/>
  <c r="X36" i="3" s="1"/>
  <c r="P25" i="3"/>
  <c r="Q25" i="3" s="1"/>
  <c r="AG9" i="3"/>
  <c r="AG13" i="3"/>
  <c r="Q3" i="3"/>
  <c r="P21" i="3"/>
  <c r="Q21" i="3" s="1"/>
  <c r="AF25" i="3"/>
  <c r="AG25" i="3" s="1"/>
  <c r="Y28" i="3"/>
  <c r="AM22" i="3"/>
  <c r="Q5" i="3"/>
  <c r="AG6" i="3"/>
  <c r="X24" i="3"/>
  <c r="X41" i="3" s="1"/>
  <c r="AU3" i="3"/>
  <c r="AT25" i="3"/>
  <c r="AU25" i="3" s="1"/>
  <c r="Y5" i="3"/>
  <c r="AT21" i="3"/>
  <c r="AU21" i="3" s="1"/>
  <c r="P29" i="3"/>
  <c r="Q4" i="3"/>
  <c r="X45" i="3" l="1"/>
  <c r="Y45" i="3" s="1"/>
  <c r="AF31" i="3"/>
  <c r="AM31" i="3" s="1"/>
  <c r="AN26" i="3"/>
  <c r="AN19" i="3"/>
  <c r="AN21" i="3"/>
  <c r="AN25" i="3"/>
  <c r="AN22" i="3"/>
  <c r="AN28" i="3"/>
  <c r="Y44" i="3"/>
  <c r="Y27" i="3"/>
  <c r="AN27" i="3"/>
  <c r="Y29" i="3"/>
  <c r="Y46" i="3"/>
  <c r="AN24" i="3"/>
  <c r="Y18" i="3"/>
  <c r="Y35" i="3"/>
  <c r="O52" i="3" s="1"/>
  <c r="Y42" i="3"/>
  <c r="Y25" i="3"/>
  <c r="Y36" i="3"/>
  <c r="Y19" i="3"/>
  <c r="AN18" i="3"/>
  <c r="AT31" i="3"/>
  <c r="AF20" i="3"/>
  <c r="AG20" i="3" s="1"/>
  <c r="AG5" i="3"/>
  <c r="AN29" i="3"/>
  <c r="AN23" i="3"/>
  <c r="Y39" i="3"/>
  <c r="Y22" i="3"/>
  <c r="Y23" i="3"/>
  <c r="Y40" i="3"/>
  <c r="Y41" i="3"/>
  <c r="Y24" i="3"/>
  <c r="Y38" i="3"/>
  <c r="Y21" i="3"/>
  <c r="Y26" i="3"/>
  <c r="Y43" i="3"/>
  <c r="AT32" i="3"/>
  <c r="U54" i="3"/>
  <c r="T54" i="3"/>
  <c r="S54" i="3"/>
  <c r="R54" i="3"/>
  <c r="Q54" i="3"/>
  <c r="O54" i="3"/>
  <c r="X54" i="3"/>
  <c r="W54" i="3"/>
  <c r="V54" i="3"/>
  <c r="S62" i="3" l="1"/>
  <c r="W62" i="3"/>
  <c r="U62" i="3"/>
  <c r="T62" i="3"/>
  <c r="V62" i="3"/>
  <c r="X62" i="3"/>
  <c r="R62" i="3"/>
  <c r="O62" i="3"/>
  <c r="Q62" i="3"/>
  <c r="X57" i="3"/>
  <c r="W57" i="3"/>
  <c r="V57" i="3"/>
  <c r="U57" i="3"/>
  <c r="T57" i="3"/>
  <c r="S57" i="3"/>
  <c r="R57" i="3"/>
  <c r="Q57" i="3"/>
  <c r="O57" i="3"/>
  <c r="V61" i="3"/>
  <c r="U61" i="3"/>
  <c r="T61" i="3"/>
  <c r="S61" i="3"/>
  <c r="R61" i="3"/>
  <c r="Q61" i="3"/>
  <c r="O61" i="3"/>
  <c r="X61" i="3"/>
  <c r="W61" i="3"/>
  <c r="T60" i="3"/>
  <c r="X60" i="3"/>
  <c r="W60" i="3"/>
  <c r="V60" i="3"/>
  <c r="U60" i="3"/>
  <c r="S60" i="3"/>
  <c r="R60" i="3"/>
  <c r="Q60" i="3"/>
  <c r="O60" i="3"/>
  <c r="X55" i="3"/>
  <c r="W55" i="3"/>
  <c r="V55" i="3"/>
  <c r="U55" i="3"/>
  <c r="Q55" i="3"/>
  <c r="T55" i="3"/>
  <c r="S55" i="3"/>
  <c r="R55" i="3"/>
  <c r="O55" i="3"/>
  <c r="W52" i="3"/>
  <c r="V52" i="3"/>
  <c r="U52" i="3"/>
  <c r="T52" i="3"/>
  <c r="S52" i="3"/>
  <c r="R52" i="3"/>
  <c r="Q52" i="3"/>
  <c r="X52" i="3"/>
  <c r="S53" i="3"/>
  <c r="X53" i="3"/>
  <c r="W53" i="3"/>
  <c r="V53" i="3"/>
  <c r="U53" i="3"/>
  <c r="T53" i="3"/>
  <c r="R53" i="3"/>
  <c r="Q53" i="3"/>
  <c r="O53" i="3"/>
  <c r="T63" i="3"/>
  <c r="S63" i="3"/>
  <c r="R63" i="3"/>
  <c r="Q63" i="3"/>
  <c r="O63" i="3"/>
  <c r="X63" i="3"/>
  <c r="W63" i="3"/>
  <c r="V63" i="3"/>
  <c r="U63" i="3"/>
  <c r="S56" i="3"/>
  <c r="R56" i="3"/>
  <c r="Q56" i="3"/>
  <c r="O56" i="3"/>
  <c r="X56" i="3"/>
  <c r="W56" i="3"/>
  <c r="V56" i="3"/>
  <c r="U56" i="3"/>
  <c r="T56" i="3"/>
  <c r="X59" i="3"/>
  <c r="W59" i="3"/>
  <c r="V59" i="3"/>
  <c r="U59" i="3"/>
  <c r="T59" i="3"/>
  <c r="S59" i="3"/>
  <c r="R59" i="3"/>
  <c r="Q59" i="3"/>
  <c r="O59" i="3"/>
  <c r="Q58" i="3"/>
  <c r="O58" i="3"/>
  <c r="V58" i="3"/>
  <c r="X58" i="3"/>
  <c r="W58" i="3"/>
  <c r="U58" i="3"/>
  <c r="T58" i="3"/>
  <c r="S58" i="3"/>
  <c r="R58" i="3"/>
</calcChain>
</file>

<file path=xl/sharedStrings.xml><?xml version="1.0" encoding="utf-8"?>
<sst xmlns="http://schemas.openxmlformats.org/spreadsheetml/2006/main" count="674" uniqueCount="75">
  <si>
    <r>
      <t>D</t>
    </r>
    <r>
      <rPr>
        <sz val="6"/>
        <color theme="1"/>
        <rFont val="等线"/>
        <family val="3"/>
        <charset val="134"/>
        <scheme val="minor"/>
      </rPr>
      <t>0</t>
    </r>
    <phoneticPr fontId="1" type="noConversion"/>
  </si>
  <si>
    <t>1st PM</t>
    <phoneticPr fontId="1" type="noConversion"/>
  </si>
  <si>
    <t>liquid</t>
    <phoneticPr fontId="1" type="noConversion"/>
  </si>
  <si>
    <t>F</t>
    <phoneticPr fontId="1" type="noConversion"/>
  </si>
  <si>
    <t>D'</t>
    <phoneticPr fontId="1" type="noConversion"/>
  </si>
  <si>
    <t>E</t>
    <phoneticPr fontId="1" type="noConversion"/>
  </si>
  <si>
    <t>E CI</t>
    <phoneticPr fontId="1" type="noConversion"/>
  </si>
  <si>
    <t>D</t>
    <phoneticPr fontId="1" type="noConversion"/>
  </si>
  <si>
    <t>D CI</t>
    <phoneticPr fontId="1" type="noConversion"/>
  </si>
  <si>
    <t>E</t>
  </si>
  <si>
    <t>D</t>
  </si>
  <si>
    <t>E CI</t>
  </si>
  <si>
    <t>D CI</t>
  </si>
  <si>
    <t>F</t>
  </si>
  <si>
    <t>D'</t>
  </si>
  <si>
    <t>ol</t>
    <phoneticPr fontId="1" type="noConversion"/>
  </si>
  <si>
    <t>opx</t>
    <phoneticPr fontId="1" type="noConversion"/>
  </si>
  <si>
    <t>cpx</t>
    <phoneticPr fontId="1" type="noConversion"/>
  </si>
  <si>
    <t>grt</t>
    <phoneticPr fontId="1" type="noConversion"/>
  </si>
  <si>
    <t>La</t>
  </si>
  <si>
    <t>ol</t>
  </si>
  <si>
    <t>Ce</t>
  </si>
  <si>
    <t>opx</t>
  </si>
  <si>
    <t>Nd</t>
  </si>
  <si>
    <t>Sm</t>
  </si>
  <si>
    <t>Eu</t>
  </si>
  <si>
    <t>Gd</t>
  </si>
  <si>
    <t>Tb</t>
  </si>
  <si>
    <t>Dy</t>
  </si>
  <si>
    <t>Er</t>
  </si>
  <si>
    <t>Tm</t>
  </si>
  <si>
    <t>Yb</t>
  </si>
  <si>
    <t>Lu</t>
  </si>
  <si>
    <t>Hf</t>
  </si>
  <si>
    <t>Hf</t>
    <phoneticPr fontId="1" type="noConversion"/>
  </si>
  <si>
    <t>147Sm/144Nd</t>
  </si>
  <si>
    <t>TL99.5 BORG</t>
  </si>
  <si>
    <t>melt</t>
    <phoneticPr fontId="1" type="noConversion"/>
  </si>
  <si>
    <t>CI</t>
    <phoneticPr fontId="1" type="noConversion"/>
  </si>
  <si>
    <t>176Lu/177Hf</t>
  </si>
  <si>
    <t>CI value</t>
    <phoneticPr fontId="1" type="noConversion"/>
  </si>
  <si>
    <t>176Lu/177Hf</t>
    <phoneticPr fontId="1" type="noConversion"/>
  </si>
  <si>
    <t>FC of 2nd melt</t>
    <phoneticPr fontId="1" type="noConversion"/>
  </si>
  <si>
    <t>melt 0.9</t>
    <phoneticPr fontId="1" type="noConversion"/>
  </si>
  <si>
    <t>melt 0.8</t>
    <phoneticPr fontId="1" type="noConversion"/>
  </si>
  <si>
    <t>melt 0.7</t>
    <phoneticPr fontId="1" type="noConversion"/>
  </si>
  <si>
    <t>melt 0.6</t>
    <phoneticPr fontId="1" type="noConversion"/>
  </si>
  <si>
    <t>melt 0.9</t>
  </si>
  <si>
    <t>melt 0.8</t>
  </si>
  <si>
    <t>melt 0.7</t>
  </si>
  <si>
    <t>melt 0.5</t>
  </si>
  <si>
    <t>melt 0.4</t>
  </si>
  <si>
    <t>melt 0.3</t>
  </si>
  <si>
    <t>melt 0.2</t>
  </si>
  <si>
    <t>liquid</t>
  </si>
  <si>
    <t>MIX</t>
    <phoneticPr fontId="1" type="noConversion"/>
  </si>
  <si>
    <t>cpx</t>
  </si>
  <si>
    <t>grt</t>
  </si>
  <si>
    <t>melt 0.6</t>
  </si>
  <si>
    <t>melt 0.1</t>
  </si>
  <si>
    <t>residue</t>
    <phoneticPr fontId="1" type="noConversion"/>
  </si>
  <si>
    <t>melt0.5</t>
    <phoneticPr fontId="1" type="noConversion"/>
  </si>
  <si>
    <t>DMM</t>
    <phoneticPr fontId="1" type="noConversion"/>
  </si>
  <si>
    <t>2nd PM for F0.03R</t>
    <phoneticPr fontId="1" type="noConversion"/>
  </si>
  <si>
    <t>D Ol</t>
    <phoneticPr fontId="1" type="noConversion"/>
  </si>
  <si>
    <t>FC of 2nd melt</t>
  </si>
  <si>
    <t>equilibrium melt of pyx</t>
  </si>
  <si>
    <t>pgn melt</t>
  </si>
  <si>
    <t>aug melt</t>
  </si>
  <si>
    <t>EMM</t>
    <phoneticPr fontId="1" type="noConversion"/>
  </si>
  <si>
    <t>melt0.4</t>
    <phoneticPr fontId="1" type="noConversion"/>
  </si>
  <si>
    <t>2nd PM for F0.2R</t>
    <phoneticPr fontId="1" type="noConversion"/>
  </si>
  <si>
    <t>melt 0.75</t>
    <phoneticPr fontId="1" type="noConversion"/>
  </si>
  <si>
    <t>0.98*PM1 melt +0.02*TL</t>
    <phoneticPr fontId="1" type="noConversion"/>
  </si>
  <si>
    <t>melt 0.85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</si>
</sst>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6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2"/>
      <name val="Calibri"/>
      <family val="2"/>
    </font>
    <font>
      <sz val="11"/>
      <color theme="1"/>
      <name val="等线"/>
      <family val="3"/>
      <charset val="134"/>
      <scheme val="minor"/>
    </font>
    <font>
      <sz val="12"/>
      <color theme="1"/>
      <name val="Calibri Light"/>
      <family val="2"/>
    </font>
    <font>
      <sz val="11"/>
      <color theme="7" tint="0.79998168889431442"/>
      <name val="等线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9" fontId="0" fillId="2" borderId="0" xfId="0" applyNumberFormat="1" applyFill="1"/>
    <xf numFmtId="0" fontId="3" fillId="3" borderId="0" xfId="0" applyFont="1" applyFill="1"/>
    <xf numFmtId="0" fontId="3" fillId="2" borderId="0" xfId="0" applyFont="1" applyFill="1"/>
    <xf numFmtId="0" fontId="0" fillId="4" borderId="0" xfId="0" applyFill="1"/>
    <xf numFmtId="0" fontId="4" fillId="2" borderId="0" xfId="0" applyFont="1" applyFill="1"/>
    <xf numFmtId="0" fontId="5" fillId="2" borderId="0" xfId="0" applyFont="1" applyFill="1"/>
    <xf numFmtId="0" fontId="3" fillId="4" borderId="0" xfId="0" applyFont="1" applyFill="1"/>
    <xf numFmtId="0" fontId="6" fillId="4" borderId="0" xfId="0" applyFont="1" applyFill="1"/>
    <xf numFmtId="2" fontId="0" fillId="2" borderId="0" xfId="0" applyNumberFormat="1" applyFill="1"/>
    <xf numFmtId="176" fontId="0" fillId="2" borderId="0" xfId="0" applyNumberFormat="1" applyFill="1"/>
    <xf numFmtId="0" fontId="0" fillId="5" borderId="0" xfId="0" applyFill="1"/>
    <xf numFmtId="0" fontId="0" fillId="6" borderId="0" xfId="0" applyFill="1"/>
    <xf numFmtId="176" fontId="0" fillId="6" borderId="0" xfId="0" applyNumberFormat="1" applyFill="1"/>
    <xf numFmtId="0" fontId="3" fillId="6" borderId="0" xfId="0" applyFont="1" applyFill="1"/>
    <xf numFmtId="0" fontId="6" fillId="6" borderId="0" xfId="0" applyFont="1" applyFill="1"/>
    <xf numFmtId="0" fontId="3" fillId="0" borderId="0" xfId="0" applyFont="1"/>
    <xf numFmtId="0" fontId="0" fillId="7" borderId="0" xfId="0" applyFill="1"/>
    <xf numFmtId="0" fontId="7" fillId="7" borderId="0" xfId="0" applyFont="1" applyFill="1" applyAlignment="1">
      <alignment horizontal="center"/>
    </xf>
    <xf numFmtId="177" fontId="0" fillId="6" borderId="0" xfId="0" applyNumberFormat="1" applyFill="1"/>
    <xf numFmtId="2" fontId="7" fillId="7" borderId="0" xfId="0" applyNumberFormat="1" applyFont="1" applyFill="1" applyAlignment="1">
      <alignment horizontal="center"/>
    </xf>
    <xf numFmtId="0" fontId="0" fillId="8" borderId="0" xfId="0" applyFill="1"/>
    <xf numFmtId="0" fontId="3" fillId="8" borderId="0" xfId="0" applyFont="1" applyFill="1"/>
    <xf numFmtId="177" fontId="0" fillId="8" borderId="0" xfId="0" applyNumberFormat="1" applyFill="1"/>
    <xf numFmtId="0" fontId="0" fillId="0" borderId="0" xfId="0" applyAlignment="1">
      <alignment wrapText="1"/>
    </xf>
    <xf numFmtId="0" fontId="0" fillId="9" borderId="0" xfId="0" applyFill="1"/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/>
    <xf numFmtId="0" fontId="6" fillId="0" borderId="0" xfId="0" applyFont="1"/>
    <xf numFmtId="0" fontId="3" fillId="3" borderId="0" xfId="0" applyFont="1" applyFill="1" applyAlignment="1">
      <alignment wrapText="1"/>
    </xf>
    <xf numFmtId="2" fontId="0" fillId="0" borderId="0" xfId="0" applyNumberFormat="1"/>
    <xf numFmtId="0" fontId="3" fillId="9" borderId="0" xfId="0" applyFont="1" applyFill="1"/>
    <xf numFmtId="0" fontId="4" fillId="9" borderId="0" xfId="0" applyFont="1" applyFill="1"/>
    <xf numFmtId="0" fontId="10" fillId="0" borderId="0" xfId="0" applyFont="1"/>
    <xf numFmtId="0" fontId="7" fillId="0" borderId="0" xfId="0" applyFont="1" applyAlignment="1">
      <alignment horizontal="center" vertical="center"/>
    </xf>
    <xf numFmtId="0" fontId="4" fillId="0" borderId="0" xfId="0" applyFont="1"/>
    <xf numFmtId="0" fontId="8" fillId="4" borderId="0" xfId="0" applyFont="1" applyFill="1"/>
    <xf numFmtId="0" fontId="8" fillId="2" borderId="0" xfId="0" applyFont="1" applyFill="1"/>
    <xf numFmtId="0" fontId="8" fillId="8" borderId="0" xfId="0" applyFont="1" applyFill="1"/>
    <xf numFmtId="0" fontId="0" fillId="9" borderId="0" xfId="0" applyFill="1" applyAlignment="1">
      <alignment horizontal="left"/>
    </xf>
    <xf numFmtId="0" fontId="5" fillId="6" borderId="0" xfId="0" applyFont="1" applyFill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'1st melting DMM+TL'!#REF!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EA-4F94-9CF2-5ED4E010B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301103"/>
        <c:axId val="1292299663"/>
      </c:scatterChart>
      <c:valAx>
        <c:axId val="1292301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92299663"/>
        <c:crosses val="autoZero"/>
        <c:crossBetween val="midCat"/>
      </c:valAx>
      <c:valAx>
        <c:axId val="129229966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92301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yVal>
            <c:numRef>
              <c:f>'EMM REE RESULTS'!$J$53:$J$64</c:f>
              <c:numCache>
                <c:formatCode>General</c:formatCode>
                <c:ptCount val="12"/>
                <c:pt idx="0">
                  <c:v>9.1387800000000006</c:v>
                </c:pt>
                <c:pt idx="1">
                  <c:v>9.2572600000000005</c:v>
                </c:pt>
                <c:pt idx="2">
                  <c:v>9.7866</c:v>
                </c:pt>
                <c:pt idx="3">
                  <c:v>12.56443</c:v>
                </c:pt>
                <c:pt idx="4">
                  <c:v>5.5641400000000001</c:v>
                </c:pt>
                <c:pt idx="5">
                  <c:v>11.71414</c:v>
                </c:pt>
                <c:pt idx="6">
                  <c:v>10.184229999999999</c:v>
                </c:pt>
                <c:pt idx="7">
                  <c:v>10.95481</c:v>
                </c:pt>
                <c:pt idx="8">
                  <c:v>12.940390000000001</c:v>
                </c:pt>
                <c:pt idx="9">
                  <c:v>11.91006</c:v>
                </c:pt>
                <c:pt idx="10">
                  <c:v>9.2362699999999993</c:v>
                </c:pt>
                <c:pt idx="11">
                  <c:v>8.9791600000000003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84-42D3-9BB9-96286790455D}"/>
            </c:ext>
          </c:extLst>
        </c:ser>
        <c:ser>
          <c:idx val="4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yVal>
            <c:numRef>
              <c:f>'EMM REE RESULTS'!$I$53:$I$64</c:f>
              <c:numCache>
                <c:formatCode>General</c:formatCode>
                <c:ptCount val="12"/>
                <c:pt idx="0">
                  <c:v>3.9133599999999999</c:v>
                </c:pt>
                <c:pt idx="1">
                  <c:v>6.28566</c:v>
                </c:pt>
                <c:pt idx="2">
                  <c:v>7.6968699999999997</c:v>
                </c:pt>
                <c:pt idx="3">
                  <c:v>11.977650000000001</c:v>
                </c:pt>
                <c:pt idx="4">
                  <c:v>8.6360799999999998</c:v>
                </c:pt>
                <c:pt idx="5">
                  <c:v>12.47222</c:v>
                </c:pt>
                <c:pt idx="6">
                  <c:v>12.88204</c:v>
                </c:pt>
                <c:pt idx="7">
                  <c:v>14.02055</c:v>
                </c:pt>
                <c:pt idx="8">
                  <c:v>13.45637</c:v>
                </c:pt>
                <c:pt idx="9">
                  <c:v>12.03811</c:v>
                </c:pt>
                <c:pt idx="10">
                  <c:v>13.55124</c:v>
                </c:pt>
                <c:pt idx="11">
                  <c:v>11.076560000000001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84-42D3-9BB9-96286790455D}"/>
            </c:ext>
          </c:extLst>
        </c:ser>
        <c:ser>
          <c:idx val="5"/>
          <c:order val="2"/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yVal>
            <c:numRef>
              <c:f>'EMM REE RESULTS'!$P$53:$P$64</c:f>
              <c:numCache>
                <c:formatCode>General</c:formatCode>
                <c:ptCount val="12"/>
                <c:pt idx="0">
                  <c:v>3.7562267826828015</c:v>
                </c:pt>
                <c:pt idx="1">
                  <c:v>4.8350200836874597</c:v>
                </c:pt>
                <c:pt idx="2">
                  <c:v>7.2418012023629235</c:v>
                </c:pt>
                <c:pt idx="3">
                  <c:v>9.8855267424854958</c:v>
                </c:pt>
                <c:pt idx="4">
                  <c:v>12.267322455336922</c:v>
                </c:pt>
                <c:pt idx="5">
                  <c:v>12.292019487469913</c:v>
                </c:pt>
                <c:pt idx="6">
                  <c:v>13.744335215864618</c:v>
                </c:pt>
                <c:pt idx="7">
                  <c:v>14.156768609929266</c:v>
                </c:pt>
                <c:pt idx="8">
                  <c:v>13.123215195067591</c:v>
                </c:pt>
                <c:pt idx="9">
                  <c:v>12.230222177268887</c:v>
                </c:pt>
                <c:pt idx="10">
                  <c:v>14.044550083995521</c:v>
                </c:pt>
                <c:pt idx="11">
                  <c:v>12.726582911821477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84-42D3-9BB9-96286790455D}"/>
            </c:ext>
          </c:extLst>
        </c:ser>
        <c:ser>
          <c:idx val="1"/>
          <c:order val="3"/>
          <c:spPr>
            <a:ln w="19050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yVal>
            <c:numRef>
              <c:f>'EMM REE RESULTS'!$AO$3:$AO$14</c:f>
              <c:numCache>
                <c:formatCode>General</c:formatCode>
                <c:ptCount val="12"/>
                <c:pt idx="0">
                  <c:v>13.212292120444296</c:v>
                </c:pt>
                <c:pt idx="1">
                  <c:v>12.695358649789027</c:v>
                </c:pt>
                <c:pt idx="2">
                  <c:v>11.296762656086585</c:v>
                </c:pt>
                <c:pt idx="3">
                  <c:v>12.763595536931227</c:v>
                </c:pt>
                <c:pt idx="4">
                  <c:v>14.182226205723797</c:v>
                </c:pt>
                <c:pt idx="5">
                  <c:v>13.257179684012879</c:v>
                </c:pt>
                <c:pt idx="6">
                  <c:v>14.044094941261086</c:v>
                </c:pt>
                <c:pt idx="7">
                  <c:v>13.839520441580547</c:v>
                </c:pt>
                <c:pt idx="8">
                  <c:v>11.898966772941556</c:v>
                </c:pt>
                <c:pt idx="9">
                  <c:v>10.459371522225972</c:v>
                </c:pt>
                <c:pt idx="10">
                  <c:v>11.605611360528835</c:v>
                </c:pt>
                <c:pt idx="11">
                  <c:v>10.213891322595732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F84-42D3-9BB9-96286790455D}"/>
            </c:ext>
          </c:extLst>
        </c:ser>
        <c:ser>
          <c:idx val="2"/>
          <c:order val="4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'EMM REE RESULTS'!$E$34:$E$45</c:f>
              <c:numCache>
                <c:formatCode>General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F84-42D3-9BB9-96286790455D}"/>
            </c:ext>
          </c:extLst>
        </c:ser>
        <c:ser>
          <c:idx val="3"/>
          <c:order val="5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'EMM REE RESULTS'!$BB$3:$BB$14</c:f>
              <c:numCache>
                <c:formatCode>General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F84-42D3-9BB9-96286790455D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'EMM REE RESULTS'!$H$34:$H$45</c:f>
              <c:numCache>
                <c:formatCode>General</c:formatCode>
                <c:ptCount val="12"/>
                <c:pt idx="0">
                  <c:v>2.6555650178723402</c:v>
                </c:pt>
                <c:pt idx="1">
                  <c:v>2.5574799999999995</c:v>
                </c:pt>
                <c:pt idx="2">
                  <c:v>2.2959088551724132</c:v>
                </c:pt>
                <c:pt idx="3">
                  <c:v>2.6126314248366009</c:v>
                </c:pt>
                <c:pt idx="4">
                  <c:v>2.9225029897610919</c:v>
                </c:pt>
                <c:pt idx="5">
                  <c:v>2.7480807766990294</c:v>
                </c:pt>
                <c:pt idx="6">
                  <c:v>2.9288959999999999</c:v>
                </c:pt>
                <c:pt idx="7">
                  <c:v>2.9047215874015744</c:v>
                </c:pt>
                <c:pt idx="8">
                  <c:v>2.5365027469879515</c:v>
                </c:pt>
                <c:pt idx="9">
                  <c:v>2.2735535877862594</c:v>
                </c:pt>
                <c:pt idx="10">
                  <c:v>2.566580952380952</c:v>
                </c:pt>
                <c:pt idx="11">
                  <c:v>2.3059902439024387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F84-42D3-9BB9-962867904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659103"/>
        <c:axId val="630660063"/>
      </c:scatterChart>
      <c:valAx>
        <c:axId val="63065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0660063"/>
        <c:crosses val="autoZero"/>
        <c:crossBetween val="midCat"/>
      </c:valAx>
      <c:valAx>
        <c:axId val="630660063"/>
        <c:scaling>
          <c:logBase val="10"/>
          <c:orientation val="minMax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0659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306457</xdr:colOff>
      <xdr:row>110</xdr:row>
      <xdr:rowOff>106846</xdr:rowOff>
    </xdr:from>
    <xdr:to>
      <xdr:col>28</xdr:col>
      <xdr:colOff>66261</xdr:colOff>
      <xdr:row>125</xdr:row>
      <xdr:rowOff>116785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617878D-2DF1-4602-8AEB-1371FBE5AA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161925</xdr:colOff>
      <xdr:row>50</xdr:row>
      <xdr:rowOff>16585</xdr:rowOff>
    </xdr:from>
    <xdr:to>
      <xdr:col>25</xdr:col>
      <xdr:colOff>76648</xdr:colOff>
      <xdr:row>67</xdr:row>
      <xdr:rowOff>38549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F9F78A6-5FD8-45DF-9870-8B97B25CBC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CC121-55D7-4B23-B24D-2B37FA687F09}">
  <dimension ref="A1:AV64"/>
  <sheetViews>
    <sheetView topLeftCell="G28" zoomScale="85" zoomScaleNormal="85" workbookViewId="0">
      <selection activeCell="AB64" sqref="AB64"/>
    </sheetView>
  </sheetViews>
  <sheetFormatPr defaultRowHeight="14.25" x14ac:dyDescent="0.2"/>
  <cols>
    <col min="4" max="4" width="13.25" customWidth="1"/>
    <col min="5" max="5" width="10.5" bestFit="1" customWidth="1"/>
    <col min="10" max="10" width="9.5" bestFit="1" customWidth="1"/>
    <col min="15" max="15" width="10.5" bestFit="1" customWidth="1"/>
    <col min="16" max="16" width="12.75" bestFit="1" customWidth="1"/>
    <col min="18" max="18" width="10.5" bestFit="1" customWidth="1"/>
    <col min="24" max="24" width="10.5" bestFit="1" customWidth="1"/>
    <col min="28" max="28" width="10.5" bestFit="1" customWidth="1"/>
    <col min="37" max="37" width="12.75" bestFit="1" customWidth="1"/>
    <col min="38" max="38" width="13.875" customWidth="1"/>
    <col min="39" max="41" width="12.75" bestFit="1" customWidth="1"/>
    <col min="42" max="44" width="12.75" customWidth="1"/>
    <col min="45" max="47" width="12.75" bestFit="1" customWidth="1"/>
    <col min="49" max="49" width="13" bestFit="1" customWidth="1"/>
    <col min="50" max="50" width="10.5" bestFit="1" customWidth="1"/>
  </cols>
  <sheetData>
    <row r="1" spans="1:48" x14ac:dyDescent="0.2">
      <c r="A1" s="1"/>
      <c r="B1" s="2">
        <v>0.38</v>
      </c>
      <c r="C1" s="2">
        <v>0.45</v>
      </c>
      <c r="D1" s="2">
        <v>0.14000000000000001</v>
      </c>
      <c r="E1" s="2">
        <v>0.03</v>
      </c>
      <c r="F1" s="1"/>
      <c r="G1" s="1"/>
      <c r="H1" s="1"/>
      <c r="I1" s="1"/>
      <c r="J1" s="1" t="s">
        <v>0</v>
      </c>
      <c r="K1" s="3" t="s">
        <v>1</v>
      </c>
      <c r="L1" s="4" t="s">
        <v>54</v>
      </c>
      <c r="M1" s="5" t="s">
        <v>13</v>
      </c>
      <c r="N1" s="1"/>
      <c r="O1" s="1" t="s">
        <v>14</v>
      </c>
      <c r="P1" s="1" t="s">
        <v>7</v>
      </c>
      <c r="Q1" s="1" t="s">
        <v>8</v>
      </c>
      <c r="R1" s="1"/>
      <c r="S1" s="1"/>
      <c r="T1" s="1"/>
      <c r="U1" s="8" t="s">
        <v>13</v>
      </c>
      <c r="V1" s="1"/>
      <c r="W1" s="1" t="s">
        <v>14</v>
      </c>
      <c r="X1" s="1" t="s">
        <v>10</v>
      </c>
      <c r="Y1" s="1" t="s">
        <v>8</v>
      </c>
      <c r="Z1" s="4" t="s">
        <v>55</v>
      </c>
      <c r="AA1" s="1"/>
      <c r="AB1" s="1"/>
      <c r="AC1" s="5" t="s">
        <v>13</v>
      </c>
      <c r="AD1" s="1"/>
      <c r="AE1" s="1" t="s">
        <v>14</v>
      </c>
      <c r="AF1" s="1" t="s">
        <v>10</v>
      </c>
      <c r="AG1" s="1" t="s">
        <v>8</v>
      </c>
      <c r="AH1" s="1"/>
      <c r="AI1" s="1"/>
      <c r="AJ1" s="8" t="s">
        <v>13</v>
      </c>
      <c r="AK1" s="1"/>
      <c r="AL1" s="1" t="s">
        <v>14</v>
      </c>
      <c r="AM1" s="1" t="s">
        <v>10</v>
      </c>
      <c r="AN1" s="1" t="s">
        <v>12</v>
      </c>
      <c r="AO1" s="1"/>
      <c r="AP1" s="1"/>
      <c r="AQ1" s="5" t="s">
        <v>13</v>
      </c>
      <c r="AR1" s="1"/>
      <c r="AS1" s="6" t="s">
        <v>14</v>
      </c>
      <c r="AT1" s="7" t="s">
        <v>10</v>
      </c>
      <c r="AU1" s="7" t="s">
        <v>8</v>
      </c>
      <c r="AV1" s="1"/>
    </row>
    <row r="2" spans="1:48" x14ac:dyDescent="0.2">
      <c r="A2" s="1"/>
      <c r="B2" s="1" t="s">
        <v>15</v>
      </c>
      <c r="C2" s="1" t="s">
        <v>16</v>
      </c>
      <c r="D2" s="1" t="s">
        <v>17</v>
      </c>
      <c r="E2" s="1" t="s">
        <v>18</v>
      </c>
      <c r="F2" s="1"/>
      <c r="G2" s="1"/>
      <c r="H2" s="1"/>
      <c r="I2" s="1"/>
      <c r="J2" s="1"/>
      <c r="L2" s="1"/>
      <c r="M2" s="5">
        <v>0.02</v>
      </c>
      <c r="N2" s="1"/>
      <c r="O2" s="1"/>
      <c r="P2" s="1"/>
      <c r="Q2" s="1"/>
      <c r="R2" s="1"/>
      <c r="S2" s="1"/>
      <c r="T2" s="1"/>
      <c r="U2" s="9">
        <v>0.03</v>
      </c>
      <c r="V2" s="1"/>
      <c r="W2" s="1"/>
      <c r="X2" s="1"/>
      <c r="Y2" s="1"/>
      <c r="Z2" s="4" t="s">
        <v>73</v>
      </c>
      <c r="AA2" s="1"/>
      <c r="AB2" s="1"/>
      <c r="AC2" s="5">
        <v>0.1</v>
      </c>
      <c r="AD2" s="1"/>
      <c r="AE2" s="1"/>
      <c r="AF2" s="1"/>
      <c r="AG2" s="1"/>
      <c r="AH2" s="1"/>
      <c r="AI2" s="1"/>
      <c r="AJ2" s="9">
        <v>0.17</v>
      </c>
      <c r="AK2" s="1"/>
      <c r="AL2" s="1"/>
      <c r="AM2" s="1"/>
      <c r="AN2" s="1"/>
      <c r="AO2" s="1"/>
      <c r="AP2" s="1"/>
      <c r="AQ2" s="5">
        <v>0.25</v>
      </c>
      <c r="AR2" s="1"/>
      <c r="AS2" s="1"/>
      <c r="AT2" s="1"/>
      <c r="AU2" s="1"/>
      <c r="AV2" s="1"/>
    </row>
    <row r="3" spans="1:48" x14ac:dyDescent="0.2">
      <c r="A3" s="1" t="s">
        <v>19</v>
      </c>
      <c r="B3" s="1">
        <v>4.0000000000000002E-4</v>
      </c>
      <c r="C3" s="1">
        <v>2E-3</v>
      </c>
      <c r="D3" s="1">
        <v>5.3999999999999999E-2</v>
      </c>
      <c r="E3" s="1">
        <v>0.01</v>
      </c>
      <c r="F3" s="1"/>
      <c r="G3" s="1"/>
      <c r="H3" s="1"/>
      <c r="I3" s="1"/>
      <c r="J3" s="1">
        <f>0.38*B3+0.45*C3+0.14*D3+0.3*E3</f>
        <v>1.1612000000000001E-2</v>
      </c>
      <c r="L3" s="1" t="s">
        <v>20</v>
      </c>
      <c r="M3" s="10">
        <f>0.38/(0.45+0.38+0.14+0.01)</f>
        <v>0.38775510204081631</v>
      </c>
      <c r="N3" s="1" t="s">
        <v>19</v>
      </c>
      <c r="O3" s="1">
        <f>0.39*B3+0.46*C3+0.14*D3*0.01*E3</f>
        <v>1.0767560000000001E-3</v>
      </c>
      <c r="P3" s="1">
        <f>F18/(O3+0.02*(1-O3))</f>
        <v>0.94988317215886631</v>
      </c>
      <c r="Q3" s="1">
        <f t="shared" ref="Q3:Q14" si="0">P3/G18</f>
        <v>4.0420560517398565</v>
      </c>
      <c r="R3" s="1">
        <f>0.999*Q3+0.001*E34</f>
        <v>4.4933331446242866</v>
      </c>
      <c r="S3" s="1"/>
      <c r="T3" s="1" t="s">
        <v>15</v>
      </c>
      <c r="U3" s="10">
        <f>0.38/(0.45+0.38+0.14)</f>
        <v>0.39175257731958762</v>
      </c>
      <c r="V3" s="1" t="s">
        <v>19</v>
      </c>
      <c r="W3" s="1">
        <f>0.39*B3+0.46*C3+0.14*D3</f>
        <v>8.6360000000000013E-3</v>
      </c>
      <c r="X3" s="1">
        <f t="shared" ref="X3:X15" si="1">F18/(W3+0.03*(1-W3))</f>
        <v>0.52114656413281735</v>
      </c>
      <c r="Y3" s="1">
        <f t="shared" ref="Y3:Y14" si="2">X3/G18</f>
        <v>2.2176449537566696</v>
      </c>
      <c r="Z3" s="1">
        <f>0.98*Y3+0.02*E34</f>
        <v>11.27967503340494</v>
      </c>
      <c r="AA3" s="1"/>
      <c r="AB3" s="1" t="s">
        <v>20</v>
      </c>
      <c r="AC3" s="10">
        <f>0.38/(0.45+0.38+0.07)</f>
        <v>0.42222222222222217</v>
      </c>
      <c r="AD3" s="1" t="s">
        <v>19</v>
      </c>
      <c r="AE3" s="1">
        <f t="shared" ref="AE3:AE15" si="3">0.42*B3+0.5*C3+0.08*D3</f>
        <v>5.4879999999999998E-3</v>
      </c>
      <c r="AF3" s="1">
        <f t="shared" ref="AF3:AF15" si="4">F18/(AE3+0.1*(1-AE3))</f>
        <v>0.19058654916370621</v>
      </c>
      <c r="AG3" s="1">
        <f t="shared" ref="AG3:AG14" si="5">AF3/G18</f>
        <v>0.81100659218598392</v>
      </c>
      <c r="AH3" s="1"/>
      <c r="AI3" s="1" t="s">
        <v>20</v>
      </c>
      <c r="AJ3" s="11">
        <f>0.38/(0.45+0.38)</f>
        <v>0.45783132530120479</v>
      </c>
      <c r="AK3" s="1" t="s">
        <v>19</v>
      </c>
      <c r="AL3" s="1">
        <f t="shared" ref="AL3:AL15" si="6">0.458*B3+0.542*C3</f>
        <v>1.2672E-3</v>
      </c>
      <c r="AM3" s="1">
        <f t="shared" ref="AM3:AM15" si="7">F18/(AL3+0.14*(1-AL3))</f>
        <v>0.14175369965815809</v>
      </c>
      <c r="AN3" s="1">
        <f t="shared" ref="AN3:AN14" si="8">AM3/G18</f>
        <v>0.60320723258790687</v>
      </c>
      <c r="AO3" s="1"/>
      <c r="AP3" s="1" t="s">
        <v>20</v>
      </c>
      <c r="AQ3" s="10">
        <f>0.38/(0.38+0.37)</f>
        <v>0.50666666666666671</v>
      </c>
      <c r="AR3" s="1" t="s">
        <v>19</v>
      </c>
      <c r="AS3" s="1">
        <f t="shared" ref="AS3:AS15" si="9">0.51*B3+0.49*C3</f>
        <v>1.1839999999999999E-3</v>
      </c>
      <c r="AT3" s="1">
        <f t="shared" ref="AT3:AT15" si="10">F18/(AS3+0.25*(1-AS3))</f>
        <v>7.9716845763846814E-2</v>
      </c>
      <c r="AU3" s="1">
        <f t="shared" ref="AU3:AU14" si="11">AT3/G18</f>
        <v>0.33922062027168859</v>
      </c>
      <c r="AV3" s="1"/>
    </row>
    <row r="4" spans="1:48" x14ac:dyDescent="0.2">
      <c r="A4" s="1" t="s">
        <v>21</v>
      </c>
      <c r="B4" s="1">
        <v>5.0000000000000001E-4</v>
      </c>
      <c r="C4" s="1">
        <v>3.0000000000000001E-3</v>
      </c>
      <c r="D4" s="1">
        <v>6.4600000000000005E-2</v>
      </c>
      <c r="E4" s="1">
        <v>2.1000000000000001E-2</v>
      </c>
      <c r="F4" s="1"/>
      <c r="G4" s="1"/>
      <c r="H4" s="1"/>
      <c r="I4" s="1"/>
      <c r="J4" s="1">
        <f t="shared" ref="J4:J14" si="12">0.38*B4+0.45*C4+0.14*D4+0.3*E4</f>
        <v>1.6884000000000003E-2</v>
      </c>
      <c r="L4" s="1" t="s">
        <v>22</v>
      </c>
      <c r="M4" s="10">
        <f>0.45/(0.45+0.38+0.14+0.01)</f>
        <v>0.45918367346938771</v>
      </c>
      <c r="N4" s="1" t="s">
        <v>21</v>
      </c>
      <c r="O4" s="1">
        <f t="shared" ref="O4:O15" si="13">0.39*B4+0.46*C4+0.14*D4*0.01*E4</f>
        <v>1.5768992400000002E-3</v>
      </c>
      <c r="P4" s="1">
        <f t="shared" ref="P4:P15" si="14">F19/(0.02+O4*(1-0.02))</f>
        <v>3.2025455123592681</v>
      </c>
      <c r="Q4" s="1">
        <f t="shared" si="0"/>
        <v>5.3375758539321136</v>
      </c>
      <c r="R4" s="1">
        <f t="shared" ref="R4:R14" si="15">0.999*Q4+0.001*E35</f>
        <v>5.8139049447448476</v>
      </c>
      <c r="S4" s="1"/>
      <c r="T4" s="1" t="s">
        <v>16</v>
      </c>
      <c r="U4" s="10">
        <f>0.45/(0.45+0.38+0.14)</f>
        <v>0.46391752577319584</v>
      </c>
      <c r="V4" s="1" t="s">
        <v>21</v>
      </c>
      <c r="W4" s="1">
        <f t="shared" ref="W4:W14" si="16">0.39*B4+0.46*C4+0.14*D4</f>
        <v>1.0619000000000002E-2</v>
      </c>
      <c r="X4" s="1">
        <f t="shared" si="1"/>
        <v>1.7121405404359211</v>
      </c>
      <c r="Y4" s="1">
        <f t="shared" si="2"/>
        <v>2.8535675673932022</v>
      </c>
      <c r="Z4" s="1">
        <f t="shared" ref="Z4:Z14" si="17">0.98*Y4+0.02*E35</f>
        <v>12.429829549378672</v>
      </c>
      <c r="AA4" s="1"/>
      <c r="AB4" s="1" t="s">
        <v>22</v>
      </c>
      <c r="AC4" s="10">
        <f>0.45/(0.45+0.38+0.07)</f>
        <v>0.49999999999999994</v>
      </c>
      <c r="AD4" s="1" t="s">
        <v>21</v>
      </c>
      <c r="AE4" s="1">
        <f t="shared" si="3"/>
        <v>6.8780000000000004E-3</v>
      </c>
      <c r="AF4" s="1">
        <f t="shared" si="4"/>
        <v>0.64977747475755776</v>
      </c>
      <c r="AG4" s="1">
        <f t="shared" si="5"/>
        <v>1.0829624579292629</v>
      </c>
      <c r="AH4" s="1"/>
      <c r="AI4" s="1" t="s">
        <v>22</v>
      </c>
      <c r="AJ4" s="11">
        <f>0.45/(0.45+0.38)</f>
        <v>0.54216867469879515</v>
      </c>
      <c r="AK4" s="1" t="s">
        <v>21</v>
      </c>
      <c r="AL4" s="1">
        <f t="shared" si="6"/>
        <v>1.8550000000000001E-3</v>
      </c>
      <c r="AM4" s="1">
        <f t="shared" si="7"/>
        <v>0.48730431024193599</v>
      </c>
      <c r="AN4" s="1">
        <f t="shared" si="8"/>
        <v>0.81217385040322665</v>
      </c>
      <c r="AO4" s="1"/>
      <c r="AP4" s="1" t="s">
        <v>22</v>
      </c>
      <c r="AQ4" s="10">
        <f>0.37/(0.38+0.37)</f>
        <v>0.49333333333333335</v>
      </c>
      <c r="AR4" s="1" t="s">
        <v>21</v>
      </c>
      <c r="AS4" s="1">
        <f t="shared" si="9"/>
        <v>1.725E-3</v>
      </c>
      <c r="AT4" s="1">
        <f t="shared" si="10"/>
        <v>0.27457905339866195</v>
      </c>
      <c r="AU4" s="1">
        <f t="shared" si="11"/>
        <v>0.45763175566443659</v>
      </c>
      <c r="AV4" s="1"/>
    </row>
    <row r="5" spans="1:48" x14ac:dyDescent="0.2">
      <c r="A5" s="1" t="s">
        <v>23</v>
      </c>
      <c r="B5" s="1">
        <v>1E-3</v>
      </c>
      <c r="C5" s="1">
        <v>6.7999999999999996E-3</v>
      </c>
      <c r="D5" s="1">
        <v>0.107</v>
      </c>
      <c r="E5" s="1">
        <v>3.5999999999999997E-2</v>
      </c>
      <c r="F5" s="1"/>
      <c r="G5" s="1"/>
      <c r="H5" s="1"/>
      <c r="I5" s="1"/>
      <c r="J5" s="1">
        <f t="shared" si="12"/>
        <v>2.9220000000000003E-2</v>
      </c>
      <c r="L5" s="1" t="s">
        <v>56</v>
      </c>
      <c r="M5" s="10">
        <f>0.14/(0.45+0.38+0.14+0.01)</f>
        <v>0.14285714285714285</v>
      </c>
      <c r="N5" s="1" t="s">
        <v>23</v>
      </c>
      <c r="O5" s="1">
        <f t="shared" si="13"/>
        <v>3.5233928000000005E-3</v>
      </c>
      <c r="P5" s="1">
        <f t="shared" si="14"/>
        <v>3.7095586246805157</v>
      </c>
      <c r="Q5" s="1">
        <f t="shared" si="0"/>
        <v>7.9947384152597314</v>
      </c>
      <c r="R5" s="1">
        <f t="shared" si="15"/>
        <v>8.385450573396195</v>
      </c>
      <c r="S5" s="1"/>
      <c r="T5" s="1" t="s">
        <v>17</v>
      </c>
      <c r="U5" s="10">
        <f>0.14/(0.45+0.38+0.14)</f>
        <v>0.14432989690721651</v>
      </c>
      <c r="V5" s="1" t="s">
        <v>23</v>
      </c>
      <c r="W5" s="1">
        <f t="shared" si="16"/>
        <v>1.8498000000000001E-2</v>
      </c>
      <c r="X5" s="1">
        <f t="shared" si="1"/>
        <v>1.8146526316843357</v>
      </c>
      <c r="Y5" s="1">
        <f t="shared" si="2"/>
        <v>3.9108892924231369</v>
      </c>
      <c r="Z5" s="1">
        <f t="shared" si="17"/>
        <v>11.806809437609157</v>
      </c>
      <c r="AA5" s="1"/>
      <c r="AB5" s="1" t="s">
        <v>56</v>
      </c>
      <c r="AC5" s="10">
        <f>0.07/(0.45+0.38+0.07)</f>
        <v>7.7777777777777779E-2</v>
      </c>
      <c r="AD5" s="1" t="s">
        <v>23</v>
      </c>
      <c r="AE5" s="1">
        <f t="shared" si="3"/>
        <v>1.2379999999999999E-2</v>
      </c>
      <c r="AF5" s="1">
        <f t="shared" si="4"/>
        <v>0.78278238649655374</v>
      </c>
      <c r="AG5" s="1">
        <f t="shared" si="5"/>
        <v>1.6870310053805038</v>
      </c>
      <c r="AH5" s="1"/>
      <c r="AI5" s="1"/>
      <c r="AJ5" s="11"/>
      <c r="AK5" s="1" t="s">
        <v>23</v>
      </c>
      <c r="AL5" s="1">
        <f t="shared" si="6"/>
        <v>4.1435999999999999E-3</v>
      </c>
      <c r="AM5" s="1">
        <f t="shared" si="7"/>
        <v>0.60600363200963003</v>
      </c>
      <c r="AN5" s="1">
        <f t="shared" si="8"/>
        <v>1.3060423103655818</v>
      </c>
      <c r="AO5" s="1"/>
      <c r="AP5" s="1"/>
      <c r="AQ5" s="10"/>
      <c r="AR5" s="1" t="s">
        <v>23</v>
      </c>
      <c r="AS5" s="1">
        <f t="shared" si="9"/>
        <v>3.8419999999999999E-3</v>
      </c>
      <c r="AT5" s="1">
        <f t="shared" si="10"/>
        <v>0.34403465654862059</v>
      </c>
      <c r="AU5" s="1">
        <f t="shared" si="11"/>
        <v>0.74145400118237192</v>
      </c>
      <c r="AV5" s="1"/>
    </row>
    <row r="6" spans="1:48" x14ac:dyDescent="0.2">
      <c r="A6" s="1" t="s">
        <v>24</v>
      </c>
      <c r="B6" s="1">
        <v>1.2999999999999999E-3</v>
      </c>
      <c r="C6" s="1">
        <v>0.01</v>
      </c>
      <c r="D6" s="1">
        <v>0.17</v>
      </c>
      <c r="E6" s="1">
        <v>0.10299999999999999</v>
      </c>
      <c r="F6" s="1"/>
      <c r="G6" s="1"/>
      <c r="H6" s="1"/>
      <c r="I6" s="1"/>
      <c r="J6" s="1">
        <f t="shared" si="12"/>
        <v>5.9694000000000004E-2</v>
      </c>
      <c r="L6" s="1" t="s">
        <v>57</v>
      </c>
      <c r="M6" s="10">
        <f>0.01/(0.45+0.38+0.14+0.1)</f>
        <v>9.3457943925233638E-3</v>
      </c>
      <c r="N6" s="1" t="s">
        <v>24</v>
      </c>
      <c r="O6" s="1">
        <f t="shared" si="13"/>
        <v>5.1315139999999993E-3</v>
      </c>
      <c r="P6" s="1">
        <f t="shared" si="14"/>
        <v>1.837876611462399</v>
      </c>
      <c r="Q6" s="1">
        <f t="shared" si="0"/>
        <v>12.012265434394765</v>
      </c>
      <c r="R6" s="1">
        <f t="shared" si="15"/>
        <v>12.317246633012658</v>
      </c>
      <c r="S6" s="1"/>
      <c r="T6" s="1"/>
      <c r="U6" s="10"/>
      <c r="V6" s="1" t="s">
        <v>24</v>
      </c>
      <c r="W6" s="1">
        <f t="shared" si="16"/>
        <v>2.8907000000000006E-2</v>
      </c>
      <c r="X6" s="1">
        <f t="shared" si="1"/>
        <v>0.79255972497488347</v>
      </c>
      <c r="Y6" s="1">
        <f t="shared" si="2"/>
        <v>5.1801289214044672</v>
      </c>
      <c r="Z6" s="1">
        <f t="shared" si="17"/>
        <v>11.41639562402213</v>
      </c>
      <c r="AA6" s="1"/>
      <c r="AB6" s="1"/>
      <c r="AC6" s="10"/>
      <c r="AD6" s="1" t="s">
        <v>24</v>
      </c>
      <c r="AE6" s="1">
        <f t="shared" si="3"/>
        <v>1.9146E-2</v>
      </c>
      <c r="AF6" s="1">
        <f t="shared" si="4"/>
        <v>0.39238634017848462</v>
      </c>
      <c r="AG6" s="1">
        <f t="shared" si="5"/>
        <v>2.5646166024737558</v>
      </c>
      <c r="AH6" s="1"/>
      <c r="AI6" s="1"/>
      <c r="AJ6" s="1"/>
      <c r="AK6" s="1" t="s">
        <v>24</v>
      </c>
      <c r="AL6" s="1">
        <f t="shared" si="6"/>
        <v>6.0154000000000006E-3</v>
      </c>
      <c r="AM6" s="1">
        <f t="shared" si="7"/>
        <v>0.31686279601219075</v>
      </c>
      <c r="AN6" s="1">
        <f t="shared" si="8"/>
        <v>2.0709986667463447</v>
      </c>
      <c r="AO6" s="1"/>
      <c r="AP6" s="1"/>
      <c r="AQ6" s="10"/>
      <c r="AR6" s="1" t="s">
        <v>24</v>
      </c>
      <c r="AS6" s="1">
        <f t="shared" si="9"/>
        <v>5.5630000000000002E-3</v>
      </c>
      <c r="AT6" s="1">
        <f t="shared" si="10"/>
        <v>0.18097963093925479</v>
      </c>
      <c r="AU6" s="1">
        <f t="shared" si="11"/>
        <v>1.1828734048317306</v>
      </c>
      <c r="AV6" s="1"/>
    </row>
    <row r="7" spans="1:48" x14ac:dyDescent="0.2">
      <c r="A7" s="1" t="s">
        <v>25</v>
      </c>
      <c r="B7" s="1">
        <v>1.6000000000000001E-3</v>
      </c>
      <c r="C7" s="1">
        <v>1.2999999999999999E-2</v>
      </c>
      <c r="D7" s="1">
        <v>0.28000000000000003</v>
      </c>
      <c r="E7" s="1">
        <v>0.22</v>
      </c>
      <c r="F7" s="1"/>
      <c r="G7" s="1"/>
      <c r="H7" s="1"/>
      <c r="I7" s="1"/>
      <c r="J7" s="1">
        <f t="shared" si="12"/>
        <v>0.11165800000000001</v>
      </c>
      <c r="L7" s="1"/>
      <c r="M7" s="1"/>
      <c r="N7" s="1" t="s">
        <v>25</v>
      </c>
      <c r="O7" s="1">
        <f t="shared" si="13"/>
        <v>6.6902400000000001E-3</v>
      </c>
      <c r="P7" s="1">
        <f t="shared" si="14"/>
        <v>0.90373575441330323</v>
      </c>
      <c r="Q7" s="1">
        <f t="shared" si="0"/>
        <v>15.422111850056369</v>
      </c>
      <c r="R7" s="1">
        <f t="shared" si="15"/>
        <v>15.589283594861602</v>
      </c>
      <c r="S7" s="1"/>
      <c r="T7" s="1"/>
      <c r="U7" s="1"/>
      <c r="V7" s="1" t="s">
        <v>25</v>
      </c>
      <c r="W7" s="1">
        <f t="shared" si="16"/>
        <v>4.5804000000000004E-2</v>
      </c>
      <c r="X7" s="1">
        <f t="shared" si="1"/>
        <v>0.32245114462095059</v>
      </c>
      <c r="Y7" s="1">
        <f t="shared" si="2"/>
        <v>5.5025792597431842</v>
      </c>
      <c r="Z7" s="1">
        <f t="shared" si="17"/>
        <v>9.0444048076541232</v>
      </c>
      <c r="AA7" s="1"/>
      <c r="AB7" s="1"/>
      <c r="AC7" s="1"/>
      <c r="AD7" s="1" t="s">
        <v>25</v>
      </c>
      <c r="AE7" s="1">
        <f t="shared" si="3"/>
        <v>2.9572000000000001E-2</v>
      </c>
      <c r="AF7" s="1">
        <f t="shared" si="4"/>
        <v>0.18955130047988072</v>
      </c>
      <c r="AG7" s="1">
        <f t="shared" si="5"/>
        <v>3.234663830714688</v>
      </c>
      <c r="AH7" s="1"/>
      <c r="AI7" s="1"/>
      <c r="AJ7" s="1"/>
      <c r="AK7" s="1" t="s">
        <v>25</v>
      </c>
      <c r="AL7" s="1">
        <f t="shared" si="6"/>
        <v>7.7788000000000006E-3</v>
      </c>
      <c r="AM7" s="1">
        <f t="shared" si="7"/>
        <v>0.1636105934805214</v>
      </c>
      <c r="AN7" s="1">
        <f t="shared" si="8"/>
        <v>2.791989649838249</v>
      </c>
      <c r="AO7" s="1"/>
      <c r="AP7" s="1"/>
      <c r="AQ7" s="1"/>
      <c r="AR7" s="1" t="s">
        <v>25</v>
      </c>
      <c r="AS7" s="1">
        <f t="shared" si="9"/>
        <v>7.1859999999999997E-3</v>
      </c>
      <c r="AT7" s="1">
        <f t="shared" si="10"/>
        <v>9.3974106218149139E-2</v>
      </c>
      <c r="AU7" s="1">
        <f t="shared" si="11"/>
        <v>1.6036536897295075</v>
      </c>
      <c r="AV7" s="1"/>
    </row>
    <row r="8" spans="1:48" x14ac:dyDescent="0.2">
      <c r="A8" s="1" t="s">
        <v>26</v>
      </c>
      <c r="B8" s="1">
        <v>1.5E-3</v>
      </c>
      <c r="C8" s="1">
        <v>1.6E-2</v>
      </c>
      <c r="D8" s="1">
        <v>0.32</v>
      </c>
      <c r="E8" s="1">
        <v>0.43</v>
      </c>
      <c r="F8" s="1"/>
      <c r="G8" s="1"/>
      <c r="H8" s="1"/>
      <c r="I8" s="1"/>
      <c r="J8" s="1">
        <f t="shared" si="12"/>
        <v>0.18157000000000001</v>
      </c>
      <c r="L8" s="1"/>
      <c r="M8" s="1"/>
      <c r="N8" s="1" t="s">
        <v>26</v>
      </c>
      <c r="O8" s="1">
        <f t="shared" si="13"/>
        <v>8.1376400000000015E-3</v>
      </c>
      <c r="P8" s="1">
        <f t="shared" si="14"/>
        <v>3.9320980711586211</v>
      </c>
      <c r="Q8" s="1">
        <f t="shared" si="0"/>
        <v>19.087854714362241</v>
      </c>
      <c r="R8" s="1">
        <f t="shared" si="15"/>
        <v>19.242553267414866</v>
      </c>
      <c r="S8" s="1"/>
      <c r="T8" s="1"/>
      <c r="U8" s="1"/>
      <c r="V8" s="1" t="s">
        <v>26</v>
      </c>
      <c r="W8" s="1">
        <f t="shared" si="16"/>
        <v>5.2745000000000007E-2</v>
      </c>
      <c r="X8" s="1">
        <f t="shared" si="1"/>
        <v>1.3553032090499755</v>
      </c>
      <c r="Y8" s="1">
        <f t="shared" si="2"/>
        <v>6.5791417915047354</v>
      </c>
      <c r="Z8" s="1">
        <f t="shared" si="17"/>
        <v>9.9232871110144458</v>
      </c>
      <c r="AA8" s="1"/>
      <c r="AB8" s="1"/>
      <c r="AC8" s="1"/>
      <c r="AD8" s="1" t="s">
        <v>26</v>
      </c>
      <c r="AE8" s="1">
        <f t="shared" si="3"/>
        <v>3.4230000000000003E-2</v>
      </c>
      <c r="AF8" s="1">
        <f t="shared" si="4"/>
        <v>0.84093358918100714</v>
      </c>
      <c r="AG8" s="1">
        <f t="shared" si="5"/>
        <v>4.0822018892281902</v>
      </c>
      <c r="AH8" s="1"/>
      <c r="AI8" s="1"/>
      <c r="AJ8" s="1"/>
      <c r="AK8" s="1" t="s">
        <v>26</v>
      </c>
      <c r="AL8" s="1">
        <f t="shared" si="6"/>
        <v>9.359000000000001E-3</v>
      </c>
      <c r="AM8" s="1">
        <f t="shared" si="7"/>
        <v>0.74299855574589824</v>
      </c>
      <c r="AN8" s="1">
        <f t="shared" si="8"/>
        <v>3.6067891055626129</v>
      </c>
      <c r="AO8" s="1"/>
      <c r="AP8" s="1"/>
      <c r="AQ8" s="1"/>
      <c r="AR8" s="1" t="s">
        <v>26</v>
      </c>
      <c r="AS8" s="1">
        <f t="shared" si="9"/>
        <v>8.6049999999999998E-3</v>
      </c>
      <c r="AT8" s="1">
        <f t="shared" si="10"/>
        <v>0.42892724321636944</v>
      </c>
      <c r="AU8" s="1">
        <f t="shared" si="11"/>
        <v>2.0821710835746092</v>
      </c>
      <c r="AV8" s="1"/>
    </row>
    <row r="9" spans="1:48" x14ac:dyDescent="0.2">
      <c r="A9" s="1" t="s">
        <v>27</v>
      </c>
      <c r="B9" s="1">
        <v>1.5E-3</v>
      </c>
      <c r="C9" s="1">
        <v>1.9E-2</v>
      </c>
      <c r="D9" s="1">
        <v>0.31</v>
      </c>
      <c r="E9" s="1">
        <v>0.33500000000000002</v>
      </c>
      <c r="F9" s="1"/>
      <c r="G9" s="1"/>
      <c r="H9" s="1"/>
      <c r="I9" s="1"/>
      <c r="J9" s="1">
        <f t="shared" si="12"/>
        <v>0.15301999999999999</v>
      </c>
      <c r="L9" s="1"/>
      <c r="M9" s="1"/>
      <c r="N9" s="1" t="s">
        <v>27</v>
      </c>
      <c r="O9" s="1">
        <f t="shared" si="13"/>
        <v>9.4703900000000004E-3</v>
      </c>
      <c r="P9" s="1">
        <f t="shared" si="14"/>
        <v>0.64888533691332251</v>
      </c>
      <c r="Q9" s="1">
        <f t="shared" si="0"/>
        <v>17.303608984355268</v>
      </c>
      <c r="R9" s="1">
        <f t="shared" si="15"/>
        <v>17.46070537537091</v>
      </c>
      <c r="S9" s="1"/>
      <c r="T9" s="1"/>
      <c r="U9" s="1"/>
      <c r="V9" s="1" t="s">
        <v>27</v>
      </c>
      <c r="W9" s="1">
        <f t="shared" si="16"/>
        <v>5.2725000000000001E-2</v>
      </c>
      <c r="X9" s="1">
        <f t="shared" si="1"/>
        <v>0.2341537959103191</v>
      </c>
      <c r="Y9" s="1">
        <f t="shared" si="2"/>
        <v>6.2441012242751759</v>
      </c>
      <c r="Z9" s="1">
        <f t="shared" si="17"/>
        <v>9.6072191997896716</v>
      </c>
      <c r="AA9" s="1"/>
      <c r="AB9" s="1"/>
      <c r="AC9" s="1"/>
      <c r="AD9" s="1" t="s">
        <v>27</v>
      </c>
      <c r="AE9" s="1">
        <f t="shared" si="3"/>
        <v>3.4930000000000003E-2</v>
      </c>
      <c r="AF9" s="1">
        <f t="shared" si="4"/>
        <v>0.14455594695557564</v>
      </c>
      <c r="AG9" s="1">
        <f t="shared" si="5"/>
        <v>3.8548252521486837</v>
      </c>
      <c r="AH9" s="1"/>
      <c r="AI9" s="1"/>
      <c r="AJ9" s="1"/>
      <c r="AK9" s="1" t="s">
        <v>27</v>
      </c>
      <c r="AL9" s="1">
        <f t="shared" si="6"/>
        <v>1.0985E-2</v>
      </c>
      <c r="AM9" s="1">
        <f t="shared" si="7"/>
        <v>0.12713528733578638</v>
      </c>
      <c r="AN9" s="1">
        <f t="shared" si="8"/>
        <v>3.3902743289543036</v>
      </c>
      <c r="AO9" s="1"/>
      <c r="AP9" s="1"/>
      <c r="AQ9" s="1"/>
      <c r="AR9" s="1" t="s">
        <v>27</v>
      </c>
      <c r="AS9" s="1">
        <f t="shared" si="9"/>
        <v>1.0074999999999999E-2</v>
      </c>
      <c r="AT9" s="1">
        <f t="shared" si="10"/>
        <v>7.3770292897182663E-2</v>
      </c>
      <c r="AU9" s="1">
        <f t="shared" si="11"/>
        <v>1.9672078105915378</v>
      </c>
      <c r="AV9" s="1"/>
    </row>
    <row r="10" spans="1:48" x14ac:dyDescent="0.2">
      <c r="A10" s="1" t="s">
        <v>28</v>
      </c>
      <c r="B10" s="1">
        <v>1.6999999999999999E-3</v>
      </c>
      <c r="C10" s="1">
        <v>2.1999999999999999E-2</v>
      </c>
      <c r="D10" s="1">
        <v>0.33</v>
      </c>
      <c r="E10" s="1">
        <v>0.47</v>
      </c>
      <c r="F10" s="1"/>
      <c r="G10" s="1"/>
      <c r="H10" s="1"/>
      <c r="I10" s="1"/>
      <c r="J10" s="1">
        <f t="shared" si="12"/>
        <v>0.19774599999999998</v>
      </c>
      <c r="L10" s="1"/>
      <c r="M10" s="1"/>
      <c r="N10" s="1" t="s">
        <v>28</v>
      </c>
      <c r="O10" s="1">
        <f t="shared" si="13"/>
        <v>1.100014E-2</v>
      </c>
      <c r="P10" s="1">
        <f t="shared" si="14"/>
        <v>4.2235029413709047</v>
      </c>
      <c r="Q10" s="1">
        <f t="shared" si="0"/>
        <v>16.627964336105922</v>
      </c>
      <c r="R10" s="1">
        <f t="shared" si="15"/>
        <v>16.765667080431232</v>
      </c>
      <c r="S10" s="1"/>
      <c r="T10" s="1"/>
      <c r="U10" s="1"/>
      <c r="V10" s="1" t="s">
        <v>28</v>
      </c>
      <c r="W10" s="1">
        <f t="shared" si="16"/>
        <v>5.6983000000000006E-2</v>
      </c>
      <c r="X10" s="1">
        <f t="shared" si="1"/>
        <v>1.5245062622612815</v>
      </c>
      <c r="Y10" s="1">
        <f t="shared" si="2"/>
        <v>6.0019931585089825</v>
      </c>
      <c r="Z10" s="1">
        <f t="shared" si="17"/>
        <v>8.9685674685671497</v>
      </c>
      <c r="AA10" s="1"/>
      <c r="AB10" s="1"/>
      <c r="AC10" s="1"/>
      <c r="AD10" s="1" t="s">
        <v>28</v>
      </c>
      <c r="AE10" s="1">
        <f t="shared" si="3"/>
        <v>3.8114000000000002E-2</v>
      </c>
      <c r="AF10" s="1">
        <f t="shared" si="4"/>
        <v>0.96796339013541055</v>
      </c>
      <c r="AG10" s="1">
        <f t="shared" si="5"/>
        <v>3.8108794887220889</v>
      </c>
      <c r="AH10" s="1"/>
      <c r="AI10" s="1"/>
      <c r="AJ10" s="1"/>
      <c r="AK10" s="1" t="s">
        <v>28</v>
      </c>
      <c r="AL10" s="1">
        <f t="shared" si="6"/>
        <v>1.2702600000000001E-2</v>
      </c>
      <c r="AM10" s="1">
        <f t="shared" si="7"/>
        <v>0.86135933793960029</v>
      </c>
      <c r="AN10" s="1">
        <f t="shared" si="8"/>
        <v>3.3911784958251978</v>
      </c>
      <c r="AO10" s="1"/>
      <c r="AP10" s="1"/>
      <c r="AQ10" s="1"/>
      <c r="AR10" s="1" t="s">
        <v>28</v>
      </c>
      <c r="AS10" s="1">
        <f t="shared" si="9"/>
        <v>1.1646999999999999E-2</v>
      </c>
      <c r="AT10" s="1">
        <f t="shared" si="10"/>
        <v>0.50244410067820289</v>
      </c>
      <c r="AU10" s="1">
        <f t="shared" si="11"/>
        <v>1.978126380622846</v>
      </c>
      <c r="AV10" s="1"/>
    </row>
    <row r="11" spans="1:48" x14ac:dyDescent="0.2">
      <c r="A11" s="1" t="s">
        <v>29</v>
      </c>
      <c r="B11" s="1">
        <v>1.5E-3</v>
      </c>
      <c r="C11" s="1">
        <v>0.03</v>
      </c>
      <c r="D11" s="1">
        <v>0.3</v>
      </c>
      <c r="E11" s="1">
        <v>0.79</v>
      </c>
      <c r="F11" s="1"/>
      <c r="G11" s="1"/>
      <c r="H11" s="1"/>
      <c r="I11" s="1"/>
      <c r="J11" s="1">
        <f t="shared" si="12"/>
        <v>0.29307</v>
      </c>
      <c r="L11" s="1"/>
      <c r="M11" s="1"/>
      <c r="N11" s="1" t="s">
        <v>29</v>
      </c>
      <c r="O11" s="1">
        <f t="shared" si="13"/>
        <v>1.47168E-2</v>
      </c>
      <c r="P11" s="1">
        <f t="shared" si="14"/>
        <v>2.4983685072631636</v>
      </c>
      <c r="Q11" s="1">
        <f t="shared" si="0"/>
        <v>15.050412694356407</v>
      </c>
      <c r="R11" s="1">
        <f t="shared" si="15"/>
        <v>15.204036980457232</v>
      </c>
      <c r="S11" s="1"/>
      <c r="T11" s="1"/>
      <c r="U11" s="1"/>
      <c r="V11" s="1" t="s">
        <v>29</v>
      </c>
      <c r="W11" s="1">
        <f t="shared" si="16"/>
        <v>5.6385000000000005E-2</v>
      </c>
      <c r="X11" s="1">
        <f t="shared" si="1"/>
        <v>1.0154268128172839</v>
      </c>
      <c r="Y11" s="1">
        <f t="shared" si="2"/>
        <v>6.1170289928752037</v>
      </c>
      <c r="Z11" s="1">
        <f t="shared" si="17"/>
        <v>9.3681823889213138</v>
      </c>
      <c r="AA11" s="1"/>
      <c r="AB11" s="1"/>
      <c r="AC11" s="1"/>
      <c r="AD11" s="1" t="s">
        <v>29</v>
      </c>
      <c r="AE11" s="1">
        <f t="shared" si="3"/>
        <v>3.9629999999999999E-2</v>
      </c>
      <c r="AF11" s="1">
        <f t="shared" si="4"/>
        <v>0.63390507640030369</v>
      </c>
      <c r="AG11" s="1">
        <f t="shared" si="5"/>
        <v>3.8187052795199015</v>
      </c>
      <c r="AH11" s="1"/>
      <c r="AI11" s="1"/>
      <c r="AJ11" s="1"/>
      <c r="AK11" s="1" t="s">
        <v>29</v>
      </c>
      <c r="AL11" s="1">
        <f t="shared" si="6"/>
        <v>1.6947E-2</v>
      </c>
      <c r="AM11" s="1">
        <f t="shared" si="7"/>
        <v>0.55636631209743503</v>
      </c>
      <c r="AN11" s="1">
        <f t="shared" si="8"/>
        <v>3.3516042897435843</v>
      </c>
      <c r="AO11" s="1"/>
      <c r="AP11" s="1"/>
      <c r="AQ11" s="1"/>
      <c r="AR11" s="1" t="s">
        <v>29</v>
      </c>
      <c r="AS11" s="1">
        <f t="shared" si="9"/>
        <v>1.5465E-2</v>
      </c>
      <c r="AT11" s="1">
        <f t="shared" si="10"/>
        <v>0.32874774822127401</v>
      </c>
      <c r="AU11" s="1">
        <f t="shared" si="11"/>
        <v>1.9804081218149034</v>
      </c>
      <c r="AV11" s="1"/>
    </row>
    <row r="12" spans="1:48" x14ac:dyDescent="0.2">
      <c r="A12" s="1" t="s">
        <v>30</v>
      </c>
      <c r="B12" s="1">
        <v>1.5E-3</v>
      </c>
      <c r="C12" s="1">
        <v>0.04</v>
      </c>
      <c r="D12" s="1">
        <v>0.28999999999999998</v>
      </c>
      <c r="E12" s="1">
        <v>1.18</v>
      </c>
      <c r="F12" s="1"/>
      <c r="G12" s="1"/>
      <c r="H12" s="1"/>
      <c r="I12" s="1"/>
      <c r="J12" s="1">
        <f t="shared" si="12"/>
        <v>0.41316999999999998</v>
      </c>
      <c r="L12" s="1"/>
      <c r="M12" s="1"/>
      <c r="N12" s="1" t="s">
        <v>30</v>
      </c>
      <c r="O12" s="1">
        <f t="shared" si="13"/>
        <v>1.9464079999999998E-2</v>
      </c>
      <c r="P12" s="1">
        <f t="shared" si="14"/>
        <v>0.38387913986013039</v>
      </c>
      <c r="Q12" s="1">
        <f t="shared" si="0"/>
        <v>14.651875567180548</v>
      </c>
      <c r="R12" s="1">
        <f t="shared" si="15"/>
        <v>14.813941248865277</v>
      </c>
      <c r="S12" s="1"/>
      <c r="T12" s="1"/>
      <c r="U12" s="1"/>
      <c r="V12" s="1" t="s">
        <v>30</v>
      </c>
      <c r="W12" s="1">
        <f t="shared" si="16"/>
        <v>5.9584999999999999E-2</v>
      </c>
      <c r="X12" s="1">
        <f t="shared" si="1"/>
        <v>0.17084778658150093</v>
      </c>
      <c r="Y12" s="1">
        <f t="shared" si="2"/>
        <v>6.5209078847901116</v>
      </c>
      <c r="Z12" s="1">
        <f t="shared" si="17"/>
        <v>9.9248408721324761</v>
      </c>
      <c r="AA12" s="1"/>
      <c r="AB12" s="1"/>
      <c r="AC12" s="1"/>
      <c r="AD12" s="1" t="s">
        <v>30</v>
      </c>
      <c r="AE12" s="1">
        <f t="shared" si="3"/>
        <v>4.3829999999999994E-2</v>
      </c>
      <c r="AF12" s="1">
        <f t="shared" si="4"/>
        <v>0.10756774975438697</v>
      </c>
      <c r="AG12" s="1">
        <f t="shared" si="5"/>
        <v>4.1056393036025565</v>
      </c>
      <c r="AH12" s="1"/>
      <c r="AI12" s="1"/>
      <c r="AJ12" s="1"/>
      <c r="AK12" s="1" t="s">
        <v>30</v>
      </c>
      <c r="AL12" s="1">
        <f t="shared" si="6"/>
        <v>2.2367000000000001E-2</v>
      </c>
      <c r="AM12" s="1">
        <f t="shared" si="7"/>
        <v>9.4200028862888849E-2</v>
      </c>
      <c r="AN12" s="1">
        <f t="shared" si="8"/>
        <v>3.5954209489652231</v>
      </c>
      <c r="AO12" s="1"/>
      <c r="AP12" s="1"/>
      <c r="AQ12" s="1"/>
      <c r="AR12" s="1" t="s">
        <v>30</v>
      </c>
      <c r="AS12" s="1">
        <f t="shared" si="9"/>
        <v>2.0365000000000001E-2</v>
      </c>
      <c r="AT12" s="1">
        <f t="shared" si="10"/>
        <v>5.6545361159933832E-2</v>
      </c>
      <c r="AU12" s="1">
        <f t="shared" si="11"/>
        <v>2.158219891600528</v>
      </c>
      <c r="AV12" s="1"/>
    </row>
    <row r="13" spans="1:48" x14ac:dyDescent="0.2">
      <c r="A13" s="1" t="s">
        <v>31</v>
      </c>
      <c r="B13" s="1">
        <v>1.5E-3</v>
      </c>
      <c r="C13" s="1">
        <v>4.9000000000000002E-2</v>
      </c>
      <c r="D13" s="1">
        <v>0.28999999999999998</v>
      </c>
      <c r="E13" s="1">
        <v>1.59</v>
      </c>
      <c r="F13" s="1"/>
      <c r="G13" s="1"/>
      <c r="H13" s="1"/>
      <c r="I13" s="1"/>
      <c r="J13" s="1">
        <f t="shared" si="12"/>
        <v>0.54021999999999992</v>
      </c>
      <c r="L13" s="1"/>
      <c r="M13" s="1"/>
      <c r="N13" s="1" t="s">
        <v>31</v>
      </c>
      <c r="O13" s="1">
        <f t="shared" si="13"/>
        <v>2.377054E-2</v>
      </c>
      <c r="P13" s="1">
        <f t="shared" si="14"/>
        <v>2.0094639190960075</v>
      </c>
      <c r="Q13" s="1">
        <f t="shared" si="0"/>
        <v>11.961094756523854</v>
      </c>
      <c r="R13" s="1">
        <f t="shared" si="15"/>
        <v>12.100919376053044</v>
      </c>
      <c r="S13" s="1"/>
      <c r="T13" s="1"/>
      <c r="U13" s="1"/>
      <c r="V13" s="1" t="s">
        <v>31</v>
      </c>
      <c r="W13" s="1">
        <f t="shared" si="16"/>
        <v>6.3725000000000004E-2</v>
      </c>
      <c r="X13" s="1">
        <f t="shared" si="1"/>
        <v>0.94757564948414308</v>
      </c>
      <c r="Y13" s="1">
        <f t="shared" si="2"/>
        <v>5.6403312469294224</v>
      </c>
      <c r="Z13" s="1">
        <f t="shared" si="17"/>
        <v>8.5632389077051201</v>
      </c>
      <c r="AA13" s="1"/>
      <c r="AB13" s="1"/>
      <c r="AC13" s="1"/>
      <c r="AD13" s="1" t="s">
        <v>31</v>
      </c>
      <c r="AE13" s="1">
        <f t="shared" si="3"/>
        <v>4.8329999999999998E-2</v>
      </c>
      <c r="AF13" s="1">
        <f t="shared" si="4"/>
        <v>0.60628445193976177</v>
      </c>
      <c r="AG13" s="1">
        <f t="shared" si="5"/>
        <v>3.6088360234509627</v>
      </c>
      <c r="AH13" s="1"/>
      <c r="AI13" s="1"/>
      <c r="AJ13" s="1"/>
      <c r="AK13" s="1" t="s">
        <v>31</v>
      </c>
      <c r="AL13" s="1">
        <f t="shared" si="6"/>
        <v>2.7245000000000002E-2</v>
      </c>
      <c r="AM13" s="1">
        <f t="shared" si="7"/>
        <v>0.53233572394904993</v>
      </c>
      <c r="AN13" s="1">
        <f t="shared" si="8"/>
        <v>3.1686650235062492</v>
      </c>
      <c r="AO13" s="1"/>
      <c r="AP13" s="1"/>
      <c r="AQ13" s="1"/>
      <c r="AR13" s="1" t="s">
        <v>31</v>
      </c>
      <c r="AS13" s="1">
        <f t="shared" si="9"/>
        <v>2.4774999999999998E-2</v>
      </c>
      <c r="AT13" s="1">
        <f t="shared" si="10"/>
        <v>0.32392432457589648</v>
      </c>
      <c r="AU13" s="1">
        <f t="shared" si="11"/>
        <v>1.9281209796184313</v>
      </c>
      <c r="AV13" s="1"/>
    </row>
    <row r="14" spans="1:48" x14ac:dyDescent="0.2">
      <c r="A14" s="1" t="s">
        <v>32</v>
      </c>
      <c r="B14" s="1">
        <v>1.5E-3</v>
      </c>
      <c r="C14" s="1">
        <v>0.06</v>
      </c>
      <c r="D14" s="1">
        <v>0.28000000000000003</v>
      </c>
      <c r="E14" s="1">
        <v>1.93</v>
      </c>
      <c r="F14" s="1"/>
      <c r="G14" s="1"/>
      <c r="H14" s="1"/>
      <c r="I14" s="1"/>
      <c r="J14" s="1">
        <f t="shared" si="12"/>
        <v>0.64576999999999996</v>
      </c>
      <c r="L14" s="1"/>
      <c r="M14" s="1"/>
      <c r="N14" s="1" t="s">
        <v>32</v>
      </c>
      <c r="O14" s="1">
        <f t="shared" si="13"/>
        <v>2.8941559999999998E-2</v>
      </c>
      <c r="P14" s="1">
        <f t="shared" si="14"/>
        <v>0.35151035563568123</v>
      </c>
      <c r="Q14" s="1">
        <f t="shared" si="0"/>
        <v>14.289038846978912</v>
      </c>
      <c r="R14" s="1">
        <f t="shared" si="15"/>
        <v>14.462961190245753</v>
      </c>
      <c r="S14" s="1"/>
      <c r="T14" s="1"/>
      <c r="U14" s="1"/>
      <c r="V14" s="1" t="s">
        <v>32</v>
      </c>
      <c r="W14" s="1">
        <f t="shared" si="16"/>
        <v>6.7385E-2</v>
      </c>
      <c r="X14" s="1">
        <f t="shared" si="1"/>
        <v>0.17826536267301571</v>
      </c>
      <c r="Y14" s="1">
        <f t="shared" si="2"/>
        <v>7.2465594582526709</v>
      </c>
      <c r="Z14" s="1">
        <f t="shared" si="17"/>
        <v>10.86585591136404</v>
      </c>
      <c r="AA14" s="1"/>
      <c r="AB14" s="1"/>
      <c r="AC14" s="1"/>
      <c r="AD14" s="1" t="s">
        <v>32</v>
      </c>
      <c r="AE14" s="1">
        <f t="shared" si="3"/>
        <v>5.3030000000000001E-2</v>
      </c>
      <c r="AF14" s="1">
        <f t="shared" si="4"/>
        <v>0.11507713552701944</v>
      </c>
      <c r="AG14" s="1">
        <f t="shared" si="5"/>
        <v>4.6779323384967251</v>
      </c>
      <c r="AH14" s="1"/>
      <c r="AI14" s="1"/>
      <c r="AJ14" s="1"/>
      <c r="AK14" s="1" t="s">
        <v>32</v>
      </c>
      <c r="AL14" s="1">
        <f t="shared" si="6"/>
        <v>3.3207E-2</v>
      </c>
      <c r="AM14" s="1">
        <f t="shared" si="7"/>
        <v>0.10085547991130886</v>
      </c>
      <c r="AN14" s="1">
        <f t="shared" si="8"/>
        <v>4.0998162565572702</v>
      </c>
      <c r="AO14" s="1"/>
      <c r="AP14" s="1"/>
      <c r="AQ14" s="1"/>
      <c r="AR14" s="1" t="s">
        <v>32</v>
      </c>
      <c r="AS14" s="1">
        <f t="shared" si="9"/>
        <v>3.0164999999999997E-2</v>
      </c>
      <c r="AT14" s="1">
        <f t="shared" si="10"/>
        <v>6.2357003012393462E-2</v>
      </c>
      <c r="AU14" s="1">
        <f t="shared" si="11"/>
        <v>2.5348375208290026</v>
      </c>
      <c r="AV14" s="1"/>
    </row>
    <row r="15" spans="1:48" x14ac:dyDescent="0.2">
      <c r="A15" s="1" t="s">
        <v>33</v>
      </c>
      <c r="B15" s="1">
        <v>0.01</v>
      </c>
      <c r="C15" s="1">
        <v>0.01</v>
      </c>
      <c r="D15" s="1">
        <v>0.23300000000000001</v>
      </c>
      <c r="E15" s="1">
        <v>0.32200000000000001</v>
      </c>
      <c r="F15" s="1"/>
      <c r="G15" s="1"/>
      <c r="H15" s="1"/>
      <c r="I15" s="1"/>
      <c r="J15" s="1"/>
      <c r="L15" s="1"/>
      <c r="M15" s="1"/>
      <c r="N15" s="1" t="s">
        <v>33</v>
      </c>
      <c r="O15" s="1">
        <f t="shared" si="13"/>
        <v>8.6050364000000001E-3</v>
      </c>
      <c r="P15" s="1">
        <f t="shared" si="14"/>
        <v>1.723353527938865</v>
      </c>
      <c r="Q15" s="1"/>
      <c r="R15" s="1"/>
      <c r="S15" s="1"/>
      <c r="T15" s="1"/>
      <c r="U15" s="1"/>
      <c r="V15" s="1" t="s">
        <v>33</v>
      </c>
      <c r="W15" s="1">
        <f t="shared" ref="W15" si="18">0.4*B15+0.47*C15+0.14*D15</f>
        <v>4.1320000000000003E-2</v>
      </c>
      <c r="X15" s="1">
        <f t="shared" si="1"/>
        <v>0.69919692239199549</v>
      </c>
      <c r="Y15" s="1"/>
      <c r="Z15" s="1"/>
      <c r="AA15" s="1"/>
      <c r="AB15" s="1"/>
      <c r="AC15" s="1"/>
      <c r="AD15" s="1" t="s">
        <v>33</v>
      </c>
      <c r="AE15" s="1">
        <f t="shared" si="3"/>
        <v>2.784E-2</v>
      </c>
      <c r="AF15" s="1">
        <f t="shared" si="4"/>
        <v>0.39182446264073695</v>
      </c>
      <c r="AG15" s="1"/>
      <c r="AH15" s="1"/>
      <c r="AI15" s="1"/>
      <c r="AJ15" s="1"/>
      <c r="AK15" s="1" t="s">
        <v>33</v>
      </c>
      <c r="AL15" s="1">
        <f t="shared" si="6"/>
        <v>0.01</v>
      </c>
      <c r="AM15" s="1">
        <f t="shared" si="7"/>
        <v>0.32974427994616418</v>
      </c>
      <c r="AN15" s="1"/>
      <c r="AO15" s="1"/>
      <c r="AP15" s="1"/>
      <c r="AQ15" s="1"/>
      <c r="AR15" s="1" t="s">
        <v>33</v>
      </c>
      <c r="AS15" s="1">
        <f t="shared" si="9"/>
        <v>0.01</v>
      </c>
      <c r="AT15" s="1">
        <f t="shared" si="10"/>
        <v>0.19029126213592235</v>
      </c>
      <c r="AU15" s="1"/>
      <c r="AV15" s="1"/>
    </row>
    <row r="16" spans="1:48" x14ac:dyDescent="0.2">
      <c r="L16" s="1"/>
      <c r="M16" s="1"/>
      <c r="N16" s="1"/>
      <c r="O16" s="13" t="s">
        <v>35</v>
      </c>
      <c r="P16" s="13">
        <f>F31*((M2*(1-O5)+O5)/(M2*(1-O6)+O6))</f>
        <v>0.2839214220470237</v>
      </c>
      <c r="Q16" s="1"/>
      <c r="R16" s="1"/>
      <c r="S16" s="1"/>
      <c r="T16" s="1"/>
      <c r="U16" s="1"/>
      <c r="V16" s="1"/>
      <c r="W16" s="13" t="s">
        <v>35</v>
      </c>
      <c r="X16" s="13">
        <f>F31*((U2*(1-W5)+W5)/(U2*(1-W6)+W6))</f>
        <v>0.25028945108174921</v>
      </c>
      <c r="Y16" s="1"/>
      <c r="Z16" s="1"/>
      <c r="AA16" s="1"/>
      <c r="AB16" s="1"/>
      <c r="AC16" s="1"/>
      <c r="AD16" s="1"/>
      <c r="AE16" s="13" t="s">
        <v>35</v>
      </c>
      <c r="AF16" s="13">
        <f>F31*((AC2*(1-AE5)+AE5)/(AC2*(1-AE6)+AE6))</f>
        <v>0.28726114334555425</v>
      </c>
      <c r="AG16" s="1"/>
      <c r="AH16" s="1"/>
      <c r="AI16" s="1"/>
      <c r="AJ16" s="1"/>
      <c r="AK16" s="1"/>
      <c r="AL16" s="13" t="s">
        <v>35</v>
      </c>
      <c r="AM16" s="13">
        <f>F31*((AJ2*(1-AL5)+AL5)/(AJ2*(1-AL6)+AL6))</f>
        <v>0.30030995200704902</v>
      </c>
      <c r="AN16" s="1"/>
      <c r="AO16" s="1"/>
      <c r="AP16" s="1"/>
      <c r="AQ16" s="1"/>
      <c r="AR16" s="1"/>
      <c r="AS16" s="15" t="s">
        <v>35</v>
      </c>
      <c r="AT16" s="13">
        <f>F31*((AQ2*(1-AS5)+AS5)/(AQ2*(1-AS6)+AS6))</f>
        <v>0.30146129052247045</v>
      </c>
      <c r="AU16" s="1"/>
      <c r="AV16" s="1"/>
    </row>
    <row r="17" spans="2:48" ht="15.75" x14ac:dyDescent="0.25">
      <c r="B17" s="17"/>
      <c r="D17" s="18"/>
      <c r="E17" s="18" t="s">
        <v>36</v>
      </c>
      <c r="F17" s="19" t="s">
        <v>62</v>
      </c>
      <c r="G17" s="19" t="s">
        <v>38</v>
      </c>
      <c r="I17" s="27"/>
      <c r="L17" s="1"/>
      <c r="M17" s="1"/>
      <c r="N17" s="1"/>
      <c r="O17" s="13" t="s">
        <v>39</v>
      </c>
      <c r="P17" s="13">
        <f>F32*((M2*(1-O15)+O15)/(M2*(1-O14)+O14))</f>
        <v>2.9630667942558284E-2</v>
      </c>
      <c r="Q17" s="1"/>
      <c r="R17" s="1"/>
      <c r="S17" s="1"/>
      <c r="T17" s="1"/>
      <c r="U17" s="1"/>
      <c r="V17" s="1"/>
      <c r="W17" s="13" t="s">
        <v>39</v>
      </c>
      <c r="X17" s="13">
        <f>F32*((U2*(1-W15)+W15)/(U2*(1-W14)+W14))</f>
        <v>3.7037797604847558E-2</v>
      </c>
      <c r="Y17" s="1"/>
      <c r="Z17" s="1"/>
      <c r="AA17" s="1"/>
      <c r="AB17" s="1"/>
      <c r="AC17" s="1"/>
      <c r="AD17" s="1"/>
      <c r="AE17" s="13" t="s">
        <v>39</v>
      </c>
      <c r="AF17" s="13">
        <f>F32*((AC2*(1-AE15)+AE15)/(AC2*(1-AE14)+AE14))</f>
        <v>4.266533808985494E-2</v>
      </c>
      <c r="AG17" s="1"/>
      <c r="AH17" s="1"/>
      <c r="AI17" s="1"/>
      <c r="AJ17" s="1"/>
      <c r="AK17" s="1"/>
      <c r="AL17" s="13" t="s">
        <v>39</v>
      </c>
      <c r="AM17" s="13">
        <f>F32*((AJ2*(1-AL15)+AL15)/(AJ2*(1-AL14)+AL14))</f>
        <v>4.548611900245296E-2</v>
      </c>
      <c r="AN17" s="1"/>
      <c r="AO17" s="1"/>
      <c r="AP17" s="1"/>
      <c r="AQ17" s="1"/>
      <c r="AR17" s="1"/>
      <c r="AS17" s="16" t="s">
        <v>39</v>
      </c>
      <c r="AT17" s="13">
        <f>F32*((AQ2*(1-AS15)+AS15)/(AQ2*(1-AS14)+AS14))</f>
        <v>4.7604069711461312E-2</v>
      </c>
      <c r="AU17" s="1"/>
      <c r="AV17" s="1"/>
    </row>
    <row r="18" spans="2:48" ht="15.75" x14ac:dyDescent="0.25">
      <c r="D18" s="18"/>
      <c r="E18" s="18">
        <v>107</v>
      </c>
      <c r="F18" s="21">
        <v>0.02</v>
      </c>
      <c r="G18" s="18">
        <v>0.23499999999999999</v>
      </c>
      <c r="I18" s="28"/>
      <c r="L18" s="4" t="s">
        <v>60</v>
      </c>
      <c r="M18" s="1"/>
      <c r="N18" s="1"/>
      <c r="O18" s="1" t="s">
        <v>19</v>
      </c>
      <c r="P18" s="1">
        <f t="shared" ref="P18:P30" si="19">P3*O3</f>
        <v>1.0227924049210923E-3</v>
      </c>
      <c r="Q18" s="1">
        <f t="shared" ref="Q18:Q28" si="20">P18/G18</f>
        <v>4.3523081060472014E-3</v>
      </c>
      <c r="R18" s="1"/>
      <c r="S18" s="1"/>
      <c r="T18" s="1"/>
      <c r="U18" s="1"/>
      <c r="V18" s="1"/>
      <c r="W18" s="1" t="s">
        <v>19</v>
      </c>
      <c r="X18" s="1">
        <f>X3*W3</f>
        <v>4.500621727851011E-3</v>
      </c>
      <c r="Y18" s="1">
        <f t="shared" ref="Y18:Y29" si="21">X18/G18</f>
        <v>1.91515818206426E-2</v>
      </c>
      <c r="Z18" s="1"/>
      <c r="AA18" s="1"/>
      <c r="AB18" s="1"/>
      <c r="AC18" s="1"/>
      <c r="AD18" s="1"/>
      <c r="AE18" s="1" t="s">
        <v>19</v>
      </c>
      <c r="AF18" s="1">
        <f t="shared" ref="AF18:AF30" si="22">(F18-0.1*AF3)/(1-0.01)</f>
        <v>9.5085361982765392E-4</v>
      </c>
      <c r="AG18" s="1">
        <f t="shared" ref="AG18:AG29" si="23">AF18/G18</f>
        <v>4.0461856162878895E-3</v>
      </c>
      <c r="AH18" s="1"/>
      <c r="AI18" s="1"/>
      <c r="AJ18" s="1"/>
      <c r="AK18" s="1"/>
      <c r="AL18" s="1" t="s">
        <v>19</v>
      </c>
      <c r="AM18" s="1">
        <f>AM3*AL3</f>
        <v>1.7963028820681793E-4</v>
      </c>
      <c r="AN18" s="1">
        <f t="shared" ref="AN18:AN29" si="24">AM18/G18</f>
        <v>7.6438420513539555E-4</v>
      </c>
      <c r="AO18" s="1"/>
      <c r="AP18" s="1"/>
      <c r="AQ18" s="1"/>
      <c r="AR18" s="1"/>
      <c r="AS18" s="1" t="s">
        <v>19</v>
      </c>
      <c r="AT18" s="1">
        <f t="shared" ref="AT18:AT29" si="25">(F18-0.25*AT3)/(1-0.25)</f>
        <v>9.4384745384396007E-5</v>
      </c>
      <c r="AU18" s="1">
        <f t="shared" ref="AU18:AU29" si="26">AT18/G18</f>
        <v>4.0163721440168514E-4</v>
      </c>
      <c r="AV18" s="1"/>
    </row>
    <row r="19" spans="2:48" ht="15.75" x14ac:dyDescent="0.25">
      <c r="D19" s="18"/>
      <c r="E19" s="18">
        <v>289</v>
      </c>
      <c r="F19" s="21">
        <v>6.9000000000000006E-2</v>
      </c>
      <c r="G19" s="18">
        <v>0.6</v>
      </c>
      <c r="I19" s="28"/>
      <c r="L19" s="1"/>
      <c r="M19" s="1"/>
      <c r="N19" s="1"/>
      <c r="O19" s="1" t="s">
        <v>21</v>
      </c>
      <c r="P19" s="1">
        <f t="shared" si="19"/>
        <v>5.0500915845047411E-3</v>
      </c>
      <c r="Q19" s="1">
        <f t="shared" si="20"/>
        <v>8.4168193075079018E-3</v>
      </c>
      <c r="R19" s="1"/>
      <c r="S19" s="1"/>
      <c r="T19" s="1"/>
      <c r="U19" s="1"/>
      <c r="V19" s="1"/>
      <c r="W19" s="1" t="s">
        <v>21</v>
      </c>
      <c r="X19" s="1">
        <f t="shared" ref="X19:X30" si="27">X4*W4</f>
        <v>1.8181220398889048E-2</v>
      </c>
      <c r="Y19" s="1">
        <f t="shared" si="21"/>
        <v>3.0302033998148414E-2</v>
      </c>
      <c r="Z19" s="1"/>
      <c r="AA19" s="1"/>
      <c r="AB19" s="1"/>
      <c r="AC19" s="1"/>
      <c r="AD19" s="1"/>
      <c r="AE19" s="1" t="s">
        <v>21</v>
      </c>
      <c r="AF19" s="1">
        <f t="shared" si="22"/>
        <v>4.0628813376204255E-3</v>
      </c>
      <c r="AG19" s="1">
        <f t="shared" si="23"/>
        <v>6.7714688960340431E-3</v>
      </c>
      <c r="AH19" s="1"/>
      <c r="AI19" s="1"/>
      <c r="AJ19" s="1"/>
      <c r="AK19" s="1"/>
      <c r="AL19" s="1" t="s">
        <v>21</v>
      </c>
      <c r="AM19" s="1">
        <f t="shared" ref="AM19:AM30" si="28">AM4*AL4</f>
        <v>9.0394949549879133E-4</v>
      </c>
      <c r="AN19" s="1">
        <f t="shared" si="24"/>
        <v>1.5065824924979856E-3</v>
      </c>
      <c r="AO19" s="1"/>
      <c r="AP19" s="1"/>
      <c r="AQ19" s="1"/>
      <c r="AR19" s="1"/>
      <c r="AS19" s="1" t="s">
        <v>21</v>
      </c>
      <c r="AT19" s="1">
        <f t="shared" si="25"/>
        <v>4.7364886711268966E-4</v>
      </c>
      <c r="AU19" s="1">
        <f t="shared" si="26"/>
        <v>7.8941477852114946E-4</v>
      </c>
      <c r="AV19" s="1"/>
    </row>
    <row r="20" spans="2:48" ht="15.75" x14ac:dyDescent="0.25">
      <c r="D20" s="18"/>
      <c r="E20" s="18">
        <v>185</v>
      </c>
      <c r="F20" s="21">
        <v>8.6999999999999994E-2</v>
      </c>
      <c r="G20" s="18">
        <v>0.46400000000000002</v>
      </c>
      <c r="I20" s="28"/>
      <c r="L20" s="1"/>
      <c r="M20" s="1"/>
      <c r="N20" s="1"/>
      <c r="O20" s="1" t="s">
        <v>23</v>
      </c>
      <c r="P20" s="1">
        <f t="shared" si="19"/>
        <v>1.3070232149377232E-2</v>
      </c>
      <c r="Q20" s="1">
        <f t="shared" si="20"/>
        <v>2.8168603770209549E-2</v>
      </c>
      <c r="R20" s="1"/>
      <c r="S20" s="1"/>
      <c r="T20" s="1"/>
      <c r="U20" s="1"/>
      <c r="V20" s="1"/>
      <c r="W20" s="1" t="s">
        <v>23</v>
      </c>
      <c r="X20" s="1">
        <f t="shared" si="27"/>
        <v>3.3567444380896844E-2</v>
      </c>
      <c r="Y20" s="1">
        <f t="shared" si="21"/>
        <v>7.2343630131243189E-2</v>
      </c>
      <c r="Z20" s="1"/>
      <c r="AA20" s="1"/>
      <c r="AB20" s="1"/>
      <c r="AC20" s="1"/>
      <c r="AD20" s="1"/>
      <c r="AE20" s="1" t="s">
        <v>23</v>
      </c>
      <c r="AF20" s="1">
        <f t="shared" si="22"/>
        <v>8.809859949843039E-3</v>
      </c>
      <c r="AG20" s="1">
        <f t="shared" si="23"/>
        <v>1.8986767133282411E-2</v>
      </c>
      <c r="AH20" s="1"/>
      <c r="AI20" s="1"/>
      <c r="AJ20" s="1"/>
      <c r="AK20" s="1"/>
      <c r="AL20" s="1" t="s">
        <v>23</v>
      </c>
      <c r="AM20" s="1">
        <f t="shared" si="28"/>
        <v>2.5110366495951029E-3</v>
      </c>
      <c r="AN20" s="1">
        <f t="shared" si="24"/>
        <v>5.4117169172308247E-3</v>
      </c>
      <c r="AO20" s="1"/>
      <c r="AP20" s="1"/>
      <c r="AQ20" s="1"/>
      <c r="AR20" s="1"/>
      <c r="AS20" s="1" t="s">
        <v>23</v>
      </c>
      <c r="AT20" s="1">
        <f t="shared" si="25"/>
        <v>1.3217811504597961E-3</v>
      </c>
      <c r="AU20" s="1">
        <f t="shared" si="26"/>
        <v>2.8486662725426639E-3</v>
      </c>
      <c r="AV20" s="1"/>
    </row>
    <row r="21" spans="2:48" ht="15.75" x14ac:dyDescent="0.25">
      <c r="D21" s="18"/>
      <c r="E21" s="18">
        <v>48.5</v>
      </c>
      <c r="F21" s="21">
        <v>4.5999999999999999E-2</v>
      </c>
      <c r="G21" s="18">
        <v>0.153</v>
      </c>
      <c r="I21" s="28"/>
      <c r="L21" s="1"/>
      <c r="M21" s="1"/>
      <c r="N21" s="1"/>
      <c r="O21" s="1" t="s">
        <v>24</v>
      </c>
      <c r="P21" s="1">
        <f t="shared" si="19"/>
        <v>9.4310895619918594E-3</v>
      </c>
      <c r="Q21" s="1">
        <f t="shared" si="20"/>
        <v>6.1641108248312808E-2</v>
      </c>
      <c r="R21" s="1"/>
      <c r="S21" s="1"/>
      <c r="T21" s="1"/>
      <c r="U21" s="1"/>
      <c r="V21" s="1"/>
      <c r="W21" s="1" t="s">
        <v>24</v>
      </c>
      <c r="X21" s="1">
        <f t="shared" si="27"/>
        <v>2.291052396984896E-2</v>
      </c>
      <c r="Y21" s="1">
        <f t="shared" si="21"/>
        <v>0.14974198673103895</v>
      </c>
      <c r="Z21" s="1"/>
      <c r="AA21" s="1"/>
      <c r="AB21" s="1"/>
      <c r="AC21" s="1"/>
      <c r="AD21" s="1"/>
      <c r="AE21" s="1" t="s">
        <v>24</v>
      </c>
      <c r="AF21" s="1">
        <f t="shared" si="22"/>
        <v>6.8296626082338706E-3</v>
      </c>
      <c r="AG21" s="1">
        <f t="shared" si="23"/>
        <v>4.4638317700874973E-2</v>
      </c>
      <c r="AH21" s="1"/>
      <c r="AI21" s="1"/>
      <c r="AJ21" s="1"/>
      <c r="AK21" s="1"/>
      <c r="AL21" s="1" t="s">
        <v>24</v>
      </c>
      <c r="AM21" s="1">
        <f t="shared" si="28"/>
        <v>1.9060564631317323E-3</v>
      </c>
      <c r="AN21" s="1">
        <f t="shared" si="24"/>
        <v>1.2457885379945964E-2</v>
      </c>
      <c r="AO21" s="1"/>
      <c r="AP21" s="1"/>
      <c r="AQ21" s="1"/>
      <c r="AR21" s="1"/>
      <c r="AS21" s="1" t="s">
        <v>24</v>
      </c>
      <c r="AT21" s="1">
        <f t="shared" si="25"/>
        <v>1.0067896869150699E-3</v>
      </c>
      <c r="AU21" s="1">
        <f t="shared" si="26"/>
        <v>6.5803247510788886E-3</v>
      </c>
      <c r="AV21" s="1"/>
    </row>
    <row r="22" spans="2:48" ht="15.75" x14ac:dyDescent="0.25">
      <c r="D22" s="18"/>
      <c r="E22" s="18">
        <v>10.7</v>
      </c>
      <c r="F22" s="21">
        <v>2.4E-2</v>
      </c>
      <c r="G22" s="18">
        <v>5.8599999999999999E-2</v>
      </c>
      <c r="I22" s="28"/>
      <c r="L22" s="1"/>
      <c r="M22" s="1"/>
      <c r="N22" s="1"/>
      <c r="O22" s="1" t="s">
        <v>25</v>
      </c>
      <c r="P22" s="1">
        <f t="shared" si="19"/>
        <v>6.0462090936060581E-3</v>
      </c>
      <c r="Q22" s="1">
        <f t="shared" si="20"/>
        <v>0.10317762958372113</v>
      </c>
      <c r="R22" s="1"/>
      <c r="S22" s="1"/>
      <c r="T22" s="1"/>
      <c r="U22" s="1"/>
      <c r="V22" s="1"/>
      <c r="W22" s="1" t="s">
        <v>25</v>
      </c>
      <c r="X22" s="1">
        <f t="shared" si="27"/>
        <v>1.4769552228218023E-2</v>
      </c>
      <c r="Y22" s="1">
        <f t="shared" si="21"/>
        <v>0.25204014041327683</v>
      </c>
      <c r="Z22" s="1"/>
      <c r="AA22" s="1"/>
      <c r="AB22" s="1"/>
      <c r="AC22" s="1"/>
      <c r="AD22" s="1"/>
      <c r="AE22" s="1" t="s">
        <v>25</v>
      </c>
      <c r="AF22" s="1">
        <f t="shared" si="22"/>
        <v>5.0958282343554831E-3</v>
      </c>
      <c r="AG22" s="1">
        <f t="shared" si="23"/>
        <v>8.6959526183540664E-2</v>
      </c>
      <c r="AH22" s="1"/>
      <c r="AI22" s="1"/>
      <c r="AJ22" s="1"/>
      <c r="AK22" s="1"/>
      <c r="AL22" s="1" t="s">
        <v>25</v>
      </c>
      <c r="AM22" s="1">
        <f t="shared" si="28"/>
        <v>1.27269408456628E-3</v>
      </c>
      <c r="AN22" s="1">
        <f t="shared" si="24"/>
        <v>2.1718329088161775E-2</v>
      </c>
      <c r="AO22" s="1"/>
      <c r="AP22" s="1"/>
      <c r="AQ22" s="1"/>
      <c r="AR22" s="1"/>
      <c r="AS22" s="1" t="s">
        <v>25</v>
      </c>
      <c r="AT22" s="1">
        <f t="shared" si="25"/>
        <v>6.7529792728362092E-4</v>
      </c>
      <c r="AU22" s="1">
        <f t="shared" si="26"/>
        <v>1.1523855414396262E-2</v>
      </c>
      <c r="AV22" s="1"/>
    </row>
    <row r="23" spans="2:48" ht="15.75" x14ac:dyDescent="0.25">
      <c r="D23" s="18"/>
      <c r="E23" s="18">
        <v>35.799999999999997</v>
      </c>
      <c r="F23" s="21">
        <v>0.11</v>
      </c>
      <c r="G23" s="18">
        <v>0.20599999999999999</v>
      </c>
      <c r="I23" s="28"/>
      <c r="L23" s="1"/>
      <c r="M23" s="1"/>
      <c r="N23" s="1"/>
      <c r="O23" s="1" t="s">
        <v>26</v>
      </c>
      <c r="P23" s="1">
        <f t="shared" si="19"/>
        <v>3.1997998547783249E-2</v>
      </c>
      <c r="Q23" s="1">
        <f t="shared" si="20"/>
        <v>0.15533009003778278</v>
      </c>
      <c r="R23" s="1"/>
      <c r="S23" s="1"/>
      <c r="T23" s="1"/>
      <c r="U23" s="1"/>
      <c r="V23" s="1"/>
      <c r="W23" s="1" t="s">
        <v>26</v>
      </c>
      <c r="X23" s="1">
        <f t="shared" si="27"/>
        <v>7.1485467761340959E-2</v>
      </c>
      <c r="Y23" s="1">
        <f t="shared" si="21"/>
        <v>0.34701683379291731</v>
      </c>
      <c r="Z23" s="1"/>
      <c r="AA23" s="1"/>
      <c r="AB23" s="1"/>
      <c r="AC23" s="1"/>
      <c r="AD23" s="1"/>
      <c r="AE23" s="1" t="s">
        <v>26</v>
      </c>
      <c r="AF23" s="1">
        <f t="shared" si="22"/>
        <v>2.6168324325150795E-2</v>
      </c>
      <c r="AG23" s="1">
        <f t="shared" si="23"/>
        <v>0.12703070060752814</v>
      </c>
      <c r="AH23" s="1"/>
      <c r="AI23" s="1"/>
      <c r="AJ23" s="1"/>
      <c r="AK23" s="1"/>
      <c r="AL23" s="1" t="s">
        <v>26</v>
      </c>
      <c r="AM23" s="1">
        <f t="shared" si="28"/>
        <v>6.9537234832258623E-3</v>
      </c>
      <c r="AN23" s="1">
        <f t="shared" si="24"/>
        <v>3.3755939238960496E-2</v>
      </c>
      <c r="AO23" s="1"/>
      <c r="AP23" s="1"/>
      <c r="AQ23" s="1"/>
      <c r="AR23" s="1"/>
      <c r="AS23" s="1" t="s">
        <v>26</v>
      </c>
      <c r="AT23" s="1">
        <f t="shared" si="25"/>
        <v>3.6909189278768553E-3</v>
      </c>
      <c r="AU23" s="1">
        <f t="shared" si="26"/>
        <v>1.7917082174159493E-2</v>
      </c>
      <c r="AV23" s="1"/>
    </row>
    <row r="24" spans="2:48" ht="15.75" x14ac:dyDescent="0.25">
      <c r="D24" s="18"/>
      <c r="E24" s="18">
        <v>6.54</v>
      </c>
      <c r="F24" s="21">
        <v>1.9E-2</v>
      </c>
      <c r="G24" s="18">
        <v>3.7499999999999999E-2</v>
      </c>
      <c r="I24" s="28"/>
      <c r="L24" s="1"/>
      <c r="M24" s="1"/>
      <c r="N24" s="1"/>
      <c r="O24" s="1" t="s">
        <v>27</v>
      </c>
      <c r="P24" s="1">
        <f t="shared" si="19"/>
        <v>6.1451972058505604E-3</v>
      </c>
      <c r="Q24" s="1">
        <f t="shared" si="20"/>
        <v>0.16387192548934829</v>
      </c>
      <c r="R24" s="1"/>
      <c r="S24" s="1"/>
      <c r="T24" s="1"/>
      <c r="U24" s="1"/>
      <c r="V24" s="1"/>
      <c r="W24" s="1" t="s">
        <v>27</v>
      </c>
      <c r="X24" s="1">
        <f t="shared" si="27"/>
        <v>1.2345758889371575E-2</v>
      </c>
      <c r="Y24" s="1">
        <f t="shared" si="21"/>
        <v>0.32922023704990866</v>
      </c>
      <c r="Z24" s="1"/>
      <c r="AA24" s="1"/>
      <c r="AB24" s="1"/>
      <c r="AC24" s="1"/>
      <c r="AD24" s="1"/>
      <c r="AE24" s="1" t="s">
        <v>27</v>
      </c>
      <c r="AF24" s="1">
        <f t="shared" si="22"/>
        <v>4.5903083883256915E-3</v>
      </c>
      <c r="AG24" s="1">
        <f t="shared" si="23"/>
        <v>0.12240822368868511</v>
      </c>
      <c r="AH24" s="1"/>
      <c r="AI24" s="1"/>
      <c r="AJ24" s="1"/>
      <c r="AK24" s="1"/>
      <c r="AL24" s="1" t="s">
        <v>27</v>
      </c>
      <c r="AM24" s="1">
        <f t="shared" si="28"/>
        <v>1.3965811313836134E-3</v>
      </c>
      <c r="AN24" s="1">
        <f t="shared" si="24"/>
        <v>3.7242163503563026E-2</v>
      </c>
      <c r="AO24" s="1"/>
      <c r="AP24" s="1"/>
      <c r="AQ24" s="1"/>
      <c r="AR24" s="1"/>
      <c r="AS24" s="1" t="s">
        <v>27</v>
      </c>
      <c r="AT24" s="1">
        <f t="shared" si="25"/>
        <v>7.4323570093911184E-4</v>
      </c>
      <c r="AU24" s="1">
        <f t="shared" si="26"/>
        <v>1.9819618691709649E-2</v>
      </c>
      <c r="AV24" s="1"/>
    </row>
    <row r="25" spans="2:48" ht="15.75" x14ac:dyDescent="0.25">
      <c r="D25" s="18"/>
      <c r="E25" s="18">
        <v>39.200000000000003</v>
      </c>
      <c r="F25" s="21">
        <v>0.13</v>
      </c>
      <c r="G25" s="18">
        <v>0.254</v>
      </c>
      <c r="I25" s="28"/>
      <c r="L25" s="1"/>
      <c r="M25" s="1"/>
      <c r="N25" s="1"/>
      <c r="O25" s="1" t="s">
        <v>28</v>
      </c>
      <c r="P25" s="1">
        <f t="shared" si="19"/>
        <v>4.6459123645491741E-2</v>
      </c>
      <c r="Q25" s="1">
        <f t="shared" si="20"/>
        <v>0.1829099356121722</v>
      </c>
      <c r="R25" s="1"/>
      <c r="S25" s="1"/>
      <c r="T25" s="1"/>
      <c r="U25" s="1"/>
      <c r="V25" s="1"/>
      <c r="W25" s="1" t="s">
        <v>28</v>
      </c>
      <c r="X25" s="1">
        <f t="shared" si="27"/>
        <v>8.6870940342434616E-2</v>
      </c>
      <c r="Y25" s="1">
        <f t="shared" si="21"/>
        <v>0.34201157615131739</v>
      </c>
      <c r="Z25" s="1"/>
      <c r="AA25" s="1"/>
      <c r="AB25" s="1"/>
      <c r="AC25" s="1"/>
      <c r="AD25" s="1"/>
      <c r="AE25" s="1" t="s">
        <v>28</v>
      </c>
      <c r="AF25" s="1">
        <f t="shared" si="22"/>
        <v>3.3539051501473675E-2</v>
      </c>
      <c r="AG25" s="1">
        <f t="shared" si="23"/>
        <v>0.13204350984832156</v>
      </c>
      <c r="AH25" s="1"/>
      <c r="AI25" s="1"/>
      <c r="AJ25" s="1"/>
      <c r="AK25" s="1"/>
      <c r="AL25" s="1" t="s">
        <v>28</v>
      </c>
      <c r="AM25" s="1">
        <f t="shared" si="28"/>
        <v>1.0941503126111567E-2</v>
      </c>
      <c r="AN25" s="1">
        <f t="shared" si="24"/>
        <v>4.3076783961069162E-2</v>
      </c>
      <c r="AO25" s="1"/>
      <c r="AP25" s="1"/>
      <c r="AQ25" s="1"/>
      <c r="AR25" s="1"/>
      <c r="AS25" s="1" t="s">
        <v>28</v>
      </c>
      <c r="AT25" s="1">
        <f t="shared" si="25"/>
        <v>5.8519664405990435E-3</v>
      </c>
      <c r="AU25" s="1">
        <f t="shared" si="26"/>
        <v>2.3039237955114342E-2</v>
      </c>
      <c r="AV25" s="1"/>
    </row>
    <row r="26" spans="2:48" ht="15.75" x14ac:dyDescent="0.25">
      <c r="D26" s="18"/>
      <c r="E26" s="18">
        <v>28</v>
      </c>
      <c r="F26" s="21">
        <v>8.5999999999999993E-2</v>
      </c>
      <c r="G26" s="18">
        <v>0.16600000000000001</v>
      </c>
      <c r="I26" s="28"/>
      <c r="L26" s="1"/>
      <c r="M26" s="1"/>
      <c r="N26" s="1"/>
      <c r="O26" s="1" t="s">
        <v>29</v>
      </c>
      <c r="P26" s="1">
        <f t="shared" si="19"/>
        <v>3.6767989647690527E-2</v>
      </c>
      <c r="Q26" s="1">
        <f t="shared" si="20"/>
        <v>0.22149391354030437</v>
      </c>
      <c r="R26" s="1"/>
      <c r="S26" s="1"/>
      <c r="T26" s="1"/>
      <c r="U26" s="1"/>
      <c r="V26" s="1"/>
      <c r="W26" s="1" t="s">
        <v>29</v>
      </c>
      <c r="X26" s="1">
        <f t="shared" si="27"/>
        <v>5.7254840840702557E-2</v>
      </c>
      <c r="Y26" s="1">
        <f t="shared" si="21"/>
        <v>0.34490867976326839</v>
      </c>
      <c r="Z26" s="1"/>
      <c r="AA26" s="1"/>
      <c r="AB26" s="1"/>
      <c r="AC26" s="1"/>
      <c r="AD26" s="1"/>
      <c r="AE26" s="1" t="s">
        <v>29</v>
      </c>
      <c r="AF26" s="1">
        <f t="shared" si="22"/>
        <v>2.2837871070676384E-2</v>
      </c>
      <c r="AG26" s="1">
        <f t="shared" si="23"/>
        <v>0.13757753657033966</v>
      </c>
      <c r="AH26" s="1"/>
      <c r="AI26" s="1"/>
      <c r="AJ26" s="1"/>
      <c r="AK26" s="1"/>
      <c r="AL26" s="1" t="s">
        <v>29</v>
      </c>
      <c r="AM26" s="1">
        <f t="shared" si="28"/>
        <v>9.4287398911152322E-3</v>
      </c>
      <c r="AN26" s="1">
        <f t="shared" si="24"/>
        <v>5.679963789828453E-2</v>
      </c>
      <c r="AO26" s="1"/>
      <c r="AP26" s="1"/>
      <c r="AQ26" s="1"/>
      <c r="AR26" s="1"/>
      <c r="AS26" s="1" t="s">
        <v>29</v>
      </c>
      <c r="AT26" s="1">
        <f t="shared" si="25"/>
        <v>5.084083926241989E-3</v>
      </c>
      <c r="AU26" s="1">
        <f t="shared" si="26"/>
        <v>3.0627011603867403E-2</v>
      </c>
      <c r="AV26" s="1"/>
    </row>
    <row r="27" spans="2:48" ht="15.75" x14ac:dyDescent="0.25">
      <c r="D27" s="18"/>
      <c r="E27" s="18">
        <v>4.63</v>
      </c>
      <c r="F27" s="21">
        <v>1.4999999999999999E-2</v>
      </c>
      <c r="G27" s="18">
        <v>2.6200000000000001E-2</v>
      </c>
      <c r="I27" s="28"/>
      <c r="L27" s="1"/>
      <c r="M27" s="1"/>
      <c r="N27" s="1"/>
      <c r="O27" s="1" t="s">
        <v>30</v>
      </c>
      <c r="P27" s="1">
        <f t="shared" si="19"/>
        <v>7.4718542885687661E-3</v>
      </c>
      <c r="Q27" s="1">
        <f t="shared" si="20"/>
        <v>0.28518527818964756</v>
      </c>
      <c r="R27" s="1"/>
      <c r="S27" s="1"/>
      <c r="T27" s="1"/>
      <c r="U27" s="1"/>
      <c r="V27" s="1"/>
      <c r="W27" s="1" t="s">
        <v>30</v>
      </c>
      <c r="X27" s="1">
        <f t="shared" si="27"/>
        <v>1.0179965363458733E-2</v>
      </c>
      <c r="Y27" s="1">
        <f t="shared" si="21"/>
        <v>0.38854829631521881</v>
      </c>
      <c r="Z27" s="1"/>
      <c r="AA27" s="1"/>
      <c r="AB27" s="1"/>
      <c r="AC27" s="1"/>
      <c r="AD27" s="1"/>
      <c r="AE27" s="1" t="s">
        <v>30</v>
      </c>
      <c r="AF27" s="1">
        <f t="shared" si="22"/>
        <v>4.286085883395253E-3</v>
      </c>
      <c r="AG27" s="1">
        <f t="shared" si="23"/>
        <v>0.1635910642517272</v>
      </c>
      <c r="AH27" s="1"/>
      <c r="AI27" s="1"/>
      <c r="AJ27" s="1"/>
      <c r="AK27" s="1"/>
      <c r="AL27" s="1" t="s">
        <v>30</v>
      </c>
      <c r="AM27" s="1">
        <f t="shared" si="28"/>
        <v>2.106972045576235E-3</v>
      </c>
      <c r="AN27" s="1">
        <f t="shared" si="24"/>
        <v>8.0418780365505149E-2</v>
      </c>
      <c r="AO27" s="1"/>
      <c r="AP27" s="1"/>
      <c r="AQ27" s="1"/>
      <c r="AR27" s="1"/>
      <c r="AS27" s="1" t="s">
        <v>30</v>
      </c>
      <c r="AT27" s="1">
        <f t="shared" si="25"/>
        <v>1.1515462800220551E-3</v>
      </c>
      <c r="AU27" s="1">
        <f t="shared" si="26"/>
        <v>4.3952148092444847E-2</v>
      </c>
      <c r="AV27" s="1"/>
    </row>
    <row r="28" spans="2:48" ht="15.75" x14ac:dyDescent="0.25">
      <c r="D28" s="18"/>
      <c r="E28" s="18">
        <v>25.5</v>
      </c>
      <c r="F28" s="21">
        <v>8.6999999999999994E-2</v>
      </c>
      <c r="G28" s="18">
        <v>0.16800000000000001</v>
      </c>
      <c r="I28" s="28"/>
      <c r="L28" s="1"/>
      <c r="M28" s="1"/>
      <c r="N28" s="1"/>
      <c r="O28" s="1" t="s">
        <v>31</v>
      </c>
      <c r="P28" s="1">
        <f t="shared" si="19"/>
        <v>4.776604246742841E-2</v>
      </c>
      <c r="Q28" s="1">
        <f t="shared" si="20"/>
        <v>0.28432168135374053</v>
      </c>
      <c r="R28" s="1"/>
      <c r="S28" s="1"/>
      <c r="T28" s="1"/>
      <c r="U28" s="1"/>
      <c r="V28" s="1"/>
      <c r="W28" s="1" t="s">
        <v>31</v>
      </c>
      <c r="X28" s="1">
        <f t="shared" si="27"/>
        <v>6.0384258263377025E-2</v>
      </c>
      <c r="Y28" s="1">
        <f t="shared" si="21"/>
        <v>0.35943010871057751</v>
      </c>
      <c r="Z28" s="1"/>
      <c r="AA28" s="1"/>
      <c r="AB28" s="1"/>
      <c r="AC28" s="1"/>
      <c r="AD28" s="1"/>
      <c r="AE28" s="1" t="s">
        <v>31</v>
      </c>
      <c r="AF28" s="1">
        <f t="shared" si="22"/>
        <v>2.6637934147498803E-2</v>
      </c>
      <c r="AG28" s="1">
        <f t="shared" si="23"/>
        <v>0.15855913183035</v>
      </c>
      <c r="AH28" s="1"/>
      <c r="AI28" s="1"/>
      <c r="AJ28" s="1"/>
      <c r="AK28" s="1"/>
      <c r="AL28" s="1" t="s">
        <v>31</v>
      </c>
      <c r="AM28" s="1">
        <f t="shared" si="28"/>
        <v>1.4503486798991867E-2</v>
      </c>
      <c r="AN28" s="1">
        <f t="shared" si="24"/>
        <v>8.633027856542777E-2</v>
      </c>
      <c r="AO28" s="1"/>
      <c r="AP28" s="1"/>
      <c r="AQ28" s="1"/>
      <c r="AR28" s="1"/>
      <c r="AS28" s="1" t="s">
        <v>31</v>
      </c>
      <c r="AT28" s="1">
        <f t="shared" si="25"/>
        <v>8.025225141367831E-3</v>
      </c>
      <c r="AU28" s="1">
        <f t="shared" si="26"/>
        <v>4.7769197270046609E-2</v>
      </c>
      <c r="AV28" s="1"/>
    </row>
    <row r="29" spans="2:48" ht="15.75" x14ac:dyDescent="0.25">
      <c r="D29" s="18"/>
      <c r="E29" s="18">
        <v>4.63</v>
      </c>
      <c r="F29" s="21">
        <v>1.7000000000000001E-2</v>
      </c>
      <c r="G29" s="18">
        <v>2.46E-2</v>
      </c>
      <c r="I29" s="28"/>
      <c r="L29" s="1"/>
      <c r="M29" s="1"/>
      <c r="N29" s="1"/>
      <c r="O29" s="1" t="s">
        <v>32</v>
      </c>
      <c r="P29" s="1">
        <f t="shared" si="19"/>
        <v>1.0173258048251406E-2</v>
      </c>
      <c r="Q29" s="1"/>
      <c r="R29" s="1"/>
      <c r="S29" s="1"/>
      <c r="T29" s="1"/>
      <c r="U29" s="1"/>
      <c r="V29" s="1"/>
      <c r="W29" s="1" t="s">
        <v>32</v>
      </c>
      <c r="X29" s="1">
        <f t="shared" si="27"/>
        <v>1.2012411463721165E-2</v>
      </c>
      <c r="Y29" s="1">
        <f t="shared" si="21"/>
        <v>0.48830940909435627</v>
      </c>
      <c r="Z29" s="1"/>
      <c r="AA29" s="1"/>
      <c r="AB29" s="1"/>
      <c r="AC29" s="1"/>
      <c r="AD29" s="1"/>
      <c r="AE29" s="1" t="s">
        <v>32</v>
      </c>
      <c r="AF29" s="1">
        <f t="shared" si="22"/>
        <v>5.5477640881798559E-3</v>
      </c>
      <c r="AG29" s="1">
        <f t="shared" si="23"/>
        <v>0.22551886537316487</v>
      </c>
      <c r="AH29" s="1"/>
      <c r="AI29" s="1"/>
      <c r="AJ29" s="1"/>
      <c r="AK29" s="1"/>
      <c r="AL29" s="1" t="s">
        <v>32</v>
      </c>
      <c r="AM29" s="1">
        <f t="shared" si="28"/>
        <v>3.3491079214148334E-3</v>
      </c>
      <c r="AN29" s="1">
        <f t="shared" si="24"/>
        <v>0.13614259843149729</v>
      </c>
      <c r="AO29" s="1"/>
      <c r="AP29" s="1"/>
      <c r="AQ29" s="1"/>
      <c r="AR29" s="1"/>
      <c r="AS29" s="1" t="s">
        <v>32</v>
      </c>
      <c r="AT29" s="1">
        <f t="shared" si="25"/>
        <v>1.8809989958688475E-3</v>
      </c>
      <c r="AU29" s="1">
        <f t="shared" si="26"/>
        <v>7.6463373815806812E-2</v>
      </c>
      <c r="AV29" s="1"/>
    </row>
    <row r="30" spans="2:48" ht="15.75" x14ac:dyDescent="0.25">
      <c r="D30" s="18"/>
      <c r="E30" s="18">
        <v>27.3</v>
      </c>
      <c r="F30" s="21">
        <v>4.9000000000000002E-2</v>
      </c>
      <c r="G30" s="19"/>
      <c r="L30" s="1"/>
      <c r="M30" s="1"/>
      <c r="N30" s="1"/>
      <c r="O30" s="1" t="s">
        <v>34</v>
      </c>
      <c r="P30" s="1">
        <f t="shared" si="19"/>
        <v>1.482951983798235E-2</v>
      </c>
      <c r="Q30" s="1"/>
      <c r="R30" s="1"/>
      <c r="S30" s="1"/>
      <c r="T30" s="1"/>
      <c r="U30" s="1"/>
      <c r="V30" s="1"/>
      <c r="W30" s="1" t="s">
        <v>34</v>
      </c>
      <c r="X30" s="1">
        <f t="shared" si="27"/>
        <v>2.8890816833237257E-2</v>
      </c>
      <c r="Y30" s="1"/>
      <c r="Z30" s="1"/>
      <c r="AA30" s="1"/>
      <c r="AB30" s="1"/>
      <c r="AC30" s="1"/>
      <c r="AD30" s="1"/>
      <c r="AE30" s="1" t="s">
        <v>34</v>
      </c>
      <c r="AF30" s="1">
        <f t="shared" si="22"/>
        <v>9.9167209453801062E-3</v>
      </c>
      <c r="AG30" s="1"/>
      <c r="AH30" s="1"/>
      <c r="AI30" s="1"/>
      <c r="AJ30" s="1"/>
      <c r="AK30" s="1"/>
      <c r="AL30" s="1" t="s">
        <v>34</v>
      </c>
      <c r="AM30" s="1">
        <f t="shared" si="28"/>
        <v>3.2974427994616417E-3</v>
      </c>
      <c r="AN30" s="1"/>
      <c r="AO30" s="1"/>
      <c r="AP30" s="1"/>
      <c r="AQ30" s="1"/>
      <c r="AR30" s="1"/>
      <c r="AS30" s="1" t="s">
        <v>33</v>
      </c>
      <c r="AT30" s="1"/>
      <c r="AU30" s="1"/>
      <c r="AV30" s="1"/>
    </row>
    <row r="31" spans="2:48" x14ac:dyDescent="0.2">
      <c r="D31" s="13" t="s">
        <v>35</v>
      </c>
      <c r="E31" s="13">
        <v>0.152</v>
      </c>
      <c r="F31" s="13">
        <v>0.30299999999999999</v>
      </c>
      <c r="L31" s="1"/>
      <c r="M31" s="1"/>
      <c r="N31" s="1"/>
      <c r="O31" s="13" t="s">
        <v>35</v>
      </c>
      <c r="P31" s="1">
        <f>F31*(O6/O5)*((M2*(1-O5)+O5)/(M2*(1-O6)+O6))</f>
        <v>0.41350676317843704</v>
      </c>
      <c r="Q31" s="1"/>
      <c r="R31" s="1"/>
      <c r="S31" s="1"/>
      <c r="T31" s="1"/>
      <c r="U31" s="1"/>
      <c r="V31" s="1"/>
      <c r="W31" s="13" t="s">
        <v>35</v>
      </c>
      <c r="X31" s="1">
        <f>F31*(W6/W5)*((U2*(1-W5)+W5)/(U2*(1-W6)+W6))</f>
        <v>0.39112969847659884</v>
      </c>
      <c r="Y31" s="1"/>
      <c r="Z31" s="1"/>
      <c r="AA31" s="1"/>
      <c r="AB31" s="1"/>
      <c r="AC31" s="1"/>
      <c r="AD31" s="1"/>
      <c r="AE31" s="13" t="s">
        <v>35</v>
      </c>
      <c r="AF31" s="1">
        <f>X31*(AE6/AE5)*((AC2*(1-AE5)+AE5)/(AC2*(1-AE6)+AE6))</f>
        <v>0.5734723183977668</v>
      </c>
      <c r="AG31" s="1"/>
      <c r="AH31" s="1"/>
      <c r="AI31" s="1"/>
      <c r="AJ31" s="1"/>
      <c r="AK31" s="1"/>
      <c r="AL31" s="13" t="s">
        <v>35</v>
      </c>
      <c r="AM31" s="1">
        <f>AF31*(AL6/AL5)*((AJ2*(1-AL5)+AL5)/(AJ2*(1-AL6)+AL6))</f>
        <v>0.82513734325218424</v>
      </c>
      <c r="AN31" s="1"/>
      <c r="AO31" s="1"/>
      <c r="AP31" s="1"/>
      <c r="AQ31" s="1"/>
      <c r="AR31" s="1"/>
      <c r="AS31" s="13" t="s">
        <v>35</v>
      </c>
      <c r="AT31" s="1">
        <f>AM31*(AS6/AS5)*((AQ2*(1-AS5)+AS5)/(AQ2*(1-AS6)+AS6))</f>
        <v>1.1886852324914523</v>
      </c>
      <c r="AU31" s="1"/>
      <c r="AV31" s="1"/>
    </row>
    <row r="32" spans="2:48" x14ac:dyDescent="0.2">
      <c r="D32" s="13" t="s">
        <v>39</v>
      </c>
      <c r="E32" s="13">
        <v>2.46E-2</v>
      </c>
      <c r="F32" s="13">
        <v>5.04E-2</v>
      </c>
      <c r="L32" s="1"/>
      <c r="M32" s="1"/>
      <c r="N32" s="1"/>
      <c r="O32" s="13" t="s">
        <v>39</v>
      </c>
      <c r="P32" s="1">
        <f>F32*(O14/O15)*((M2*(1-O15)+O15)/(M2*(1-O14)+O14))</f>
        <v>9.9657655614289686E-2</v>
      </c>
      <c r="Q32" s="1"/>
      <c r="R32" s="1"/>
      <c r="S32" s="1"/>
      <c r="T32" s="1"/>
      <c r="U32" s="1"/>
      <c r="V32" s="1"/>
      <c r="W32" s="13" t="s">
        <v>39</v>
      </c>
      <c r="X32" s="1">
        <f>F32*(W14/W15)*((U2*(1-W15)+W15)/(U2*(1-W14)+W14))</f>
        <v>6.0401548683510477E-2</v>
      </c>
      <c r="Y32" s="1"/>
      <c r="Z32" s="1"/>
      <c r="AA32" s="1"/>
      <c r="AB32" s="1"/>
      <c r="AC32" s="1"/>
      <c r="AD32" s="1"/>
      <c r="AE32" s="13" t="s">
        <v>39</v>
      </c>
      <c r="AF32" s="1">
        <f>X32*(AE14/AE15)*((AC2*(1-AE15)+AE15)/(AC2*(1-AE14)+AE14))</f>
        <v>9.7396897983310776E-2</v>
      </c>
      <c r="AG32" s="1"/>
      <c r="AH32" s="1"/>
      <c r="AI32" s="1"/>
      <c r="AJ32" s="1"/>
      <c r="AK32" s="1"/>
      <c r="AL32" s="13" t="s">
        <v>39</v>
      </c>
      <c r="AM32" s="1">
        <f>AF32*(AL14/AL15)*((AJ2*(1-AL15)+AL15)/(AJ2*(1-AL14)+AL14))</f>
        <v>0.29189261957787294</v>
      </c>
      <c r="AN32" s="1"/>
      <c r="AO32" s="1"/>
      <c r="AP32" s="1"/>
      <c r="AQ32" s="1"/>
      <c r="AR32" s="1"/>
      <c r="AS32" s="13" t="s">
        <v>39</v>
      </c>
      <c r="AT32" s="1">
        <f>AM32*(AS14/AS15)*((AQ2*(1-AS15)+AS15)/(AQ2*(1-AS14)+AS14))</f>
        <v>0.83164884714313525</v>
      </c>
      <c r="AU32" s="1"/>
      <c r="AV32" s="1"/>
    </row>
    <row r="33" spans="3:37" ht="28.5" x14ac:dyDescent="0.2">
      <c r="C33" t="s">
        <v>40</v>
      </c>
      <c r="D33" s="18"/>
      <c r="E33" s="18"/>
      <c r="F33" s="18"/>
      <c r="G33" s="18"/>
      <c r="K33" s="32" t="s">
        <v>63</v>
      </c>
      <c r="L33" s="22"/>
      <c r="M33" s="22"/>
      <c r="N33" s="22"/>
      <c r="O33" s="22"/>
      <c r="P33" s="22"/>
      <c r="Q33" s="22"/>
      <c r="R33" s="22"/>
      <c r="S33" s="22"/>
      <c r="T33" s="22" t="s">
        <v>9</v>
      </c>
      <c r="U33" s="22" t="s">
        <v>13</v>
      </c>
      <c r="V33" s="22"/>
      <c r="W33" s="22" t="s">
        <v>14</v>
      </c>
      <c r="X33" s="22" t="s">
        <v>10</v>
      </c>
      <c r="Y33" s="22" t="s">
        <v>12</v>
      </c>
      <c r="Z33" s="22"/>
      <c r="AJ33" s="17"/>
    </row>
    <row r="34" spans="3:37" x14ac:dyDescent="0.2">
      <c r="D34" s="18"/>
      <c r="E34" s="18">
        <f t="shared" ref="E34:E45" si="29">E18/G18</f>
        <v>455.31914893617022</v>
      </c>
      <c r="F34" s="18">
        <f t="shared" ref="F34:F45" si="30">F18/G18</f>
        <v>8.5106382978723416E-2</v>
      </c>
      <c r="G34" s="18"/>
      <c r="L34" s="22"/>
      <c r="M34" s="22"/>
      <c r="N34" s="22"/>
      <c r="O34" s="22"/>
      <c r="P34" s="22"/>
      <c r="Q34" s="22"/>
      <c r="R34" s="22"/>
      <c r="S34" s="22"/>
      <c r="T34" s="22"/>
      <c r="U34" s="22">
        <v>5.0000000000000001E-3</v>
      </c>
      <c r="V34" s="22"/>
      <c r="W34" s="22"/>
      <c r="X34" s="22"/>
      <c r="Y34" s="22"/>
      <c r="Z34" s="22"/>
      <c r="AA34" s="36"/>
      <c r="AB34" s="36"/>
      <c r="AC34" s="36"/>
      <c r="AD34" s="36"/>
    </row>
    <row r="35" spans="3:37" ht="15.75" x14ac:dyDescent="0.2">
      <c r="D35" s="18"/>
      <c r="E35" s="18">
        <f t="shared" si="29"/>
        <v>481.66666666666669</v>
      </c>
      <c r="F35" s="18">
        <f t="shared" si="30"/>
        <v>0.11500000000000002</v>
      </c>
      <c r="G35" s="18"/>
      <c r="L35" s="22"/>
      <c r="M35" s="22"/>
      <c r="N35" s="22"/>
      <c r="O35" s="22"/>
      <c r="P35" s="22"/>
      <c r="Q35" s="22"/>
      <c r="R35" s="22"/>
      <c r="S35" s="22"/>
      <c r="T35" s="22" t="s">
        <v>20</v>
      </c>
      <c r="U35" s="22">
        <f>0.4/0.995</f>
        <v>0.4020100502512563</v>
      </c>
      <c r="V35" s="22" t="s">
        <v>19</v>
      </c>
      <c r="W35" s="22">
        <f>0.402*B3+0.472*C3+0.136*D3</f>
        <v>8.4488000000000011E-3</v>
      </c>
      <c r="X35" s="22">
        <f>X18/(W35+0.005*(1-W35))</f>
        <v>0.33570304915378796</v>
      </c>
      <c r="Y35" s="22">
        <f t="shared" ref="Y35:Y46" si="31">X35/G18</f>
        <v>1.4285236134203743</v>
      </c>
      <c r="Z35" s="22"/>
      <c r="AA35" s="36"/>
      <c r="AB35" s="36"/>
      <c r="AC35" s="36"/>
      <c r="AD35" s="36"/>
      <c r="AE35" s="37"/>
      <c r="AF35" s="37"/>
      <c r="AK35" s="33"/>
    </row>
    <row r="36" spans="3:37" ht="15.75" x14ac:dyDescent="0.2">
      <c r="D36" s="18"/>
      <c r="E36" s="18">
        <f t="shared" si="29"/>
        <v>398.70689655172413</v>
      </c>
      <c r="F36" s="18">
        <f t="shared" si="30"/>
        <v>0.18749999999999997</v>
      </c>
      <c r="G36" s="18"/>
      <c r="L36" s="22"/>
      <c r="M36" s="22"/>
      <c r="N36" s="22"/>
      <c r="O36" s="22"/>
      <c r="P36" s="22"/>
      <c r="Q36" s="22"/>
      <c r="R36" s="22"/>
      <c r="S36" s="22"/>
      <c r="T36" s="22" t="s">
        <v>22</v>
      </c>
      <c r="U36" s="22">
        <f>0.47/0.995</f>
        <v>0.47236180904522612</v>
      </c>
      <c r="V36" s="22" t="s">
        <v>21</v>
      </c>
      <c r="W36" s="22">
        <f t="shared" ref="W36:W47" si="32">0.402*B4+0.472*C4+0.136*D4</f>
        <v>1.0402600000000001E-2</v>
      </c>
      <c r="X36" s="22">
        <f t="shared" ref="X36:X46" si="33">X19/(W36+0.005*(1-W36))</f>
        <v>1.1843990330069492</v>
      </c>
      <c r="Y36" s="22">
        <f t="shared" si="31"/>
        <v>1.9739983883449153</v>
      </c>
      <c r="Z36" s="22"/>
      <c r="AA36" s="36"/>
      <c r="AB36" s="36"/>
      <c r="AC36" s="36"/>
      <c r="AD36" s="36"/>
      <c r="AE36" s="37"/>
      <c r="AF36" s="37"/>
      <c r="AK36" s="33"/>
    </row>
    <row r="37" spans="3:37" ht="15.75" x14ac:dyDescent="0.2">
      <c r="D37" s="18"/>
      <c r="E37" s="18">
        <f t="shared" si="29"/>
        <v>316.99346405228761</v>
      </c>
      <c r="F37" s="18">
        <f t="shared" si="30"/>
        <v>0.30065359477124182</v>
      </c>
      <c r="G37" s="18"/>
      <c r="L37" s="22"/>
      <c r="M37" s="22"/>
      <c r="N37" s="22"/>
      <c r="O37" s="22"/>
      <c r="P37" s="22"/>
      <c r="Q37" s="22"/>
      <c r="R37" s="22"/>
      <c r="S37" s="22"/>
      <c r="T37" s="22" t="s">
        <v>17</v>
      </c>
      <c r="U37" s="22">
        <f>0.135/0.995</f>
        <v>0.135678391959799</v>
      </c>
      <c r="V37" s="22" t="s">
        <v>23</v>
      </c>
      <c r="W37" s="22">
        <f t="shared" si="32"/>
        <v>1.8163600000000002E-2</v>
      </c>
      <c r="X37" s="22">
        <f t="shared" si="33"/>
        <v>1.4548503245467688</v>
      </c>
      <c r="Y37" s="22">
        <f t="shared" si="31"/>
        <v>3.1354532856611392</v>
      </c>
      <c r="Z37" s="22"/>
      <c r="AA37" s="36"/>
      <c r="AB37" s="36"/>
      <c r="AC37" s="36"/>
      <c r="AD37" s="36"/>
      <c r="AE37" s="37"/>
      <c r="AF37" s="37"/>
      <c r="AK37" s="33"/>
    </row>
    <row r="38" spans="3:37" ht="15.75" x14ac:dyDescent="0.2">
      <c r="D38" s="18"/>
      <c r="E38" s="18">
        <f t="shared" si="29"/>
        <v>182.5938566552901</v>
      </c>
      <c r="F38" s="18">
        <f t="shared" si="30"/>
        <v>0.40955631399317405</v>
      </c>
      <c r="G38" s="18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24</v>
      </c>
      <c r="W38" s="22">
        <f t="shared" si="32"/>
        <v>2.8362600000000002E-2</v>
      </c>
      <c r="X38" s="22">
        <f t="shared" si="33"/>
        <v>0.68964422696695771</v>
      </c>
      <c r="Y38" s="22">
        <f t="shared" si="31"/>
        <v>4.5074786076271742</v>
      </c>
      <c r="Z38" s="22"/>
      <c r="AA38" s="36"/>
      <c r="AB38" s="36"/>
      <c r="AC38" s="36"/>
      <c r="AD38" s="36"/>
      <c r="AE38" s="37"/>
      <c r="AF38" s="37"/>
    </row>
    <row r="39" spans="3:37" ht="15.75" x14ac:dyDescent="0.2">
      <c r="D39" s="18"/>
      <c r="E39" s="18">
        <f t="shared" si="29"/>
        <v>173.78640776699029</v>
      </c>
      <c r="F39" s="18">
        <f t="shared" si="30"/>
        <v>0.53398058252427183</v>
      </c>
      <c r="G39" s="18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25</v>
      </c>
      <c r="W39" s="22">
        <f t="shared" si="32"/>
        <v>4.4859200000000009E-2</v>
      </c>
      <c r="X39" s="22">
        <f t="shared" si="33"/>
        <v>0.29756383185949187</v>
      </c>
      <c r="Y39" s="22">
        <f t="shared" si="31"/>
        <v>5.0778810897524211</v>
      </c>
      <c r="Z39" s="22"/>
      <c r="AA39" s="36"/>
      <c r="AB39" s="36"/>
      <c r="AC39" s="36"/>
      <c r="AD39" s="36"/>
      <c r="AE39" s="37"/>
      <c r="AF39" s="37"/>
    </row>
    <row r="40" spans="3:37" ht="15.75" x14ac:dyDescent="0.2">
      <c r="D40" s="18"/>
      <c r="E40" s="18">
        <f t="shared" si="29"/>
        <v>174.4</v>
      </c>
      <c r="F40" s="18">
        <f t="shared" si="30"/>
        <v>0.50666666666666671</v>
      </c>
      <c r="G40" s="18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26</v>
      </c>
      <c r="W40" s="22">
        <f t="shared" si="32"/>
        <v>5.1674999999999999E-2</v>
      </c>
      <c r="X40" s="22">
        <f t="shared" si="33"/>
        <v>1.2670993304073217</v>
      </c>
      <c r="Y40" s="22">
        <f t="shared" si="31"/>
        <v>6.1509676233365136</v>
      </c>
      <c r="Z40" s="22"/>
      <c r="AA40" s="36"/>
      <c r="AB40" s="36"/>
      <c r="AC40" s="36"/>
      <c r="AD40" s="36"/>
      <c r="AE40" s="37"/>
      <c r="AF40" s="37"/>
    </row>
    <row r="41" spans="3:37" ht="15.75" x14ac:dyDescent="0.2">
      <c r="D41" s="18"/>
      <c r="E41" s="18">
        <f t="shared" si="29"/>
        <v>154.33070866141733</v>
      </c>
      <c r="F41" s="18">
        <f t="shared" si="30"/>
        <v>0.51181102362204722</v>
      </c>
      <c r="G41" s="18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27</v>
      </c>
      <c r="W41" s="22">
        <f t="shared" si="32"/>
        <v>5.1730999999999999E-2</v>
      </c>
      <c r="X41" s="22">
        <f t="shared" si="33"/>
        <v>0.21861601265843617</v>
      </c>
      <c r="Y41" s="22">
        <f t="shared" si="31"/>
        <v>5.829760337558298</v>
      </c>
      <c r="Z41" s="22"/>
      <c r="AA41" s="36"/>
      <c r="AB41" s="36"/>
      <c r="AC41" s="36"/>
      <c r="AD41" s="36"/>
      <c r="AE41" s="37"/>
      <c r="AF41" s="37"/>
    </row>
    <row r="42" spans="3:37" ht="15.75" x14ac:dyDescent="0.2">
      <c r="D42" s="18"/>
      <c r="E42" s="18">
        <f t="shared" si="29"/>
        <v>168.67469879518072</v>
      </c>
      <c r="F42" s="18">
        <f t="shared" si="30"/>
        <v>0.5180722891566264</v>
      </c>
      <c r="G42" s="18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28</v>
      </c>
      <c r="W42" s="22">
        <f t="shared" si="32"/>
        <v>5.5947400000000001E-2</v>
      </c>
      <c r="X42" s="22">
        <f t="shared" si="33"/>
        <v>1.43191506062191</v>
      </c>
      <c r="Y42" s="22">
        <f t="shared" si="31"/>
        <v>5.637460868590197</v>
      </c>
      <c r="Z42" s="22"/>
      <c r="AA42" s="36"/>
      <c r="AB42" s="36"/>
      <c r="AC42" s="36"/>
      <c r="AD42" s="36"/>
      <c r="AE42" s="37"/>
      <c r="AF42" s="37"/>
    </row>
    <row r="43" spans="3:37" ht="15.75" x14ac:dyDescent="0.2">
      <c r="D43" s="18"/>
      <c r="E43" s="18">
        <f t="shared" si="29"/>
        <v>176.71755725190837</v>
      </c>
      <c r="F43" s="18">
        <f t="shared" si="30"/>
        <v>0.5725190839694656</v>
      </c>
      <c r="G43" s="18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29</v>
      </c>
      <c r="W43" s="22">
        <f t="shared" si="32"/>
        <v>5.5563000000000001E-2</v>
      </c>
      <c r="X43" s="22">
        <f t="shared" si="33"/>
        <v>0.94973318636581361</v>
      </c>
      <c r="Y43" s="22">
        <f t="shared" si="31"/>
        <v>5.7212842552157444</v>
      </c>
      <c r="Z43" s="22"/>
      <c r="AA43" s="36"/>
      <c r="AB43" s="36"/>
      <c r="AC43" s="36"/>
      <c r="AD43" s="36"/>
      <c r="AE43" s="37"/>
      <c r="AF43" s="37"/>
    </row>
    <row r="44" spans="3:37" ht="15.75" x14ac:dyDescent="0.2">
      <c r="D44" s="18"/>
      <c r="E44" s="18">
        <f t="shared" si="29"/>
        <v>151.78571428571428</v>
      </c>
      <c r="F44" s="18">
        <f t="shared" si="30"/>
        <v>0.51785714285714279</v>
      </c>
      <c r="G44" s="18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30</v>
      </c>
      <c r="W44" s="22">
        <f t="shared" si="32"/>
        <v>5.8923000000000003E-2</v>
      </c>
      <c r="X44" s="22">
        <f t="shared" si="33"/>
        <v>0.15999094371888789</v>
      </c>
      <c r="Y44" s="22">
        <f t="shared" si="31"/>
        <v>6.1065245694232013</v>
      </c>
      <c r="Z44" s="22"/>
      <c r="AA44" s="36"/>
      <c r="AB44" s="36"/>
      <c r="AC44" s="36"/>
      <c r="AD44" s="36"/>
      <c r="AE44" s="37"/>
      <c r="AF44" s="37"/>
    </row>
    <row r="45" spans="3:37" ht="15.75" x14ac:dyDescent="0.2">
      <c r="D45" s="18"/>
      <c r="E45" s="18">
        <f t="shared" si="29"/>
        <v>188.21138211382114</v>
      </c>
      <c r="F45" s="18">
        <f t="shared" si="30"/>
        <v>0.69105691056910568</v>
      </c>
      <c r="G45" s="18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31</v>
      </c>
      <c r="W45" s="22">
        <f t="shared" si="32"/>
        <v>6.3171000000000005E-2</v>
      </c>
      <c r="X45" s="22">
        <f t="shared" si="33"/>
        <v>0.88989948018498843</v>
      </c>
      <c r="Y45" s="22">
        <f t="shared" si="31"/>
        <v>5.2970207153868358</v>
      </c>
      <c r="Z45" s="22"/>
      <c r="AA45" s="36"/>
      <c r="AB45" s="36"/>
      <c r="AC45" s="36"/>
      <c r="AD45" s="36"/>
      <c r="AE45" s="37"/>
      <c r="AF45" s="37"/>
    </row>
    <row r="46" spans="3:37" ht="15.75" x14ac:dyDescent="0.2">
      <c r="D46" s="18"/>
      <c r="E46" s="18"/>
      <c r="F46" s="18"/>
      <c r="G46" s="18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32</v>
      </c>
      <c r="W46" s="22">
        <f t="shared" si="32"/>
        <v>6.7003000000000007E-2</v>
      </c>
      <c r="X46" s="22">
        <f t="shared" si="33"/>
        <v>0.16761196039934936</v>
      </c>
      <c r="Y46" s="22">
        <f t="shared" si="31"/>
        <v>6.8134943251768032</v>
      </c>
      <c r="Z46" s="22"/>
      <c r="AA46" s="36"/>
      <c r="AB46" s="36"/>
      <c r="AC46" s="36"/>
      <c r="AD46" s="36"/>
      <c r="AE46" s="37"/>
      <c r="AF46" s="37"/>
    </row>
    <row r="47" spans="3:37" x14ac:dyDescent="0.2"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33</v>
      </c>
      <c r="W47" s="22">
        <f t="shared" si="32"/>
        <v>4.0428000000000006E-2</v>
      </c>
      <c r="X47" s="22"/>
      <c r="Y47" s="22"/>
      <c r="Z47" s="22"/>
    </row>
    <row r="48" spans="3:37" x14ac:dyDescent="0.2"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 t="s">
        <v>35</v>
      </c>
      <c r="X48" s="22">
        <f>X31*((U34*(1-W37)+W37)/(U34*(1-W38)+W38))</f>
        <v>0.27165070672998493</v>
      </c>
      <c r="Y48" s="22"/>
      <c r="Z48" s="22"/>
    </row>
    <row r="49" spans="8:46" x14ac:dyDescent="0.2"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 t="s">
        <v>39</v>
      </c>
      <c r="X49" s="22">
        <f>X32*((U34*(1-W47)+W47)/(U34*(1-W46)+W46))</f>
        <v>3.8116210251252766E-2</v>
      </c>
      <c r="Y49" s="22"/>
      <c r="Z49" s="22"/>
    </row>
    <row r="50" spans="8:46" x14ac:dyDescent="0.2">
      <c r="H50" t="s">
        <v>66</v>
      </c>
      <c r="I50" t="s">
        <v>67</v>
      </c>
      <c r="J50" t="s">
        <v>68</v>
      </c>
      <c r="L50" s="26" t="s">
        <v>65</v>
      </c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</row>
    <row r="51" spans="8:46" x14ac:dyDescent="0.2">
      <c r="I51">
        <v>3.9133599999999999</v>
      </c>
      <c r="J51">
        <v>9.1387800000000006</v>
      </c>
      <c r="L51" s="26"/>
      <c r="M51" s="26" t="s">
        <v>64</v>
      </c>
      <c r="N51" s="26"/>
      <c r="O51" s="26" t="s">
        <v>47</v>
      </c>
      <c r="P51" s="26" t="s">
        <v>74</v>
      </c>
      <c r="Q51" s="26" t="s">
        <v>48</v>
      </c>
      <c r="R51" s="26" t="s">
        <v>49</v>
      </c>
      <c r="S51" s="26" t="s">
        <v>58</v>
      </c>
      <c r="T51" s="26" t="s">
        <v>50</v>
      </c>
      <c r="U51" s="34" t="s">
        <v>51</v>
      </c>
      <c r="V51" s="26" t="s">
        <v>52</v>
      </c>
      <c r="W51" s="26" t="s">
        <v>53</v>
      </c>
      <c r="X51" s="26" t="s">
        <v>59</v>
      </c>
      <c r="Y51" s="26"/>
      <c r="AB51" s="25"/>
      <c r="AT51" s="17"/>
    </row>
    <row r="52" spans="8:46" x14ac:dyDescent="0.2">
      <c r="I52">
        <v>6.28566</v>
      </c>
      <c r="J52">
        <v>9.2572600000000005</v>
      </c>
      <c r="L52" s="26" t="s">
        <v>19</v>
      </c>
      <c r="M52" s="26">
        <v>4.0000000000000002E-4</v>
      </c>
      <c r="N52" s="26"/>
      <c r="O52" s="26">
        <f t="shared" ref="O52:O63" si="34">Y35*0.9^(M52-1)</f>
        <v>1.5871815674390728</v>
      </c>
      <c r="P52" s="26">
        <f>Y35*0.85^(B3-1)</f>
        <v>1.6805067665734141</v>
      </c>
      <c r="Q52" s="26">
        <f t="shared" ref="Q52:Q63" si="35">Y35*0.8^(M52-1)</f>
        <v>1.7854951409721926</v>
      </c>
      <c r="R52" s="26">
        <f t="shared" ref="R52:R63" si="36">Y35*0.7^(M52-1)</f>
        <v>2.0404568864662727</v>
      </c>
      <c r="S52" s="26">
        <f t="shared" ref="S52:S63" si="37">Y35*0.6^(M52-1)</f>
        <v>2.3803862544217091</v>
      </c>
      <c r="T52" s="26">
        <f t="shared" ref="T52:T63" si="38">Y35*0.5^(M52-1)</f>
        <v>2.8562551949527522</v>
      </c>
      <c r="U52" s="26">
        <f t="shared" ref="U52:U63" si="39">Y35*0.4^(M52-1)</f>
        <v>3.5700003304488499</v>
      </c>
      <c r="V52" s="26">
        <f t="shared" ref="V52:V63" si="40">Y35*0.3^(H52-1)</f>
        <v>4.7617453780679142</v>
      </c>
      <c r="W52" s="26">
        <f t="shared" ref="W52:W63" si="41">Y35*0.2^(M52-1)</f>
        <v>7.1380213067762073</v>
      </c>
      <c r="X52" s="26">
        <f t="shared" ref="X52:X63" si="42">Y35*0.1^(M52-1)</f>
        <v>14.272085002744268</v>
      </c>
      <c r="Y52" s="26"/>
    </row>
    <row r="53" spans="8:46" x14ac:dyDescent="0.2">
      <c r="I53">
        <v>7.6968699999999997</v>
      </c>
      <c r="J53">
        <v>9.7866</v>
      </c>
      <c r="L53" s="26" t="s">
        <v>21</v>
      </c>
      <c r="M53" s="26">
        <v>5.0000000000000001E-4</v>
      </c>
      <c r="N53" s="26"/>
      <c r="O53" s="26">
        <f t="shared" si="34"/>
        <v>2.1932160003777166</v>
      </c>
      <c r="P53" s="26">
        <f t="shared" ref="P53:P63" si="43">Y36*0.85^(B4-1)</f>
        <v>2.3221623397759314</v>
      </c>
      <c r="Q53" s="26">
        <f t="shared" si="35"/>
        <v>2.4672226976569376</v>
      </c>
      <c r="R53" s="26">
        <f t="shared" si="36"/>
        <v>2.8194948312165335</v>
      </c>
      <c r="S53" s="26">
        <f t="shared" si="37"/>
        <v>3.2891571137466697</v>
      </c>
      <c r="T53" s="26">
        <f t="shared" si="38"/>
        <v>3.9466287423484991</v>
      </c>
      <c r="U53" s="26">
        <f t="shared" si="39"/>
        <v>4.9327355431690938</v>
      </c>
      <c r="V53" s="26">
        <f t="shared" si="40"/>
        <v>6.5799946278163848</v>
      </c>
      <c r="W53" s="26">
        <f t="shared" si="41"/>
        <v>9.8620525670224648</v>
      </c>
      <c r="X53" s="26">
        <f t="shared" si="42"/>
        <v>19.717270464539947</v>
      </c>
      <c r="Y53" s="26"/>
    </row>
    <row r="54" spans="8:46" x14ac:dyDescent="0.2">
      <c r="I54">
        <v>11.977650000000001</v>
      </c>
      <c r="J54">
        <v>12.56443</v>
      </c>
      <c r="L54" s="26" t="s">
        <v>23</v>
      </c>
      <c r="M54" s="26">
        <v>1E-3</v>
      </c>
      <c r="N54" s="26"/>
      <c r="O54" s="26">
        <f t="shared" si="34"/>
        <v>3.4834699445428994</v>
      </c>
      <c r="P54" s="26">
        <f t="shared" si="43"/>
        <v>3.6881691253586442</v>
      </c>
      <c r="Q54" s="26">
        <f t="shared" si="35"/>
        <v>3.9184421344200917</v>
      </c>
      <c r="R54" s="26">
        <f t="shared" si="36"/>
        <v>4.4776216392200698</v>
      </c>
      <c r="S54" s="26">
        <f t="shared" si="37"/>
        <v>5.2230867079967691</v>
      </c>
      <c r="T54" s="26">
        <f t="shared" si="38"/>
        <v>6.2665614162027925</v>
      </c>
      <c r="U54" s="26">
        <f t="shared" si="39"/>
        <v>7.8314540367972914</v>
      </c>
      <c r="V54" s="26">
        <f t="shared" si="40"/>
        <v>10.451510952203797</v>
      </c>
      <c r="W54" s="26">
        <f t="shared" si="41"/>
        <v>15.65205513480049</v>
      </c>
      <c r="X54" s="26">
        <f t="shared" si="42"/>
        <v>31.282419432167533</v>
      </c>
      <c r="Y54" s="26"/>
    </row>
    <row r="55" spans="8:46" x14ac:dyDescent="0.2">
      <c r="I55">
        <v>8.6360799999999998</v>
      </c>
      <c r="J55">
        <v>5.5641400000000001</v>
      </c>
      <c r="L55" s="26" t="s">
        <v>24</v>
      </c>
      <c r="M55" s="26">
        <v>1.2999999999999999E-3</v>
      </c>
      <c r="N55" s="26"/>
      <c r="O55" s="26">
        <f t="shared" si="34"/>
        <v>5.007623629505324</v>
      </c>
      <c r="P55" s="26">
        <f t="shared" si="43"/>
        <v>5.3017957558149442</v>
      </c>
      <c r="Q55" s="26">
        <f t="shared" si="35"/>
        <v>5.632714047552974</v>
      </c>
      <c r="R55" s="26">
        <f t="shared" si="36"/>
        <v>6.4362701085933542</v>
      </c>
      <c r="S55" s="26">
        <f t="shared" si="37"/>
        <v>7.5074771750808686</v>
      </c>
      <c r="T55" s="26">
        <f t="shared" si="38"/>
        <v>9.0068375742432227</v>
      </c>
      <c r="U55" s="26">
        <f t="shared" si="39"/>
        <v>11.255281487664027</v>
      </c>
      <c r="V55" s="26">
        <f t="shared" si="40"/>
        <v>15.024928692090581</v>
      </c>
      <c r="W55" s="26">
        <f t="shared" si="41"/>
        <v>22.490288038248075</v>
      </c>
      <c r="X55" s="26">
        <f t="shared" si="42"/>
        <v>44.940062725018812</v>
      </c>
      <c r="Y55" s="26"/>
    </row>
    <row r="56" spans="8:46" x14ac:dyDescent="0.2">
      <c r="I56">
        <v>12.47222</v>
      </c>
      <c r="J56">
        <v>11.71414</v>
      </c>
      <c r="L56" s="26" t="s">
        <v>25</v>
      </c>
      <c r="M56" s="26">
        <v>1.6000000000000001E-3</v>
      </c>
      <c r="N56" s="26"/>
      <c r="O56" s="26">
        <f t="shared" si="34"/>
        <v>5.6411390542536051</v>
      </c>
      <c r="P56" s="26">
        <f t="shared" si="43"/>
        <v>5.97242453944917</v>
      </c>
      <c r="Q56" s="26">
        <f t="shared" si="35"/>
        <v>6.345085573852403</v>
      </c>
      <c r="R56" s="26">
        <f t="shared" si="36"/>
        <v>7.2499772453445868</v>
      </c>
      <c r="S56" s="26">
        <f t="shared" si="37"/>
        <v>8.4562208774952694</v>
      </c>
      <c r="T56" s="26">
        <f t="shared" si="38"/>
        <v>10.144505322111945</v>
      </c>
      <c r="U56" s="26">
        <f t="shared" si="39"/>
        <v>12.676105098857239</v>
      </c>
      <c r="V56" s="26">
        <f t="shared" si="40"/>
        <v>16.926270299174739</v>
      </c>
      <c r="W56" s="26">
        <f t="shared" si="41"/>
        <v>25.324109282219791</v>
      </c>
      <c r="X56" s="26">
        <f t="shared" si="42"/>
        <v>50.592079028725074</v>
      </c>
      <c r="Y56" s="26"/>
    </row>
    <row r="57" spans="8:46" x14ac:dyDescent="0.2">
      <c r="I57">
        <v>12.88204</v>
      </c>
      <c r="J57">
        <v>10.184229999999999</v>
      </c>
      <c r="L57" s="26" t="s">
        <v>26</v>
      </c>
      <c r="M57" s="26">
        <v>1.5E-3</v>
      </c>
      <c r="N57" s="26"/>
      <c r="O57" s="26">
        <f t="shared" si="34"/>
        <v>6.8333284405195469</v>
      </c>
      <c r="P57" s="26">
        <f t="shared" si="43"/>
        <v>7.2346686271540523</v>
      </c>
      <c r="Q57" s="26">
        <f t="shared" si="35"/>
        <v>7.686136430898336</v>
      </c>
      <c r="R57" s="26">
        <f t="shared" si="36"/>
        <v>8.7823966563606</v>
      </c>
      <c r="S57" s="26">
        <f t="shared" si="37"/>
        <v>10.243760534580254</v>
      </c>
      <c r="T57" s="26">
        <f t="shared" si="38"/>
        <v>12.289151316086254</v>
      </c>
      <c r="U57" s="26">
        <f t="shared" si="39"/>
        <v>15.35629829639004</v>
      </c>
      <c r="V57" s="26">
        <f t="shared" si="40"/>
        <v>20.503225411121711</v>
      </c>
      <c r="W57" s="26">
        <f t="shared" si="41"/>
        <v>30.680680662878906</v>
      </c>
      <c r="X57" s="26">
        <f t="shared" si="42"/>
        <v>61.297595798776157</v>
      </c>
      <c r="Y57" s="26"/>
    </row>
    <row r="58" spans="8:46" x14ac:dyDescent="0.2">
      <c r="I58">
        <v>14.02055</v>
      </c>
      <c r="J58">
        <v>10.95481</v>
      </c>
      <c r="L58" s="26" t="s">
        <v>27</v>
      </c>
      <c r="M58" s="26">
        <v>1.5E-3</v>
      </c>
      <c r="N58" s="26"/>
      <c r="O58" s="26">
        <f t="shared" si="34"/>
        <v>6.476487856140114</v>
      </c>
      <c r="P58" s="26">
        <f t="shared" si="43"/>
        <v>6.856869813124133</v>
      </c>
      <c r="Q58" s="26">
        <f t="shared" si="35"/>
        <v>7.2847616924387761</v>
      </c>
      <c r="R58" s="26">
        <f t="shared" si="36"/>
        <v>8.3237745394249441</v>
      </c>
      <c r="S58" s="26">
        <f t="shared" si="37"/>
        <v>9.708825103447273</v>
      </c>
      <c r="T58" s="26">
        <f t="shared" si="38"/>
        <v>11.647404329192401</v>
      </c>
      <c r="U58" s="26">
        <f t="shared" si="39"/>
        <v>14.554383021032359</v>
      </c>
      <c r="V58" s="26">
        <f t="shared" si="40"/>
        <v>19.432534458527662</v>
      </c>
      <c r="W58" s="26">
        <f t="shared" si="41"/>
        <v>29.078516781514516</v>
      </c>
      <c r="X58" s="26">
        <f t="shared" si="42"/>
        <v>58.096597910808917</v>
      </c>
      <c r="Y58" s="26"/>
    </row>
    <row r="59" spans="8:46" x14ac:dyDescent="0.2">
      <c r="I59">
        <v>13.45637</v>
      </c>
      <c r="J59">
        <v>12.940390000000001</v>
      </c>
      <c r="L59" s="26" t="s">
        <v>28</v>
      </c>
      <c r="M59" s="26">
        <v>1.6999999999999999E-3</v>
      </c>
      <c r="N59" s="26"/>
      <c r="O59" s="26">
        <f t="shared" si="34"/>
        <v>6.2627235746452046</v>
      </c>
      <c r="P59" s="26">
        <f t="shared" si="43"/>
        <v>6.630474769117658</v>
      </c>
      <c r="Q59" s="26">
        <f t="shared" si="35"/>
        <v>7.0441534212424148</v>
      </c>
      <c r="R59" s="26">
        <f t="shared" si="36"/>
        <v>8.0486337784864244</v>
      </c>
      <c r="S59" s="26">
        <f t="shared" si="37"/>
        <v>9.3876123375991192</v>
      </c>
      <c r="T59" s="26">
        <f t="shared" si="38"/>
        <v>11.261643755410686</v>
      </c>
      <c r="U59" s="26">
        <f t="shared" si="39"/>
        <v>14.071715660232657</v>
      </c>
      <c r="V59" s="26">
        <f t="shared" si="40"/>
        <v>18.791536228633991</v>
      </c>
      <c r="W59" s="26">
        <f t="shared" si="41"/>
        <v>28.110288033379085</v>
      </c>
      <c r="X59" s="26">
        <f t="shared" si="42"/>
        <v>56.154367555382422</v>
      </c>
      <c r="Y59" s="26"/>
    </row>
    <row r="60" spans="8:46" x14ac:dyDescent="0.2">
      <c r="I60">
        <v>12.03811</v>
      </c>
      <c r="J60">
        <v>11.91006</v>
      </c>
      <c r="L60" s="26" t="s">
        <v>29</v>
      </c>
      <c r="M60" s="26">
        <v>1.5E-3</v>
      </c>
      <c r="N60" s="26"/>
      <c r="O60" s="26">
        <f t="shared" si="34"/>
        <v>6.3559779227476456</v>
      </c>
      <c r="P60" s="26">
        <f t="shared" si="43"/>
        <v>6.7292819996648658</v>
      </c>
      <c r="Q60" s="26">
        <f t="shared" si="35"/>
        <v>7.1492119676749892</v>
      </c>
      <c r="R60" s="26">
        <f t="shared" si="36"/>
        <v>8.1688915939765057</v>
      </c>
      <c r="S60" s="26">
        <f t="shared" si="37"/>
        <v>9.5281701107221171</v>
      </c>
      <c r="T60" s="26">
        <f t="shared" si="38"/>
        <v>11.430677616955089</v>
      </c>
      <c r="U60" s="26">
        <f t="shared" si="39"/>
        <v>14.283565292752327</v>
      </c>
      <c r="V60" s="26">
        <f t="shared" si="40"/>
        <v>19.070947517385815</v>
      </c>
      <c r="W60" s="26">
        <f t="shared" si="41"/>
        <v>28.537444181931111</v>
      </c>
      <c r="X60" s="26">
        <f t="shared" si="42"/>
        <v>57.015577255775497</v>
      </c>
      <c r="Y60" s="26"/>
    </row>
    <row r="61" spans="8:46" x14ac:dyDescent="0.2">
      <c r="I61">
        <v>13.55124</v>
      </c>
      <c r="J61">
        <v>9.2362699999999993</v>
      </c>
      <c r="L61" s="26" t="s">
        <v>30</v>
      </c>
      <c r="M61" s="26">
        <v>1.5E-3</v>
      </c>
      <c r="N61" s="26"/>
      <c r="O61" s="26">
        <f t="shared" si="34"/>
        <v>6.7839550731265561</v>
      </c>
      <c r="P61" s="26">
        <f t="shared" si="43"/>
        <v>7.182395426004093</v>
      </c>
      <c r="Q61" s="26">
        <f t="shared" si="35"/>
        <v>7.6306012051092278</v>
      </c>
      <c r="R61" s="26">
        <f t="shared" si="36"/>
        <v>8.7189405382360494</v>
      </c>
      <c r="S61" s="26">
        <f t="shared" si="37"/>
        <v>10.169745512945909</v>
      </c>
      <c r="T61" s="26">
        <f t="shared" si="38"/>
        <v>12.200357576965024</v>
      </c>
      <c r="U61" s="26">
        <f t="shared" si="39"/>
        <v>15.245343267053507</v>
      </c>
      <c r="V61" s="26">
        <f t="shared" si="40"/>
        <v>20.355081898077337</v>
      </c>
      <c r="W61" s="26">
        <f t="shared" si="41"/>
        <v>30.459001208800132</v>
      </c>
      <c r="X61" s="26">
        <f t="shared" si="42"/>
        <v>60.854697620527624</v>
      </c>
      <c r="Y61" s="26"/>
    </row>
    <row r="62" spans="8:46" x14ac:dyDescent="0.2">
      <c r="I62">
        <v>11.076560000000001</v>
      </c>
      <c r="J62">
        <v>8.9791600000000003</v>
      </c>
      <c r="L62" s="26" t="s">
        <v>31</v>
      </c>
      <c r="M62" s="26">
        <v>1.5E-3</v>
      </c>
      <c r="N62" s="26"/>
      <c r="O62" s="26">
        <f t="shared" si="34"/>
        <v>5.8846484847598415</v>
      </c>
      <c r="P62" s="26">
        <f t="shared" si="43"/>
        <v>6.2302700865472724</v>
      </c>
      <c r="Q62" s="26">
        <f t="shared" si="35"/>
        <v>6.6190600225714311</v>
      </c>
      <c r="R62" s="26">
        <f t="shared" si="36"/>
        <v>7.5631250021523782</v>
      </c>
      <c r="S62" s="26">
        <f t="shared" si="37"/>
        <v>8.8216058152002326</v>
      </c>
      <c r="T62" s="26">
        <f t="shared" si="38"/>
        <v>10.583032310048456</v>
      </c>
      <c r="U62" s="26">
        <f t="shared" si="39"/>
        <v>13.224363249617358</v>
      </c>
      <c r="V62" s="26">
        <f t="shared" si="40"/>
        <v>17.656735717956121</v>
      </c>
      <c r="W62" s="26">
        <f t="shared" si="41"/>
        <v>26.4212414997696</v>
      </c>
      <c r="X62" s="26">
        <f t="shared" si="42"/>
        <v>52.78757012435711</v>
      </c>
      <c r="Y62" s="26"/>
    </row>
    <row r="63" spans="8:46" x14ac:dyDescent="0.2">
      <c r="L63" s="26" t="s">
        <v>32</v>
      </c>
      <c r="M63" s="26">
        <v>1.5E-3</v>
      </c>
      <c r="N63" s="26"/>
      <c r="O63" s="26">
        <f t="shared" si="34"/>
        <v>7.5693528892766198</v>
      </c>
      <c r="P63" s="26">
        <f t="shared" si="43"/>
        <v>8.0139218175416485</v>
      </c>
      <c r="Q63" s="26">
        <f t="shared" si="35"/>
        <v>8.5140176572825741</v>
      </c>
      <c r="R63" s="26">
        <f t="shared" si="36"/>
        <v>9.7283571372638562</v>
      </c>
      <c r="S63" s="26">
        <f t="shared" si="37"/>
        <v>11.347125939344942</v>
      </c>
      <c r="T63" s="26">
        <f t="shared" si="38"/>
        <v>13.612827750176541</v>
      </c>
      <c r="U63" s="26">
        <f t="shared" si="39"/>
        <v>17.010340113190274</v>
      </c>
      <c r="V63" s="26">
        <f t="shared" si="40"/>
        <v>22.711647750589346</v>
      </c>
      <c r="W63" s="26">
        <f t="shared" si="41"/>
        <v>33.985326600645415</v>
      </c>
      <c r="X63" s="26">
        <f t="shared" si="42"/>
        <v>67.900019427413838</v>
      </c>
      <c r="Y63" s="26"/>
    </row>
    <row r="64" spans="8:46" x14ac:dyDescent="0.2"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CDFC7-DF85-4AF0-90A1-A2F1DFB73AD6}">
  <dimension ref="A1:AX91"/>
  <sheetViews>
    <sheetView tabSelected="1" topLeftCell="F31" zoomScaleNormal="100" workbookViewId="0">
      <selection activeCell="Z58" sqref="Z58"/>
    </sheetView>
  </sheetViews>
  <sheetFormatPr defaultRowHeight="14.25" x14ac:dyDescent="0.2"/>
  <cols>
    <col min="4" max="4" width="13.25" customWidth="1"/>
    <col min="7" max="7" width="12.875" customWidth="1"/>
    <col min="10" max="10" width="9.5" bestFit="1" customWidth="1"/>
    <col min="11" max="11" width="8.875" customWidth="1"/>
    <col min="12" max="12" width="16.25" customWidth="1"/>
    <col min="15" max="15" width="14.875" customWidth="1"/>
    <col min="16" max="16" width="12.75" bestFit="1" customWidth="1"/>
    <col min="17" max="17" width="9.5" bestFit="1" customWidth="1"/>
    <col min="18" max="18" width="12.75" bestFit="1" customWidth="1"/>
    <col min="19" max="19" width="9.5" bestFit="1" customWidth="1"/>
    <col min="22" max="23" width="12.75" bestFit="1" customWidth="1"/>
    <col min="24" max="24" width="10.5" bestFit="1" customWidth="1"/>
    <col min="25" max="25" width="12.75" bestFit="1" customWidth="1"/>
    <col min="28" max="28" width="12.75" bestFit="1" customWidth="1"/>
    <col min="29" max="29" width="13" customWidth="1"/>
    <col min="30" max="31" width="12.75" bestFit="1" customWidth="1"/>
    <col min="32" max="32" width="13.875" customWidth="1"/>
    <col min="33" max="35" width="12.75" bestFit="1" customWidth="1"/>
    <col min="36" max="41" width="12.75" customWidth="1"/>
    <col min="42" max="43" width="12.75" bestFit="1" customWidth="1"/>
    <col min="46" max="46" width="12.75" bestFit="1" customWidth="1"/>
    <col min="48" max="48" width="13" bestFit="1" customWidth="1"/>
    <col min="49" max="49" width="10.5" bestFit="1" customWidth="1"/>
  </cols>
  <sheetData>
    <row r="1" spans="1:50" x14ac:dyDescent="0.2">
      <c r="A1" s="1"/>
      <c r="B1" s="2">
        <v>0.38</v>
      </c>
      <c r="C1" s="2">
        <v>0.45</v>
      </c>
      <c r="D1" s="2">
        <v>0.14000000000000001</v>
      </c>
      <c r="E1" s="2">
        <v>0.03</v>
      </c>
      <c r="F1" s="1"/>
      <c r="G1" s="1"/>
      <c r="H1" s="1"/>
      <c r="I1" s="1"/>
      <c r="J1" s="1"/>
      <c r="K1" s="3" t="s">
        <v>1</v>
      </c>
      <c r="L1" s="4" t="s">
        <v>2</v>
      </c>
      <c r="M1" s="5" t="s">
        <v>3</v>
      </c>
      <c r="N1" s="1"/>
      <c r="O1" s="1" t="s">
        <v>4</v>
      </c>
      <c r="P1" s="1" t="s">
        <v>5</v>
      </c>
      <c r="Q1" s="6" t="s">
        <v>6</v>
      </c>
      <c r="R1" s="1"/>
      <c r="S1" s="5" t="s">
        <v>3</v>
      </c>
      <c r="T1" s="1"/>
      <c r="U1" s="1" t="s">
        <v>4</v>
      </c>
      <c r="V1" s="1" t="s">
        <v>9</v>
      </c>
      <c r="W1" s="7" t="s">
        <v>6</v>
      </c>
      <c r="X1" s="1"/>
      <c r="Y1" s="5" t="s">
        <v>3</v>
      </c>
      <c r="Z1" s="1"/>
      <c r="AA1" s="1" t="s">
        <v>4</v>
      </c>
      <c r="AB1" s="1" t="s">
        <v>9</v>
      </c>
      <c r="AC1" s="1" t="s">
        <v>11</v>
      </c>
      <c r="AD1" s="1"/>
      <c r="AE1" s="39" t="s">
        <v>3</v>
      </c>
      <c r="AF1" s="1"/>
      <c r="AG1" s="1" t="s">
        <v>4</v>
      </c>
      <c r="AH1" s="1" t="s">
        <v>9</v>
      </c>
      <c r="AI1" s="40" t="s">
        <v>6</v>
      </c>
      <c r="AJ1" s="4"/>
      <c r="AK1" s="8" t="s">
        <v>13</v>
      </c>
      <c r="AL1" s="4"/>
      <c r="AM1" s="1" t="s">
        <v>14</v>
      </c>
      <c r="AN1" s="40" t="s">
        <v>9</v>
      </c>
      <c r="AO1" s="40" t="s">
        <v>11</v>
      </c>
      <c r="AP1" s="1"/>
      <c r="AQ1" s="5" t="s">
        <v>3</v>
      </c>
      <c r="AR1" s="1"/>
      <c r="AS1" s="6" t="s">
        <v>4</v>
      </c>
      <c r="AT1" s="7" t="s">
        <v>9</v>
      </c>
      <c r="AU1" s="1" t="s">
        <v>11</v>
      </c>
      <c r="AV1" s="7"/>
      <c r="AW1" s="7"/>
      <c r="AX1" s="1"/>
    </row>
    <row r="2" spans="1:50" x14ac:dyDescent="0.2">
      <c r="A2" s="1"/>
      <c r="B2" s="1" t="s">
        <v>15</v>
      </c>
      <c r="C2" s="1" t="s">
        <v>16</v>
      </c>
      <c r="D2" s="1" t="s">
        <v>17</v>
      </c>
      <c r="E2" s="1" t="s">
        <v>18</v>
      </c>
      <c r="F2" s="1"/>
      <c r="G2" s="1"/>
      <c r="H2" s="1"/>
      <c r="I2" s="1"/>
      <c r="J2" s="1"/>
      <c r="L2" s="1"/>
      <c r="M2" s="5">
        <v>0.02</v>
      </c>
      <c r="N2" s="1"/>
      <c r="O2" s="1"/>
      <c r="P2" s="1"/>
      <c r="Q2" s="1"/>
      <c r="R2" s="1"/>
      <c r="S2" s="5">
        <v>0.04</v>
      </c>
      <c r="T2" s="1"/>
      <c r="U2" s="1"/>
      <c r="V2" s="1"/>
      <c r="W2" s="1"/>
      <c r="X2" s="1"/>
      <c r="Y2" s="5">
        <v>0.1</v>
      </c>
      <c r="Z2" s="1"/>
      <c r="AA2" s="1"/>
      <c r="AB2" s="1"/>
      <c r="AC2" s="1"/>
      <c r="AD2" s="1"/>
      <c r="AE2" s="39">
        <v>0.17</v>
      </c>
      <c r="AF2" s="1"/>
      <c r="AG2" s="1"/>
      <c r="AH2" s="1"/>
      <c r="AI2" s="1"/>
      <c r="AJ2" s="1"/>
      <c r="AK2" s="9">
        <v>0.2</v>
      </c>
      <c r="AL2" s="1"/>
      <c r="AM2" s="1"/>
      <c r="AN2" s="1"/>
      <c r="AO2" s="1"/>
      <c r="AP2" s="1"/>
      <c r="AQ2" s="5">
        <v>0.25</v>
      </c>
      <c r="AR2" s="1"/>
      <c r="AS2" s="1"/>
      <c r="AT2" s="1"/>
      <c r="AU2" s="1"/>
      <c r="AV2" s="1"/>
      <c r="AW2" s="1"/>
      <c r="AX2" s="1"/>
    </row>
    <row r="3" spans="1:50" x14ac:dyDescent="0.2">
      <c r="A3" s="1" t="s">
        <v>19</v>
      </c>
      <c r="B3" s="1">
        <v>4.0000000000000002E-4</v>
      </c>
      <c r="C3" s="1">
        <v>2E-3</v>
      </c>
      <c r="D3" s="1">
        <v>5.3999999999999999E-2</v>
      </c>
      <c r="E3" s="1">
        <v>0.01</v>
      </c>
      <c r="F3" s="1"/>
      <c r="G3" s="1"/>
      <c r="H3" s="1"/>
      <c r="I3" s="1"/>
      <c r="J3" s="1"/>
      <c r="L3" s="1" t="s">
        <v>15</v>
      </c>
      <c r="M3" s="10">
        <f>0.38/(0.45+0.38+0.14+0.01)</f>
        <v>0.38775510204081631</v>
      </c>
      <c r="N3" s="1" t="s">
        <v>19</v>
      </c>
      <c r="O3" s="1">
        <f t="shared" ref="O3:O15" si="0">0.39*B3+0.46*C3+0.14*D3*0.01*E3</f>
        <v>1.0767560000000001E-3</v>
      </c>
      <c r="P3" s="1">
        <f>H18/(O3+0.02*(1-O3))</f>
        <v>29.639099145845666</v>
      </c>
      <c r="Q3" s="1">
        <f t="shared" ref="Q3:Q14" si="1">P3/I18</f>
        <v>126.12382615253476</v>
      </c>
      <c r="R3" s="1" t="s">
        <v>15</v>
      </c>
      <c r="S3" s="10">
        <f>0.38/(0.45+0.38+0.13)</f>
        <v>0.39583333333333331</v>
      </c>
      <c r="T3" s="1" t="s">
        <v>19</v>
      </c>
      <c r="U3" s="1">
        <f t="shared" ref="U3:U15" si="2">0.4*B3+0.47*C3+0.14*D3</f>
        <v>8.660000000000001E-3</v>
      </c>
      <c r="V3" s="1">
        <f t="shared" ref="V3:V15" si="3">H18/(U3+0.05*(1-U3))</f>
        <v>10.717670139282463</v>
      </c>
      <c r="W3" s="1">
        <f t="shared" ref="W3:W14" si="4">V3/I18</f>
        <v>45.607106975670057</v>
      </c>
      <c r="X3" s="1" t="s">
        <v>15</v>
      </c>
      <c r="Y3" s="10">
        <f>0.38/(0.45+0.38+0.07)</f>
        <v>0.42222222222222217</v>
      </c>
      <c r="Z3" s="1" t="s">
        <v>19</v>
      </c>
      <c r="AA3" s="1">
        <f t="shared" ref="AA3:AA15" si="5">0.42*B3+0.5*C3+0.08*D3</f>
        <v>5.4879999999999998E-3</v>
      </c>
      <c r="AB3" s="1">
        <f t="shared" ref="AB3:AB15" si="6">H18/(AA3+0.1*(1-AA3))</f>
        <v>5.9468509308247048</v>
      </c>
      <c r="AC3" s="1">
        <f t="shared" ref="AC3:AC14" si="7">AB3/I18</f>
        <v>25.305748641807256</v>
      </c>
      <c r="AD3" s="1" t="s">
        <v>15</v>
      </c>
      <c r="AE3" s="11">
        <f>0.38/(0.45+0.38)</f>
        <v>0.45783132530120479</v>
      </c>
      <c r="AF3" s="1" t="s">
        <v>19</v>
      </c>
      <c r="AG3" s="1">
        <f>0.458*B3+0.542*C3</f>
        <v>1.2672E-3</v>
      </c>
      <c r="AH3" s="1">
        <f>H18/(AG3+0.17*(1-AG3))</f>
        <v>3.6483560346079065</v>
      </c>
      <c r="AI3" s="1">
        <f t="shared" ref="AI3:AI14" si="8">AH3/I18</f>
        <v>15.524919296203858</v>
      </c>
      <c r="AJ3" s="1"/>
      <c r="AK3" s="1">
        <f>0.38/(0.42+0.38)</f>
        <v>0.47499999999999998</v>
      </c>
      <c r="AL3" s="1" t="s">
        <v>19</v>
      </c>
      <c r="AM3" s="1">
        <f>0.475*B3+0.525*C3</f>
        <v>1.2400000000000002E-3</v>
      </c>
      <c r="AN3" s="1">
        <f>H18/(AM3+0.2*(1-AM3))</f>
        <v>3.1048886483044096</v>
      </c>
      <c r="AO3" s="1">
        <f>AN3/I18</f>
        <v>13.212292120444296</v>
      </c>
      <c r="AP3" s="1" t="s">
        <v>15</v>
      </c>
      <c r="AQ3" s="11">
        <f>0.38/(0.38+0.37)</f>
        <v>0.50666666666666671</v>
      </c>
      <c r="AR3" s="1" t="s">
        <v>19</v>
      </c>
      <c r="AS3" s="1">
        <f t="shared" ref="AS3:AS15" si="9">0.51*B3+0.49*C3</f>
        <v>1.1839999999999999E-3</v>
      </c>
      <c r="AT3" s="1">
        <f t="shared" ref="AT3:AT15" si="10">H18/(AS3+0.25*(1-AS3))</f>
        <v>2.4873958866107584</v>
      </c>
      <c r="AU3" s="1">
        <f t="shared" ref="AU3:AU14" si="11">AT3/I18</f>
        <v>10.584663347279823</v>
      </c>
      <c r="AV3" s="1"/>
      <c r="AW3" s="1"/>
      <c r="AX3" s="10"/>
    </row>
    <row r="4" spans="1:50" x14ac:dyDescent="0.2">
      <c r="A4" s="1" t="s">
        <v>21</v>
      </c>
      <c r="B4" s="1">
        <v>5.0000000000000001E-4</v>
      </c>
      <c r="C4" s="1">
        <v>3.0000000000000001E-3</v>
      </c>
      <c r="D4" s="1">
        <v>6.4600000000000005E-2</v>
      </c>
      <c r="E4" s="1">
        <v>2.1000000000000001E-2</v>
      </c>
      <c r="F4" s="1"/>
      <c r="G4" s="1"/>
      <c r="H4" s="1"/>
      <c r="I4" s="1"/>
      <c r="J4" s="1"/>
      <c r="L4" s="1" t="s">
        <v>16</v>
      </c>
      <c r="M4" s="10">
        <f>0.45/(0.45+0.38+0.14+0.01)</f>
        <v>0.45918367346938771</v>
      </c>
      <c r="N4" s="1" t="s">
        <v>21</v>
      </c>
      <c r="O4" s="1">
        <f t="shared" si="0"/>
        <v>1.5768992400000002E-3</v>
      </c>
      <c r="P4" s="1">
        <f t="shared" ref="P4:P15" si="12">H19/(0.02+O4*(1-0.02))</f>
        <v>71.221270408248515</v>
      </c>
      <c r="Q4" s="1">
        <f t="shared" si="1"/>
        <v>118.70211734708086</v>
      </c>
      <c r="R4" s="1" t="s">
        <v>16</v>
      </c>
      <c r="S4" s="10">
        <f>0.45/(0.45+0.38+0.13)</f>
        <v>0.46875</v>
      </c>
      <c r="T4" s="1" t="s">
        <v>21</v>
      </c>
      <c r="U4" s="1">
        <f t="shared" si="2"/>
        <v>1.0654000000000002E-2</v>
      </c>
      <c r="V4" s="1">
        <f t="shared" si="3"/>
        <v>25.523200596128152</v>
      </c>
      <c r="W4" s="1">
        <f t="shared" si="4"/>
        <v>42.538667660213591</v>
      </c>
      <c r="X4" s="1" t="s">
        <v>16</v>
      </c>
      <c r="Y4" s="10">
        <f>0.45/(0.45+0.38+0.07)</f>
        <v>0.49999999999999994</v>
      </c>
      <c r="Z4" s="1" t="s">
        <v>21</v>
      </c>
      <c r="AA4" s="1">
        <f t="shared" si="5"/>
        <v>6.8780000000000004E-3</v>
      </c>
      <c r="AB4" s="1">
        <f t="shared" si="6"/>
        <v>14.450373009938767</v>
      </c>
      <c r="AC4" s="1">
        <f t="shared" si="7"/>
        <v>24.083955016564612</v>
      </c>
      <c r="AD4" s="1" t="s">
        <v>16</v>
      </c>
      <c r="AE4" s="11">
        <f>0.45/(0.45+0.38)</f>
        <v>0.54216867469879515</v>
      </c>
      <c r="AF4" s="1" t="s">
        <v>21</v>
      </c>
      <c r="AG4" s="1">
        <f t="shared" ref="AG4:AG15" si="13">0.458*B4+0.542*C4</f>
        <v>1.8550000000000001E-3</v>
      </c>
      <c r="AH4" s="1">
        <f t="shared" ref="AH4:AH15" si="14">H19/(AG4+0.17*(1-AG4))</f>
        <v>8.9453837640452214</v>
      </c>
      <c r="AI4" s="1">
        <f t="shared" si="8"/>
        <v>14.908972940075369</v>
      </c>
      <c r="AJ4" s="1"/>
      <c r="AK4" s="1">
        <f>0.42/(0.42+0.38)</f>
        <v>0.52499999999999991</v>
      </c>
      <c r="AL4" s="1" t="s">
        <v>21</v>
      </c>
      <c r="AM4" s="1">
        <f t="shared" ref="AM4:AM15" si="15">0.475*B4+0.525*C4</f>
        <v>1.8125000000000001E-3</v>
      </c>
      <c r="AN4" s="1">
        <f t="shared" ref="AN4:AN14" si="16">H19/(AM4+0.2*(1-AM4))</f>
        <v>7.6172151898734155</v>
      </c>
      <c r="AO4" s="1">
        <f t="shared" ref="AO4:AO14" si="17">AN4/I19</f>
        <v>12.695358649789027</v>
      </c>
      <c r="AP4" s="1" t="s">
        <v>16</v>
      </c>
      <c r="AQ4" s="11">
        <f>0.37/(0.38+0.37)</f>
        <v>0.49333333333333335</v>
      </c>
      <c r="AR4" s="1" t="s">
        <v>21</v>
      </c>
      <c r="AS4" s="1">
        <f t="shared" si="9"/>
        <v>1.725E-3</v>
      </c>
      <c r="AT4" s="1">
        <f t="shared" si="10"/>
        <v>6.1063516303131289</v>
      </c>
      <c r="AU4" s="1">
        <f t="shared" si="11"/>
        <v>10.177252717188548</v>
      </c>
      <c r="AV4" s="1"/>
      <c r="AW4" s="1"/>
      <c r="AX4" s="10"/>
    </row>
    <row r="5" spans="1:50" x14ac:dyDescent="0.2">
      <c r="A5" s="1" t="s">
        <v>23</v>
      </c>
      <c r="B5" s="1">
        <v>1E-3</v>
      </c>
      <c r="C5" s="1">
        <v>6.7999999999999996E-3</v>
      </c>
      <c r="D5" s="1">
        <v>0.107</v>
      </c>
      <c r="E5" s="1">
        <v>3.5999999999999997E-2</v>
      </c>
      <c r="F5" s="1"/>
      <c r="G5" s="1"/>
      <c r="H5" s="1"/>
      <c r="I5" s="1"/>
      <c r="J5" s="1"/>
      <c r="L5" s="1" t="s">
        <v>17</v>
      </c>
      <c r="M5" s="10">
        <f>0.14/(0.45+0.38+0.14+0.01)</f>
        <v>0.14285714285714285</v>
      </c>
      <c r="N5" s="1" t="s">
        <v>23</v>
      </c>
      <c r="O5" s="1">
        <f t="shared" si="0"/>
        <v>3.5233928000000005E-3</v>
      </c>
      <c r="P5" s="1">
        <f t="shared" si="12"/>
        <v>45.422978640987708</v>
      </c>
      <c r="Q5" s="1">
        <f t="shared" si="1"/>
        <v>97.89435051937005</v>
      </c>
      <c r="R5" s="1" t="s">
        <v>17</v>
      </c>
      <c r="S5" s="10">
        <f>0.13/(0.45+0.38+0.13)</f>
        <v>0.13541666666666666</v>
      </c>
      <c r="T5" s="1" t="s">
        <v>23</v>
      </c>
      <c r="U5" s="1">
        <f t="shared" si="2"/>
        <v>1.8576000000000002E-2</v>
      </c>
      <c r="V5" s="1">
        <f t="shared" si="3"/>
        <v>15.747905438806038</v>
      </c>
      <c r="W5" s="1">
        <f t="shared" si="4"/>
        <v>33.939451376737146</v>
      </c>
      <c r="X5" s="1" t="s">
        <v>17</v>
      </c>
      <c r="Y5" s="10">
        <f>0.07/(0.45+0.38+0.07)</f>
        <v>7.7777777777777779E-2</v>
      </c>
      <c r="Z5" s="1" t="s">
        <v>23</v>
      </c>
      <c r="AA5" s="1">
        <f t="shared" si="5"/>
        <v>1.2379999999999999E-2</v>
      </c>
      <c r="AB5" s="1">
        <f t="shared" si="6"/>
        <v>9.5850507350956402</v>
      </c>
      <c r="AC5" s="1">
        <f t="shared" si="7"/>
        <v>20.657436929085431</v>
      </c>
      <c r="AD5" s="1"/>
      <c r="AE5" s="1"/>
      <c r="AF5" s="1" t="s">
        <v>23</v>
      </c>
      <c r="AG5" s="1">
        <f t="shared" si="13"/>
        <v>4.1435999999999999E-3</v>
      </c>
      <c r="AH5" s="1">
        <f t="shared" si="14"/>
        <v>6.1422203429596305</v>
      </c>
      <c r="AI5" s="1">
        <f t="shared" si="8"/>
        <v>13.23754384258541</v>
      </c>
      <c r="AJ5" s="1"/>
      <c r="AK5" s="1"/>
      <c r="AL5" s="1" t="s">
        <v>23</v>
      </c>
      <c r="AM5" s="1">
        <f t="shared" si="15"/>
        <v>4.045E-3</v>
      </c>
      <c r="AN5" s="1">
        <f t="shared" si="16"/>
        <v>5.2416978724241758</v>
      </c>
      <c r="AO5" s="1">
        <f t="shared" si="17"/>
        <v>11.296762656086585</v>
      </c>
      <c r="AP5" s="1"/>
      <c r="AQ5" s="1"/>
      <c r="AR5" s="1" t="s">
        <v>23</v>
      </c>
      <c r="AS5" s="1">
        <f t="shared" si="9"/>
        <v>3.8419999999999999E-3</v>
      </c>
      <c r="AT5" s="1">
        <f t="shared" si="10"/>
        <v>4.2126518104329493</v>
      </c>
      <c r="AU5" s="1">
        <f t="shared" si="11"/>
        <v>9.0789909707606657</v>
      </c>
      <c r="AV5" s="1"/>
      <c r="AW5" s="1"/>
      <c r="AX5" s="1"/>
    </row>
    <row r="6" spans="1:50" x14ac:dyDescent="0.2">
      <c r="A6" s="1" t="s">
        <v>24</v>
      </c>
      <c r="B6" s="1">
        <v>1.2999999999999999E-3</v>
      </c>
      <c r="C6" s="1">
        <v>0.01</v>
      </c>
      <c r="D6" s="1">
        <v>0.17</v>
      </c>
      <c r="E6" s="1">
        <v>0.10299999999999999</v>
      </c>
      <c r="F6" s="1"/>
      <c r="G6" s="1"/>
      <c r="H6" s="1"/>
      <c r="I6" s="1"/>
      <c r="J6" s="1"/>
      <c r="L6" s="1" t="s">
        <v>18</v>
      </c>
      <c r="M6" s="10">
        <f>0.01/(0.45+0.38+0.14+0.1)</f>
        <v>9.3457943925233638E-3</v>
      </c>
      <c r="N6" s="1" t="s">
        <v>24</v>
      </c>
      <c r="O6" s="1">
        <f t="shared" si="0"/>
        <v>5.1315139999999993E-3</v>
      </c>
      <c r="P6" s="1">
        <f t="shared" si="12"/>
        <v>15.970852414827551</v>
      </c>
      <c r="Q6" s="1">
        <f t="shared" si="1"/>
        <v>104.38465630606242</v>
      </c>
      <c r="R6" s="1"/>
      <c r="S6" s="1"/>
      <c r="T6" s="1" t="s">
        <v>24</v>
      </c>
      <c r="U6" s="1">
        <f t="shared" si="2"/>
        <v>2.9020000000000004E-2</v>
      </c>
      <c r="V6" s="1">
        <f t="shared" si="3"/>
        <v>5.1532520465649929</v>
      </c>
      <c r="W6" s="1">
        <f t="shared" si="4"/>
        <v>33.681385925261395</v>
      </c>
      <c r="X6" s="1"/>
      <c r="Y6" s="1"/>
      <c r="Z6" s="1" t="s">
        <v>24</v>
      </c>
      <c r="AA6" s="1">
        <f t="shared" si="5"/>
        <v>1.9146E-2</v>
      </c>
      <c r="AB6" s="1">
        <f t="shared" si="6"/>
        <v>3.4097742413721916</v>
      </c>
      <c r="AC6" s="1">
        <f t="shared" si="7"/>
        <v>22.286106152759423</v>
      </c>
      <c r="AD6" s="1"/>
      <c r="AE6" s="1"/>
      <c r="AF6" s="1" t="s">
        <v>24</v>
      </c>
      <c r="AG6" s="1">
        <f t="shared" si="13"/>
        <v>6.0154000000000006E-3</v>
      </c>
      <c r="AH6" s="1">
        <f t="shared" si="14"/>
        <v>2.2842805482114108</v>
      </c>
      <c r="AI6" s="1">
        <f t="shared" si="8"/>
        <v>14.929938223603992</v>
      </c>
      <c r="AJ6" s="1"/>
      <c r="AK6" s="1"/>
      <c r="AL6" s="1" t="s">
        <v>24</v>
      </c>
      <c r="AM6" s="1">
        <f t="shared" si="15"/>
        <v>5.8675000000000003E-3</v>
      </c>
      <c r="AN6" s="1">
        <f t="shared" si="16"/>
        <v>1.9528301171504778</v>
      </c>
      <c r="AO6" s="1">
        <f t="shared" si="17"/>
        <v>12.763595536931227</v>
      </c>
      <c r="AP6" s="1"/>
      <c r="AQ6" s="1"/>
      <c r="AR6" s="1" t="s">
        <v>24</v>
      </c>
      <c r="AS6" s="1">
        <f t="shared" si="9"/>
        <v>5.5630000000000002E-3</v>
      </c>
      <c r="AT6" s="1">
        <f t="shared" si="10"/>
        <v>1.5726839102222998</v>
      </c>
      <c r="AU6" s="1">
        <f t="shared" si="11"/>
        <v>10.278979805374508</v>
      </c>
      <c r="AV6" s="1"/>
      <c r="AW6" s="1"/>
      <c r="AX6" s="1"/>
    </row>
    <row r="7" spans="1:50" x14ac:dyDescent="0.2">
      <c r="A7" s="1" t="s">
        <v>25</v>
      </c>
      <c r="B7" s="1">
        <v>1.6000000000000001E-3</v>
      </c>
      <c r="C7" s="1">
        <v>1.2999999999999999E-2</v>
      </c>
      <c r="D7" s="1">
        <v>0.28000000000000003</v>
      </c>
      <c r="E7" s="1">
        <v>0.22</v>
      </c>
      <c r="F7" s="1"/>
      <c r="G7" s="1"/>
      <c r="H7" s="1"/>
      <c r="I7" s="1"/>
      <c r="J7" s="1"/>
      <c r="L7" s="1"/>
      <c r="M7" s="1"/>
      <c r="N7" s="1" t="s">
        <v>25</v>
      </c>
      <c r="O7" s="1">
        <f t="shared" si="0"/>
        <v>6.6902400000000001E-3</v>
      </c>
      <c r="P7" s="1">
        <f t="shared" si="12"/>
        <v>6.4488578346539525</v>
      </c>
      <c r="Q7" s="1">
        <f t="shared" si="1"/>
        <v>110.04876850945311</v>
      </c>
      <c r="R7" s="1"/>
      <c r="S7" s="1"/>
      <c r="T7" s="1" t="s">
        <v>25</v>
      </c>
      <c r="U7" s="1">
        <f t="shared" si="2"/>
        <v>4.5950000000000005E-2</v>
      </c>
      <c r="V7" s="1">
        <f t="shared" si="3"/>
        <v>1.8286610095832998</v>
      </c>
      <c r="W7" s="1">
        <f t="shared" si="4"/>
        <v>31.205819276165528</v>
      </c>
      <c r="X7" s="1"/>
      <c r="Y7" s="1"/>
      <c r="Z7" s="1" t="s">
        <v>25</v>
      </c>
      <c r="AA7" s="1">
        <f t="shared" si="5"/>
        <v>2.9572000000000001E-2</v>
      </c>
      <c r="AB7" s="1">
        <f t="shared" si="6"/>
        <v>1.3525960251092288</v>
      </c>
      <c r="AC7" s="1">
        <f t="shared" si="7"/>
        <v>23.081843431898104</v>
      </c>
      <c r="AD7" s="1"/>
      <c r="AE7" s="1"/>
      <c r="AF7" s="1" t="s">
        <v>25</v>
      </c>
      <c r="AG7" s="1">
        <f t="shared" si="13"/>
        <v>7.7788000000000006E-3</v>
      </c>
      <c r="AH7" s="1">
        <f t="shared" si="14"/>
        <v>0.9705438358587426</v>
      </c>
      <c r="AI7" s="1">
        <f t="shared" si="8"/>
        <v>16.562181499295949</v>
      </c>
      <c r="AJ7" s="1"/>
      <c r="AK7" s="1"/>
      <c r="AL7" s="1" t="s">
        <v>25</v>
      </c>
      <c r="AM7" s="1">
        <f t="shared" si="15"/>
        <v>7.5850000000000006E-3</v>
      </c>
      <c r="AN7" s="1">
        <f t="shared" si="16"/>
        <v>0.83107845565541449</v>
      </c>
      <c r="AO7" s="1">
        <f t="shared" si="17"/>
        <v>14.182226205723797</v>
      </c>
      <c r="AP7" s="1"/>
      <c r="AQ7" s="1"/>
      <c r="AR7" s="1" t="s">
        <v>25</v>
      </c>
      <c r="AS7" s="1">
        <f t="shared" si="9"/>
        <v>7.1859999999999997E-3</v>
      </c>
      <c r="AT7" s="1">
        <f t="shared" si="10"/>
        <v>0.67057837225101269</v>
      </c>
      <c r="AU7" s="1">
        <f t="shared" si="11"/>
        <v>11.443316932611138</v>
      </c>
      <c r="AV7" s="1"/>
      <c r="AW7" s="1"/>
      <c r="AX7" s="1"/>
    </row>
    <row r="8" spans="1:50" x14ac:dyDescent="0.2">
      <c r="A8" s="1" t="s">
        <v>26</v>
      </c>
      <c r="B8" s="1">
        <v>1.5E-3</v>
      </c>
      <c r="C8" s="1">
        <v>1.6E-2</v>
      </c>
      <c r="D8" s="1">
        <v>0.32</v>
      </c>
      <c r="E8" s="1">
        <v>0.43</v>
      </c>
      <c r="F8" s="1"/>
      <c r="G8" s="1"/>
      <c r="H8" s="1"/>
      <c r="I8" s="1"/>
      <c r="J8" s="1"/>
      <c r="L8" s="1"/>
      <c r="M8" s="1"/>
      <c r="N8" s="1" t="s">
        <v>26</v>
      </c>
      <c r="O8" s="1">
        <f t="shared" si="0"/>
        <v>8.1376400000000015E-3</v>
      </c>
      <c r="P8" s="1">
        <f t="shared" si="12"/>
        <v>20.236172391072234</v>
      </c>
      <c r="Q8" s="1">
        <f t="shared" si="1"/>
        <v>98.233846558603076</v>
      </c>
      <c r="R8" s="1"/>
      <c r="S8" s="1"/>
      <c r="T8" s="1" t="s">
        <v>26</v>
      </c>
      <c r="U8" s="1">
        <f t="shared" si="2"/>
        <v>5.2920000000000009E-2</v>
      </c>
      <c r="V8" s="1">
        <f t="shared" si="3"/>
        <v>5.6455775176017706</v>
      </c>
      <c r="W8" s="1">
        <f t="shared" si="4"/>
        <v>27.405716104862964</v>
      </c>
      <c r="X8" s="1"/>
      <c r="Y8" s="1"/>
      <c r="Z8" s="1" t="s">
        <v>26</v>
      </c>
      <c r="AA8" s="1">
        <f t="shared" si="5"/>
        <v>3.4230000000000003E-2</v>
      </c>
      <c r="AB8" s="1">
        <f t="shared" si="6"/>
        <v>4.3277855160656538</v>
      </c>
      <c r="AC8" s="1">
        <f t="shared" si="7"/>
        <v>21.008667553716766</v>
      </c>
      <c r="AD8" s="1"/>
      <c r="AE8" s="1"/>
      <c r="AF8" s="1" t="s">
        <v>26</v>
      </c>
      <c r="AG8" s="1">
        <f t="shared" si="13"/>
        <v>9.359000000000001E-3</v>
      </c>
      <c r="AH8" s="1">
        <f t="shared" si="14"/>
        <v>3.1845142856724977</v>
      </c>
      <c r="AI8" s="1">
        <f t="shared" si="8"/>
        <v>15.458807212002418</v>
      </c>
      <c r="AJ8" s="1"/>
      <c r="AK8" s="1"/>
      <c r="AL8" s="1" t="s">
        <v>26</v>
      </c>
      <c r="AM8" s="1">
        <f t="shared" si="15"/>
        <v>9.1125000000000008E-3</v>
      </c>
      <c r="AN8" s="1">
        <f t="shared" si="16"/>
        <v>2.7309790149066528</v>
      </c>
      <c r="AO8" s="1">
        <f t="shared" si="17"/>
        <v>13.257179684012879</v>
      </c>
      <c r="AP8" s="1"/>
      <c r="AQ8" s="1"/>
      <c r="AR8" s="1" t="s">
        <v>26</v>
      </c>
      <c r="AS8" s="1">
        <f t="shared" si="9"/>
        <v>8.6049999999999998E-3</v>
      </c>
      <c r="AT8" s="1">
        <f t="shared" si="10"/>
        <v>2.2074336600654116</v>
      </c>
      <c r="AU8" s="1">
        <f t="shared" si="11"/>
        <v>10.715697378958309</v>
      </c>
      <c r="AV8" s="1"/>
      <c r="AW8" s="1"/>
      <c r="AX8" s="1"/>
    </row>
    <row r="9" spans="1:50" x14ac:dyDescent="0.2">
      <c r="A9" s="1" t="s">
        <v>27</v>
      </c>
      <c r="B9" s="1">
        <v>1.5E-3</v>
      </c>
      <c r="C9" s="1">
        <v>1.9E-2</v>
      </c>
      <c r="D9" s="1">
        <v>0.31</v>
      </c>
      <c r="E9" s="1">
        <v>0.33500000000000002</v>
      </c>
      <c r="F9" s="1"/>
      <c r="G9" s="1"/>
      <c r="H9" s="1"/>
      <c r="I9" s="1"/>
      <c r="J9" s="1"/>
      <c r="L9" s="1"/>
      <c r="M9" s="1"/>
      <c r="N9" s="1" t="s">
        <v>27</v>
      </c>
      <c r="O9" s="1">
        <f t="shared" si="0"/>
        <v>9.4703900000000004E-3</v>
      </c>
      <c r="P9" s="1">
        <f t="shared" si="12"/>
        <v>3.7510217126527947</v>
      </c>
      <c r="Q9" s="1">
        <f t="shared" si="1"/>
        <v>100.02724567074119</v>
      </c>
      <c r="R9" s="1"/>
      <c r="S9" s="1"/>
      <c r="T9" s="1" t="s">
        <v>27</v>
      </c>
      <c r="U9" s="1">
        <f t="shared" si="2"/>
        <v>5.2929999999999998E-2</v>
      </c>
      <c r="V9" s="1">
        <f t="shared" si="3"/>
        <v>1.0952310200581352</v>
      </c>
      <c r="W9" s="1">
        <f t="shared" si="4"/>
        <v>29.206160534883608</v>
      </c>
      <c r="X9" s="1"/>
      <c r="Y9" s="1"/>
      <c r="Z9" s="1" t="s">
        <v>27</v>
      </c>
      <c r="AA9" s="1">
        <f t="shared" si="5"/>
        <v>3.4930000000000003E-2</v>
      </c>
      <c r="AB9" s="1">
        <f t="shared" si="6"/>
        <v>0.8356368450284164</v>
      </c>
      <c r="AC9" s="1">
        <f t="shared" si="7"/>
        <v>22.283649200757772</v>
      </c>
      <c r="AD9" s="1"/>
      <c r="AE9" s="1"/>
      <c r="AF9" s="1" t="s">
        <v>27</v>
      </c>
      <c r="AG9" s="1">
        <f t="shared" si="13"/>
        <v>1.0985E-2</v>
      </c>
      <c r="AH9" s="1">
        <f t="shared" si="14"/>
        <v>0.61319284458725554</v>
      </c>
      <c r="AI9" s="1">
        <f t="shared" si="8"/>
        <v>16.351809188993482</v>
      </c>
      <c r="AJ9" s="1"/>
      <c r="AK9" s="1"/>
      <c r="AL9" s="1" t="s">
        <v>27</v>
      </c>
      <c r="AM9" s="1">
        <f t="shared" si="15"/>
        <v>1.0687499999999999E-2</v>
      </c>
      <c r="AN9" s="1">
        <f t="shared" si="16"/>
        <v>0.52665356029729071</v>
      </c>
      <c r="AO9" s="1">
        <f t="shared" si="17"/>
        <v>14.044094941261086</v>
      </c>
      <c r="AP9" s="1"/>
      <c r="AQ9" s="1"/>
      <c r="AR9" s="1" t="s">
        <v>27</v>
      </c>
      <c r="AS9" s="1">
        <f t="shared" si="9"/>
        <v>1.0074999999999999E-2</v>
      </c>
      <c r="AT9" s="1">
        <f t="shared" si="10"/>
        <v>0.42644509694484212</v>
      </c>
      <c r="AU9" s="1">
        <f t="shared" si="11"/>
        <v>11.371869251862456</v>
      </c>
      <c r="AV9" s="1"/>
      <c r="AW9" s="1"/>
      <c r="AX9" s="1"/>
    </row>
    <row r="10" spans="1:50" x14ac:dyDescent="0.2">
      <c r="A10" s="1" t="s">
        <v>28</v>
      </c>
      <c r="B10" s="1">
        <v>1.6999999999999999E-3</v>
      </c>
      <c r="C10" s="1">
        <v>2.1999999999999999E-2</v>
      </c>
      <c r="D10" s="1">
        <v>0.33</v>
      </c>
      <c r="E10" s="1">
        <v>0.47</v>
      </c>
      <c r="F10" s="1"/>
      <c r="G10" s="1"/>
      <c r="H10" s="1"/>
      <c r="I10" s="1"/>
      <c r="J10" s="1"/>
      <c r="L10" s="1"/>
      <c r="M10" s="1"/>
      <c r="N10" s="1" t="s">
        <v>28</v>
      </c>
      <c r="O10" s="1">
        <f t="shared" si="0"/>
        <v>1.100014E-2</v>
      </c>
      <c r="P10" s="1">
        <f t="shared" si="12"/>
        <v>23.96998032874265</v>
      </c>
      <c r="Q10" s="1">
        <f t="shared" si="1"/>
        <v>94.370001294262408</v>
      </c>
      <c r="R10" s="1"/>
      <c r="S10" s="1"/>
      <c r="T10" s="1" t="s">
        <v>28</v>
      </c>
      <c r="U10" s="1">
        <f t="shared" si="2"/>
        <v>5.7220000000000007E-2</v>
      </c>
      <c r="V10" s="1">
        <f t="shared" si="3"/>
        <v>7.0698194041721347</v>
      </c>
      <c r="W10" s="1">
        <f t="shared" si="4"/>
        <v>27.833934662095018</v>
      </c>
      <c r="X10" s="1"/>
      <c r="Y10" s="1"/>
      <c r="Z10" s="1" t="s">
        <v>28</v>
      </c>
      <c r="AA10" s="1">
        <f t="shared" si="5"/>
        <v>3.8114000000000002E-2</v>
      </c>
      <c r="AB10" s="1">
        <f t="shared" si="6"/>
        <v>5.4935591954288281</v>
      </c>
      <c r="AC10" s="1">
        <f t="shared" si="7"/>
        <v>21.628185808774912</v>
      </c>
      <c r="AD10" s="1"/>
      <c r="AE10" s="1"/>
      <c r="AF10" s="1" t="s">
        <v>28</v>
      </c>
      <c r="AG10" s="1">
        <f t="shared" si="13"/>
        <v>1.2702600000000001E-2</v>
      </c>
      <c r="AH10" s="1">
        <f t="shared" si="14"/>
        <v>4.0865535497058261</v>
      </c>
      <c r="AI10" s="1">
        <f t="shared" si="8"/>
        <v>16.088793502778842</v>
      </c>
      <c r="AJ10" s="1"/>
      <c r="AK10" s="1"/>
      <c r="AL10" s="1" t="s">
        <v>28</v>
      </c>
      <c r="AM10" s="1">
        <f t="shared" si="15"/>
        <v>1.2357499999999999E-2</v>
      </c>
      <c r="AN10" s="1">
        <f t="shared" si="16"/>
        <v>3.5152381921614588</v>
      </c>
      <c r="AO10" s="1">
        <f t="shared" si="17"/>
        <v>13.839520441580547</v>
      </c>
      <c r="AP10" s="1"/>
      <c r="AQ10" s="1"/>
      <c r="AR10" s="1" t="s">
        <v>28</v>
      </c>
      <c r="AS10" s="1">
        <f t="shared" si="9"/>
        <v>1.1646999999999999E-2</v>
      </c>
      <c r="AT10" s="1">
        <f t="shared" si="10"/>
        <v>2.8515607486803587</v>
      </c>
      <c r="AU10" s="1">
        <f t="shared" si="11"/>
        <v>11.226617120788813</v>
      </c>
      <c r="AV10" s="1"/>
      <c r="AW10" s="1"/>
      <c r="AX10" s="1"/>
    </row>
    <row r="11" spans="1:50" x14ac:dyDescent="0.2">
      <c r="A11" s="1" t="s">
        <v>29</v>
      </c>
      <c r="B11" s="1">
        <v>1.5E-3</v>
      </c>
      <c r="C11" s="1">
        <v>0.03</v>
      </c>
      <c r="D11" s="1">
        <v>0.3</v>
      </c>
      <c r="E11" s="1">
        <v>0.79</v>
      </c>
      <c r="F11" s="1"/>
      <c r="G11" s="1"/>
      <c r="H11" s="1"/>
      <c r="I11" s="1"/>
      <c r="J11" s="1"/>
      <c r="L11" s="1"/>
      <c r="M11" s="1"/>
      <c r="N11" s="1" t="s">
        <v>29</v>
      </c>
      <c r="O11" s="1">
        <f t="shared" si="0"/>
        <v>1.47168E-2</v>
      </c>
      <c r="P11" s="1">
        <f t="shared" si="12"/>
        <v>12.232112611113486</v>
      </c>
      <c r="Q11" s="1">
        <f t="shared" si="1"/>
        <v>73.687425368153527</v>
      </c>
      <c r="R11" s="1"/>
      <c r="S11" s="1"/>
      <c r="T11" s="1" t="s">
        <v>29</v>
      </c>
      <c r="U11" s="1">
        <f t="shared" si="2"/>
        <v>5.67E-2</v>
      </c>
      <c r="V11" s="1">
        <f t="shared" si="3"/>
        <v>4.0539109035767575</v>
      </c>
      <c r="W11" s="1">
        <f t="shared" si="4"/>
        <v>24.42115002154673</v>
      </c>
      <c r="X11" s="1"/>
      <c r="Y11" s="1"/>
      <c r="Z11" s="1" t="s">
        <v>29</v>
      </c>
      <c r="AA11" s="1">
        <f t="shared" si="5"/>
        <v>3.9629999999999999E-2</v>
      </c>
      <c r="AB11" s="1">
        <f t="shared" si="6"/>
        <v>3.1036247281947711</v>
      </c>
      <c r="AC11" s="1">
        <f t="shared" si="7"/>
        <v>18.696534507197416</v>
      </c>
      <c r="AD11" s="1"/>
      <c r="AE11" s="1"/>
      <c r="AF11" s="1" t="s">
        <v>29</v>
      </c>
      <c r="AG11" s="1">
        <f t="shared" si="13"/>
        <v>1.6947E-2</v>
      </c>
      <c r="AH11" s="1">
        <f t="shared" si="14"/>
        <v>2.2875459515855203</v>
      </c>
      <c r="AI11" s="1">
        <f t="shared" si="8"/>
        <v>13.780397298707953</v>
      </c>
      <c r="AJ11" s="1"/>
      <c r="AK11" s="1"/>
      <c r="AL11" s="1" t="s">
        <v>29</v>
      </c>
      <c r="AM11" s="1">
        <f t="shared" si="15"/>
        <v>1.6462500000000001E-2</v>
      </c>
      <c r="AN11" s="1">
        <f t="shared" si="16"/>
        <v>1.9752284843082983</v>
      </c>
      <c r="AO11" s="1">
        <f t="shared" si="17"/>
        <v>11.898966772941556</v>
      </c>
      <c r="AP11" s="1"/>
      <c r="AQ11" s="1"/>
      <c r="AR11" s="1" t="s">
        <v>29</v>
      </c>
      <c r="AS11" s="1">
        <f t="shared" si="9"/>
        <v>1.5465E-2</v>
      </c>
      <c r="AT11" s="1">
        <f t="shared" si="10"/>
        <v>1.609562186363658</v>
      </c>
      <c r="AU11" s="1">
        <f t="shared" si="11"/>
        <v>9.6961577491786617</v>
      </c>
      <c r="AV11" s="1"/>
      <c r="AW11" s="1"/>
      <c r="AX11" s="1"/>
    </row>
    <row r="12" spans="1:50" x14ac:dyDescent="0.2">
      <c r="A12" s="1" t="s">
        <v>30</v>
      </c>
      <c r="B12" s="1">
        <v>1.5E-3</v>
      </c>
      <c r="C12" s="1">
        <v>0.04</v>
      </c>
      <c r="D12" s="1">
        <v>0.28999999999999998</v>
      </c>
      <c r="E12" s="1">
        <v>1.18</v>
      </c>
      <c r="F12" s="1"/>
      <c r="G12" s="1"/>
      <c r="H12" s="1"/>
      <c r="I12" s="1"/>
      <c r="J12" s="1"/>
      <c r="L12" s="1"/>
      <c r="M12" s="1"/>
      <c r="N12" s="1" t="s">
        <v>30</v>
      </c>
      <c r="O12" s="1">
        <f t="shared" si="0"/>
        <v>1.9464079999999998E-2</v>
      </c>
      <c r="P12" s="1">
        <f t="shared" si="12"/>
        <v>1.524437909831929</v>
      </c>
      <c r="Q12" s="1">
        <f t="shared" si="1"/>
        <v>58.184653047020184</v>
      </c>
      <c r="R12" s="1"/>
      <c r="S12" s="1"/>
      <c r="T12" s="1" t="s">
        <v>30</v>
      </c>
      <c r="U12" s="1">
        <f t="shared" si="2"/>
        <v>6.0000000000000005E-2</v>
      </c>
      <c r="V12" s="1">
        <f t="shared" si="3"/>
        <v>0.55670190654205609</v>
      </c>
      <c r="W12" s="1">
        <f t="shared" si="4"/>
        <v>21.2481643718342</v>
      </c>
      <c r="X12" s="1"/>
      <c r="Y12" s="1"/>
      <c r="Z12" s="1" t="s">
        <v>30</v>
      </c>
      <c r="AA12" s="1">
        <f t="shared" si="5"/>
        <v>4.3829999999999994E-2</v>
      </c>
      <c r="AB12" s="1">
        <f t="shared" si="6"/>
        <v>0.42716662244436959</v>
      </c>
      <c r="AC12" s="1">
        <f t="shared" si="7"/>
        <v>16.304069558945404</v>
      </c>
      <c r="AD12" s="1"/>
      <c r="AE12" s="1"/>
      <c r="AF12" s="1" t="s">
        <v>30</v>
      </c>
      <c r="AG12" s="1">
        <f t="shared" si="13"/>
        <v>2.2367000000000001E-2</v>
      </c>
      <c r="AH12" s="1">
        <f t="shared" si="14"/>
        <v>0.31589758014507602</v>
      </c>
      <c r="AI12" s="1">
        <f t="shared" si="8"/>
        <v>12.057159547521985</v>
      </c>
      <c r="AJ12" s="1"/>
      <c r="AK12" s="1"/>
      <c r="AL12" s="1" t="s">
        <v>30</v>
      </c>
      <c r="AM12" s="1">
        <f t="shared" si="15"/>
        <v>2.1712500000000003E-2</v>
      </c>
      <c r="AN12" s="1">
        <f t="shared" si="16"/>
        <v>0.27403553388232049</v>
      </c>
      <c r="AO12" s="1">
        <f t="shared" si="17"/>
        <v>10.459371522225972</v>
      </c>
      <c r="AP12" s="1"/>
      <c r="AQ12" s="1"/>
      <c r="AR12" s="1" t="s">
        <v>30</v>
      </c>
      <c r="AS12" s="1">
        <f t="shared" si="9"/>
        <v>2.0365000000000001E-2</v>
      </c>
      <c r="AT12" s="1">
        <f t="shared" si="10"/>
        <v>0.22454956059542264</v>
      </c>
      <c r="AU12" s="1">
        <f t="shared" si="11"/>
        <v>8.5705939158558255</v>
      </c>
      <c r="AV12" s="1"/>
      <c r="AW12" s="1"/>
      <c r="AX12" s="1"/>
    </row>
    <row r="13" spans="1:50" x14ac:dyDescent="0.2">
      <c r="A13" s="1" t="s">
        <v>31</v>
      </c>
      <c r="B13" s="1">
        <v>1.5E-3</v>
      </c>
      <c r="C13" s="1">
        <v>4.9000000000000002E-2</v>
      </c>
      <c r="D13" s="1">
        <v>0.28999999999999998</v>
      </c>
      <c r="E13" s="1">
        <v>1.59</v>
      </c>
      <c r="F13" s="1"/>
      <c r="G13" s="1"/>
      <c r="H13" s="1"/>
      <c r="I13" s="1"/>
      <c r="J13" s="1"/>
      <c r="L13" s="1"/>
      <c r="M13" s="1"/>
      <c r="N13" s="1" t="s">
        <v>31</v>
      </c>
      <c r="O13" s="1">
        <f t="shared" si="0"/>
        <v>2.377054E-2</v>
      </c>
      <c r="P13" s="1">
        <f t="shared" si="12"/>
        <v>9.9592173061352103</v>
      </c>
      <c r="Q13" s="1">
        <f t="shared" si="1"/>
        <v>59.281055393661966</v>
      </c>
      <c r="R13" s="1"/>
      <c r="S13" s="1"/>
      <c r="T13" s="1" t="s">
        <v>31</v>
      </c>
      <c r="U13" s="1">
        <f t="shared" si="2"/>
        <v>6.4230000000000009E-2</v>
      </c>
      <c r="V13" s="1">
        <f t="shared" si="3"/>
        <v>3.8839076370154513</v>
      </c>
      <c r="W13" s="1">
        <f t="shared" si="4"/>
        <v>23.118497839377685</v>
      </c>
      <c r="X13" s="1"/>
      <c r="Y13" s="1"/>
      <c r="Z13" s="1" t="s">
        <v>31</v>
      </c>
      <c r="AA13" s="1">
        <f t="shared" si="5"/>
        <v>4.8329999999999998E-2</v>
      </c>
      <c r="AB13" s="1">
        <f t="shared" si="6"/>
        <v>3.0048405193139924</v>
      </c>
      <c r="AC13" s="1">
        <f t="shared" si="7"/>
        <v>17.885955472107096</v>
      </c>
      <c r="AD13" s="1"/>
      <c r="AE13" s="1"/>
      <c r="AF13" s="1" t="s">
        <v>31</v>
      </c>
      <c r="AG13" s="1">
        <f t="shared" si="13"/>
        <v>2.7245000000000002E-2</v>
      </c>
      <c r="AH13" s="1">
        <f t="shared" si="14"/>
        <v>2.2386070332092762</v>
      </c>
      <c r="AI13" s="1">
        <f t="shared" si="8"/>
        <v>13.325041864340928</v>
      </c>
      <c r="AJ13" s="1"/>
      <c r="AK13" s="1"/>
      <c r="AL13" s="1" t="s">
        <v>31</v>
      </c>
      <c r="AM13" s="1">
        <f t="shared" si="15"/>
        <v>2.6437500000000003E-2</v>
      </c>
      <c r="AN13" s="1">
        <f t="shared" si="16"/>
        <v>1.9497427085688444</v>
      </c>
      <c r="AO13" s="1">
        <f t="shared" si="17"/>
        <v>11.605611360528835</v>
      </c>
      <c r="AP13" s="1"/>
      <c r="AQ13" s="1"/>
      <c r="AR13" s="1" t="s">
        <v>31</v>
      </c>
      <c r="AS13" s="1">
        <f t="shared" si="9"/>
        <v>2.4774999999999998E-2</v>
      </c>
      <c r="AT13" s="1">
        <f t="shared" si="10"/>
        <v>1.6054195890442835</v>
      </c>
      <c r="AU13" s="1">
        <f t="shared" si="11"/>
        <v>9.5560689824064493</v>
      </c>
      <c r="AV13" s="1"/>
      <c r="AW13" s="1"/>
      <c r="AX13" s="1"/>
    </row>
    <row r="14" spans="1:50" x14ac:dyDescent="0.2">
      <c r="A14" s="1" t="s">
        <v>32</v>
      </c>
      <c r="B14" s="1">
        <v>1.5E-3</v>
      </c>
      <c r="C14" s="1">
        <v>0.06</v>
      </c>
      <c r="D14" s="1">
        <v>0.28000000000000003</v>
      </c>
      <c r="E14" s="1">
        <v>1.93</v>
      </c>
      <c r="F14" s="1"/>
      <c r="G14" s="1"/>
      <c r="H14" s="1"/>
      <c r="I14" s="1"/>
      <c r="J14" s="1"/>
      <c r="L14" s="1"/>
      <c r="M14" s="1"/>
      <c r="N14" s="1" t="s">
        <v>32</v>
      </c>
      <c r="O14" s="1">
        <f t="shared" si="0"/>
        <v>2.8941559999999998E-2</v>
      </c>
      <c r="P14" s="1">
        <f t="shared" si="12"/>
        <v>1.1729561463454889</v>
      </c>
      <c r="Q14" s="1">
        <f t="shared" si="1"/>
        <v>47.681144160385728</v>
      </c>
      <c r="R14" s="1"/>
      <c r="S14" s="1"/>
      <c r="T14" s="1" t="s">
        <v>32</v>
      </c>
      <c r="U14" s="1">
        <f t="shared" si="2"/>
        <v>6.8000000000000005E-2</v>
      </c>
      <c r="V14" s="1">
        <f t="shared" si="3"/>
        <v>0.49500314136125645</v>
      </c>
      <c r="W14" s="1">
        <f t="shared" si="4"/>
        <v>20.122078917124245</v>
      </c>
      <c r="X14" s="1"/>
      <c r="Y14" s="1"/>
      <c r="Z14" s="1" t="s">
        <v>32</v>
      </c>
      <c r="AA14" s="1">
        <f t="shared" si="5"/>
        <v>5.3030000000000001E-2</v>
      </c>
      <c r="AB14" s="1">
        <f t="shared" si="6"/>
        <v>0.38400129969470709</v>
      </c>
      <c r="AC14" s="1">
        <f t="shared" si="7"/>
        <v>15.609808930679149</v>
      </c>
      <c r="AD14" s="1"/>
      <c r="AE14" s="1"/>
      <c r="AF14" s="1" t="s">
        <v>32</v>
      </c>
      <c r="AG14" s="1">
        <f t="shared" si="13"/>
        <v>3.3207E-2</v>
      </c>
      <c r="AH14" s="1">
        <f t="shared" si="14"/>
        <v>0.28713727617701007</v>
      </c>
      <c r="AI14" s="1">
        <f t="shared" si="8"/>
        <v>11.67224699906545</v>
      </c>
      <c r="AJ14" s="1"/>
      <c r="AK14" s="1"/>
      <c r="AL14" s="1" t="s">
        <v>32</v>
      </c>
      <c r="AM14" s="1">
        <f t="shared" si="15"/>
        <v>3.2212499999999998E-2</v>
      </c>
      <c r="AN14" s="1">
        <f t="shared" si="16"/>
        <v>0.25126172653585499</v>
      </c>
      <c r="AO14" s="1">
        <f t="shared" si="17"/>
        <v>10.213891322595732</v>
      </c>
      <c r="AP14" s="1"/>
      <c r="AQ14" s="1"/>
      <c r="AR14" s="1" t="s">
        <v>32</v>
      </c>
      <c r="AS14" s="1">
        <f t="shared" si="9"/>
        <v>3.0164999999999997E-2</v>
      </c>
      <c r="AT14" s="1">
        <f t="shared" si="10"/>
        <v>0.20807930343559572</v>
      </c>
      <c r="AU14" s="1">
        <f t="shared" si="11"/>
        <v>8.4585082697396636</v>
      </c>
      <c r="AV14" s="1"/>
      <c r="AW14" s="1"/>
      <c r="AX14" s="1"/>
    </row>
    <row r="15" spans="1:50" x14ac:dyDescent="0.2">
      <c r="A15" s="1" t="s">
        <v>33</v>
      </c>
      <c r="B15" s="1">
        <v>0.01</v>
      </c>
      <c r="C15" s="1">
        <v>0.01</v>
      </c>
      <c r="D15" s="1">
        <v>0.23300000000000001</v>
      </c>
      <c r="E15" s="1">
        <v>0.32200000000000001</v>
      </c>
      <c r="F15" s="1"/>
      <c r="G15" s="1"/>
      <c r="H15" s="1"/>
      <c r="I15" s="1"/>
      <c r="J15" s="1"/>
      <c r="L15" s="1"/>
      <c r="M15" s="1"/>
      <c r="N15" s="1" t="s">
        <v>34</v>
      </c>
      <c r="O15" s="1">
        <f t="shared" si="0"/>
        <v>8.6050364000000001E-3</v>
      </c>
      <c r="P15" s="1">
        <f t="shared" si="12"/>
        <v>16.494673832144983</v>
      </c>
      <c r="Q15" s="12">
        <f>Q3/Q13</f>
        <v>2.1275570300662916</v>
      </c>
      <c r="R15" s="1"/>
      <c r="S15" s="1"/>
      <c r="T15" s="1" t="s">
        <v>33</v>
      </c>
      <c r="U15" s="1">
        <f t="shared" si="2"/>
        <v>4.1320000000000003E-2</v>
      </c>
      <c r="V15" s="1">
        <f t="shared" si="3"/>
        <v>5.2545768256884848</v>
      </c>
      <c r="W15" s="12">
        <f>W3/W13</f>
        <v>1.9727539086898447</v>
      </c>
      <c r="X15" s="1"/>
      <c r="Y15" s="1"/>
      <c r="Z15" s="1" t="s">
        <v>34</v>
      </c>
      <c r="AA15" s="1">
        <f t="shared" si="5"/>
        <v>2.784E-2</v>
      </c>
      <c r="AB15" s="1">
        <f t="shared" si="6"/>
        <v>3.7502558853633574</v>
      </c>
      <c r="AC15" s="12">
        <f>AC3/AC13</f>
        <v>1.4148390719898205</v>
      </c>
      <c r="AD15" s="1"/>
      <c r="AE15" s="1"/>
      <c r="AF15" s="1" t="s">
        <v>34</v>
      </c>
      <c r="AG15" s="1">
        <f t="shared" si="13"/>
        <v>0.01</v>
      </c>
      <c r="AH15" s="1">
        <f t="shared" si="14"/>
        <v>2.63035333707235</v>
      </c>
      <c r="AI15" s="12">
        <f>AI3/AI13</f>
        <v>1.1650934724452919</v>
      </c>
      <c r="AJ15" s="1"/>
      <c r="AK15" s="1"/>
      <c r="AL15" s="1" t="s">
        <v>33</v>
      </c>
      <c r="AM15" s="1">
        <f t="shared" si="15"/>
        <v>0.01</v>
      </c>
      <c r="AN15" s="1">
        <f>H30/(AM15+0.2*(1-AM15))</f>
        <v>2.2547692307692309</v>
      </c>
      <c r="AO15" s="12">
        <f>AO3/AO14</f>
        <v>1.2935610633740871</v>
      </c>
      <c r="AP15" s="1"/>
      <c r="AQ15" s="1"/>
      <c r="AR15" s="1" t="s">
        <v>34</v>
      </c>
      <c r="AS15" s="1">
        <f t="shared" si="9"/>
        <v>0.01</v>
      </c>
      <c r="AT15" s="1">
        <f t="shared" si="10"/>
        <v>1.821328155339806</v>
      </c>
      <c r="AU15" s="12">
        <f>AU3/AU13</f>
        <v>1.1076378128671009</v>
      </c>
      <c r="AV15" s="1"/>
      <c r="AW15" s="1"/>
      <c r="AX15" s="1"/>
    </row>
    <row r="16" spans="1:50" x14ac:dyDescent="0.2">
      <c r="L16" s="1"/>
      <c r="M16" s="1"/>
      <c r="N16" s="1"/>
      <c r="O16" s="13" t="s">
        <v>35</v>
      </c>
      <c r="P16" s="14">
        <f>H31*((M2*(1-O5)+O5)/(M2*(1-O6)+O6))</f>
        <v>0.17203951514136487</v>
      </c>
      <c r="Q16" s="1"/>
      <c r="R16" s="1"/>
      <c r="S16" s="1"/>
      <c r="T16" s="1"/>
      <c r="U16" s="13" t="s">
        <v>35</v>
      </c>
      <c r="V16" s="13">
        <f>H31*((S2*(1-U5)+U5)/(S2*(1-U6)+U6))</f>
        <v>0.15647298311798546</v>
      </c>
      <c r="W16" s="1"/>
      <c r="X16" s="1"/>
      <c r="Y16" s="1"/>
      <c r="Z16" s="1"/>
      <c r="AA16" s="13" t="s">
        <v>35</v>
      </c>
      <c r="AB16" s="13">
        <f>H31*((Y2*(1-AA5)+AA5)/(Y2*(1-AA6)+AA6))</f>
        <v>0.1740631878489893</v>
      </c>
      <c r="AC16" s="1"/>
      <c r="AD16" s="1"/>
      <c r="AE16" s="1"/>
      <c r="AF16" s="1"/>
      <c r="AG16" s="13" t="s">
        <v>35</v>
      </c>
      <c r="AH16" s="13">
        <f>H31*((AE2*(1-AG5)+AG5)/(AE2*(1-AG6)+AG6))</f>
        <v>0.18196999072110298</v>
      </c>
      <c r="AI16" s="1"/>
      <c r="AJ16" s="1"/>
      <c r="AK16" s="1"/>
      <c r="AL16" s="1"/>
      <c r="AM16" s="13" t="s">
        <v>35</v>
      </c>
      <c r="AN16" s="13">
        <f>H31*((AK2*(1-AM5)+AM5)/(AK2*(1-AM6)+AM6))</f>
        <v>0.18229224891789694</v>
      </c>
      <c r="AO16" s="1"/>
      <c r="AP16" s="1"/>
      <c r="AQ16" s="1"/>
      <c r="AR16" s="1"/>
      <c r="AS16" s="43" t="s">
        <v>35</v>
      </c>
      <c r="AT16" s="43">
        <f>H31*((AQ2*(1-AS5)+AS5)/(AQ2*(1-AS6)+AS6))</f>
        <v>0.18266763346510093</v>
      </c>
      <c r="AU16" s="1"/>
      <c r="AV16" s="1"/>
      <c r="AW16" s="1"/>
      <c r="AX16" s="1"/>
    </row>
    <row r="17" spans="2:50" ht="15.75" x14ac:dyDescent="0.25">
      <c r="B17" s="17"/>
      <c r="F17" s="18"/>
      <c r="G17" s="19" t="s">
        <v>37</v>
      </c>
      <c r="H17" s="19" t="s">
        <v>69</v>
      </c>
      <c r="I17" s="19" t="s">
        <v>38</v>
      </c>
      <c r="J17" s="27"/>
      <c r="L17" s="1"/>
      <c r="M17" s="1"/>
      <c r="N17" s="1"/>
      <c r="O17" s="13" t="s">
        <v>39</v>
      </c>
      <c r="P17" s="20">
        <f>H32*((M2*(1-O15)+O15)/(M2*(1-O14)+O14))</f>
        <v>1.6167527151197476E-2</v>
      </c>
      <c r="Q17" s="1"/>
      <c r="R17" s="1"/>
      <c r="S17" s="1"/>
      <c r="T17" s="1"/>
      <c r="U17" s="13" t="s">
        <v>39</v>
      </c>
      <c r="V17" s="13">
        <f>H32*((S2*(1-U15)+U15)/(S2*(1-U14)+U14))</f>
        <v>2.0809726443768994E-2</v>
      </c>
      <c r="W17" s="1"/>
      <c r="X17" s="1"/>
      <c r="Y17" s="1"/>
      <c r="Z17" s="1"/>
      <c r="AA17" s="13" t="s">
        <v>39</v>
      </c>
      <c r="AB17" s="13">
        <f>H32*((Y2*(1-AA15)+AA15)/(Y2*(1-AA14)+AA14))</f>
        <v>2.3279698362520054E-2</v>
      </c>
      <c r="AC17" s="1"/>
      <c r="AD17" s="1"/>
      <c r="AE17" s="1"/>
      <c r="AF17" s="1"/>
      <c r="AG17" s="13" t="s">
        <v>39</v>
      </c>
      <c r="AH17" s="13">
        <f>H32*((AE2*(1-AG15)+AG15)/(AE2*(1-AG14)+AG14))</f>
        <v>2.4818814931893973E-2</v>
      </c>
      <c r="AI17" s="1"/>
      <c r="AJ17" s="1"/>
      <c r="AK17" s="1"/>
      <c r="AL17" s="1"/>
      <c r="AM17" s="13" t="s">
        <v>39</v>
      </c>
      <c r="AN17" s="13">
        <f>H32*((AK2*(1-AM15)+AM15)/(AK2*(1-AM14)+AM14))</f>
        <v>2.5335518447978031E-2</v>
      </c>
      <c r="AO17" s="1"/>
      <c r="AP17" s="1"/>
      <c r="AQ17" s="1"/>
      <c r="AR17" s="1"/>
      <c r="AS17" s="43" t="s">
        <v>39</v>
      </c>
      <c r="AT17" s="43">
        <f>H32*((AQ2*(1-AS15)+AS15)/(AQ2*(1-AS14)+AS14))</f>
        <v>2.5974442798912419E-2</v>
      </c>
      <c r="AU17" s="1"/>
      <c r="AV17" s="1"/>
      <c r="AW17" s="1"/>
      <c r="AX17" s="1"/>
    </row>
    <row r="18" spans="2:50" ht="15.75" x14ac:dyDescent="0.25">
      <c r="F18" s="18"/>
      <c r="G18" s="19" t="s">
        <v>19</v>
      </c>
      <c r="H18" s="21">
        <v>0.62405777919999994</v>
      </c>
      <c r="I18" s="18">
        <v>0.23499999999999999</v>
      </c>
      <c r="J18" s="28"/>
      <c r="L18" s="4" t="s">
        <v>60</v>
      </c>
      <c r="M18" s="1"/>
      <c r="N18" s="1"/>
      <c r="O18" s="1" t="s">
        <v>19</v>
      </c>
      <c r="P18" s="1">
        <f t="shared" ref="P18:P30" si="18">P3*O3</f>
        <v>3.1914077839884196E-2</v>
      </c>
      <c r="Q18" s="1">
        <f t="shared" ref="Q18:Q29" si="19">P18/I18</f>
        <v>0.13580458655269873</v>
      </c>
      <c r="R18" s="1"/>
      <c r="S18" s="1"/>
      <c r="T18" s="1"/>
      <c r="U18" s="1" t="s">
        <v>19</v>
      </c>
      <c r="V18" s="1">
        <f t="shared" ref="V18:V30" si="20">(H18-0.05*V3)/(1-0.05)</f>
        <v>9.2815023406186123E-2</v>
      </c>
      <c r="W18" s="1">
        <f t="shared" ref="W18:W29" si="21">V18/I18</f>
        <v>0.3949575464093027</v>
      </c>
      <c r="X18" s="1"/>
      <c r="Y18" s="1"/>
      <c r="Z18" s="1"/>
      <c r="AA18" s="1" t="s">
        <v>19</v>
      </c>
      <c r="AB18" s="1">
        <f t="shared" ref="AB18:AB30" si="22">AB3*AA3</f>
        <v>3.2636317908365978E-2</v>
      </c>
      <c r="AC18" s="1">
        <f t="shared" ref="AC18:AC29" si="23">AB18/I18</f>
        <v>0.13887794854623822</v>
      </c>
      <c r="AD18" s="1"/>
      <c r="AE18" s="1"/>
      <c r="AF18" s="1"/>
      <c r="AG18" s="1" t="s">
        <v>19</v>
      </c>
      <c r="AH18" s="1">
        <f t="shared" ref="AH18:AH30" si="24">AH3*AG3</f>
        <v>4.6231967670551394E-3</v>
      </c>
      <c r="AI18" s="1">
        <f>AH18/I18</f>
        <v>1.9673177732149532E-2</v>
      </c>
      <c r="AJ18" s="1"/>
      <c r="AK18" s="1"/>
      <c r="AL18" s="1"/>
      <c r="AM18" s="1" t="s">
        <v>19</v>
      </c>
      <c r="AN18" s="1">
        <f t="shared" ref="AN18:AN30" si="25">AN3*AM3</f>
        <v>3.8500619238974686E-3</v>
      </c>
      <c r="AO18" s="1">
        <f>AN18/I18</f>
        <v>1.638324222935093E-2</v>
      </c>
      <c r="AP18" s="1"/>
      <c r="AQ18" s="1"/>
      <c r="AR18" s="1"/>
      <c r="AS18" s="1" t="s">
        <v>19</v>
      </c>
      <c r="AT18" s="1">
        <f t="shared" ref="AT18:AT29" si="26">(H18-0.25*AT3)/(1-0.25)</f>
        <v>2.9450767297471239E-3</v>
      </c>
      <c r="AU18" s="1">
        <f t="shared" ref="AU18:AU29" si="27">AT18/I18</f>
        <v>1.2532241403179252E-2</v>
      </c>
      <c r="AV18" s="1"/>
      <c r="AW18" s="1"/>
      <c r="AX18" s="1"/>
    </row>
    <row r="19" spans="2:50" ht="15.75" x14ac:dyDescent="0.25">
      <c r="F19" s="18"/>
      <c r="G19" s="19" t="s">
        <v>21</v>
      </c>
      <c r="H19" s="21">
        <v>1.5344879999999996</v>
      </c>
      <c r="I19" s="18">
        <v>0.6</v>
      </c>
      <c r="J19" s="28"/>
      <c r="L19" s="1"/>
      <c r="M19" s="1"/>
      <c r="N19" s="1"/>
      <c r="O19" s="1" t="s">
        <v>21</v>
      </c>
      <c r="P19" s="1">
        <f t="shared" si="18"/>
        <v>0.11230876717860158</v>
      </c>
      <c r="Q19" s="1">
        <f t="shared" si="19"/>
        <v>0.18718127863100265</v>
      </c>
      <c r="R19" s="1"/>
      <c r="S19" s="1"/>
      <c r="T19" s="1"/>
      <c r="U19" s="1" t="s">
        <v>21</v>
      </c>
      <c r="V19" s="1">
        <f t="shared" si="20"/>
        <v>0.27192417915114936</v>
      </c>
      <c r="W19" s="1">
        <f t="shared" si="21"/>
        <v>0.45320696525191562</v>
      </c>
      <c r="X19" s="1"/>
      <c r="Y19" s="1"/>
      <c r="Z19" s="1"/>
      <c r="AA19" s="1" t="s">
        <v>21</v>
      </c>
      <c r="AB19" s="1">
        <f t="shared" si="22"/>
        <v>9.9389665562358842E-2</v>
      </c>
      <c r="AC19" s="1">
        <f t="shared" si="23"/>
        <v>0.16564944260393141</v>
      </c>
      <c r="AD19" s="1"/>
      <c r="AE19" s="1"/>
      <c r="AF19" s="1"/>
      <c r="AG19" s="1" t="s">
        <v>21</v>
      </c>
      <c r="AH19" s="1">
        <f t="shared" si="24"/>
        <v>1.6593686882303886E-2</v>
      </c>
      <c r="AI19" s="1">
        <f t="shared" ref="AI19:AI29" si="28">AH19/I19</f>
        <v>2.7656144803839811E-2</v>
      </c>
      <c r="AJ19" s="1"/>
      <c r="AK19" s="1"/>
      <c r="AL19" s="1"/>
      <c r="AM19" s="1" t="s">
        <v>21</v>
      </c>
      <c r="AN19" s="1">
        <f t="shared" si="25"/>
        <v>1.3806202531645566E-2</v>
      </c>
      <c r="AO19" s="1">
        <f t="shared" ref="AO19:AO29" si="29">AN19/I19</f>
        <v>2.3010337552742611E-2</v>
      </c>
      <c r="AP19" s="1"/>
      <c r="AQ19" s="1"/>
      <c r="AR19" s="1"/>
      <c r="AS19" s="1" t="s">
        <v>21</v>
      </c>
      <c r="AT19" s="1">
        <f t="shared" si="26"/>
        <v>1.0533456562289878E-2</v>
      </c>
      <c r="AU19" s="1">
        <f t="shared" si="27"/>
        <v>1.7555760937149799E-2</v>
      </c>
      <c r="AV19" s="1"/>
      <c r="AW19" s="1"/>
      <c r="AX19" s="1"/>
    </row>
    <row r="20" spans="2:50" ht="15.75" x14ac:dyDescent="0.25">
      <c r="F20" s="18"/>
      <c r="G20" s="19" t="s">
        <v>23</v>
      </c>
      <c r="H20" s="21">
        <v>1.0653017087999999</v>
      </c>
      <c r="I20" s="18">
        <v>0.46400000000000002</v>
      </c>
      <c r="J20" s="28"/>
      <c r="L20" s="1"/>
      <c r="M20" s="1"/>
      <c r="N20" s="1"/>
      <c r="O20" s="1" t="s">
        <v>23</v>
      </c>
      <c r="P20" s="1">
        <f t="shared" si="18"/>
        <v>0.16004299589820989</v>
      </c>
      <c r="Q20" s="1">
        <f t="shared" si="19"/>
        <v>0.34492024978062474</v>
      </c>
      <c r="R20" s="1"/>
      <c r="S20" s="1"/>
      <c r="T20" s="1"/>
      <c r="U20" s="1" t="s">
        <v>23</v>
      </c>
      <c r="V20" s="1">
        <f t="shared" si="20"/>
        <v>0.29253309143126105</v>
      </c>
      <c r="W20" s="1">
        <f t="shared" si="21"/>
        <v>0.63045924877426951</v>
      </c>
      <c r="X20" s="1"/>
      <c r="Y20" s="1"/>
      <c r="Z20" s="1"/>
      <c r="AA20" s="1" t="s">
        <v>23</v>
      </c>
      <c r="AB20" s="1">
        <f t="shared" si="22"/>
        <v>0.11866292810048401</v>
      </c>
      <c r="AC20" s="1">
        <f t="shared" si="23"/>
        <v>0.25573906918207762</v>
      </c>
      <c r="AD20" s="1"/>
      <c r="AE20" s="1"/>
      <c r="AF20" s="1"/>
      <c r="AG20" s="1" t="s">
        <v>23</v>
      </c>
      <c r="AH20" s="1">
        <f t="shared" si="24"/>
        <v>2.5450904213087523E-2</v>
      </c>
      <c r="AI20" s="1">
        <f t="shared" si="28"/>
        <v>5.4851086666136903E-2</v>
      </c>
      <c r="AJ20" s="1"/>
      <c r="AK20" s="1"/>
      <c r="AL20" s="1"/>
      <c r="AM20" s="1" t="s">
        <v>23</v>
      </c>
      <c r="AN20" s="1">
        <f t="shared" si="25"/>
        <v>2.1202667893955793E-2</v>
      </c>
      <c r="AO20" s="1">
        <f t="shared" si="29"/>
        <v>4.5695404943870241E-2</v>
      </c>
      <c r="AP20" s="1"/>
      <c r="AQ20" s="1"/>
      <c r="AR20" s="1"/>
      <c r="AS20" s="1" t="s">
        <v>23</v>
      </c>
      <c r="AT20" s="1">
        <f t="shared" si="26"/>
        <v>1.6185008255683364E-2</v>
      </c>
      <c r="AU20" s="1">
        <f t="shared" si="27"/>
        <v>3.4881483309662419E-2</v>
      </c>
      <c r="AV20" s="1"/>
      <c r="AW20" s="1"/>
      <c r="AX20" s="1"/>
    </row>
    <row r="21" spans="2:50" ht="15.75" x14ac:dyDescent="0.25">
      <c r="F21" s="18"/>
      <c r="G21" s="19" t="s">
        <v>24</v>
      </c>
      <c r="H21" s="21">
        <v>0.39973260799999993</v>
      </c>
      <c r="I21" s="18">
        <v>0.153</v>
      </c>
      <c r="J21" s="28"/>
      <c r="L21" s="1"/>
      <c r="M21" s="1"/>
      <c r="N21" s="1"/>
      <c r="O21" s="1" t="s">
        <v>24</v>
      </c>
      <c r="P21" s="1">
        <f t="shared" si="18"/>
        <v>8.1954652758621377E-2</v>
      </c>
      <c r="Q21" s="1">
        <f t="shared" si="19"/>
        <v>0.53565132521974756</v>
      </c>
      <c r="R21" s="1"/>
      <c r="S21" s="1"/>
      <c r="T21" s="1"/>
      <c r="U21" s="1" t="s">
        <v>24</v>
      </c>
      <c r="V21" s="1">
        <f t="shared" si="20"/>
        <v>0.14954737439131607</v>
      </c>
      <c r="W21" s="1">
        <f t="shared" si="21"/>
        <v>0.97743381955108544</v>
      </c>
      <c r="X21" s="1"/>
      <c r="Y21" s="1"/>
      <c r="Z21" s="1"/>
      <c r="AA21" s="1" t="s">
        <v>24</v>
      </c>
      <c r="AB21" s="1">
        <f t="shared" si="22"/>
        <v>6.5283537625311985E-2</v>
      </c>
      <c r="AC21" s="1">
        <f t="shared" si="23"/>
        <v>0.42668978840073196</v>
      </c>
      <c r="AD21" s="1"/>
      <c r="AE21" s="1"/>
      <c r="AF21" s="1"/>
      <c r="AG21" s="1" t="s">
        <v>24</v>
      </c>
      <c r="AH21" s="1">
        <f t="shared" si="24"/>
        <v>1.3740861209710922E-2</v>
      </c>
      <c r="AI21" s="1">
        <f t="shared" si="28"/>
        <v>8.9809550390267473E-2</v>
      </c>
      <c r="AJ21" s="1"/>
      <c r="AK21" s="1"/>
      <c r="AL21" s="1"/>
      <c r="AM21" s="1" t="s">
        <v>24</v>
      </c>
      <c r="AN21" s="1">
        <f t="shared" si="25"/>
        <v>1.1458230712380429E-2</v>
      </c>
      <c r="AO21" s="1">
        <f t="shared" si="29"/>
        <v>7.4890396812943974E-2</v>
      </c>
      <c r="AP21" s="1"/>
      <c r="AQ21" s="1"/>
      <c r="AR21" s="1"/>
      <c r="AS21" s="1" t="s">
        <v>24</v>
      </c>
      <c r="AT21" s="1">
        <f t="shared" si="26"/>
        <v>8.7488405925666424E-3</v>
      </c>
      <c r="AU21" s="1">
        <f t="shared" si="27"/>
        <v>5.7181964657298315E-2</v>
      </c>
      <c r="AV21" s="1"/>
      <c r="AW21" s="1"/>
      <c r="AX21" s="1"/>
    </row>
    <row r="22" spans="2:50" ht="15.75" x14ac:dyDescent="0.25">
      <c r="F22" s="18"/>
      <c r="G22" s="19" t="s">
        <v>25</v>
      </c>
      <c r="H22" s="21">
        <v>0.17125867519999999</v>
      </c>
      <c r="I22" s="18">
        <v>5.8599999999999999E-2</v>
      </c>
      <c r="J22" s="28"/>
      <c r="L22" s="1"/>
      <c r="M22" s="1"/>
      <c r="N22" s="1"/>
      <c r="O22" s="1" t="s">
        <v>25</v>
      </c>
      <c r="P22" s="1">
        <f t="shared" si="18"/>
        <v>4.3144406639715256E-2</v>
      </c>
      <c r="Q22" s="1">
        <f t="shared" si="19"/>
        <v>0.7362526730326836</v>
      </c>
      <c r="R22" s="1"/>
      <c r="S22" s="1"/>
      <c r="T22" s="1"/>
      <c r="U22" s="1" t="s">
        <v>25</v>
      </c>
      <c r="V22" s="1">
        <f t="shared" si="20"/>
        <v>8.4026973390352616E-2</v>
      </c>
      <c r="W22" s="1">
        <f t="shared" si="21"/>
        <v>1.4339073957398059</v>
      </c>
      <c r="X22" s="1"/>
      <c r="Y22" s="1"/>
      <c r="Z22" s="1"/>
      <c r="AA22" s="1" t="s">
        <v>25</v>
      </c>
      <c r="AB22" s="1">
        <f t="shared" si="22"/>
        <v>3.9998969654530113E-2</v>
      </c>
      <c r="AC22" s="1">
        <f t="shared" si="23"/>
        <v>0.68257627396809062</v>
      </c>
      <c r="AD22" s="1"/>
      <c r="AE22" s="1"/>
      <c r="AF22" s="1"/>
      <c r="AG22" s="1" t="s">
        <v>25</v>
      </c>
      <c r="AH22" s="1">
        <f t="shared" si="24"/>
        <v>7.5496663903779878E-3</v>
      </c>
      <c r="AI22" s="1">
        <f t="shared" si="28"/>
        <v>0.12883389744672336</v>
      </c>
      <c r="AJ22" s="1"/>
      <c r="AK22" s="1"/>
      <c r="AL22" s="1"/>
      <c r="AM22" s="1" t="s">
        <v>25</v>
      </c>
      <c r="AN22" s="1">
        <f t="shared" si="25"/>
        <v>6.3037300861463197E-3</v>
      </c>
      <c r="AO22" s="1">
        <f t="shared" si="29"/>
        <v>0.10757218577041501</v>
      </c>
      <c r="AP22" s="1"/>
      <c r="AQ22" s="1"/>
      <c r="AR22" s="1"/>
      <c r="AS22" s="1" t="s">
        <v>25</v>
      </c>
      <c r="AT22" s="1">
        <f t="shared" si="26"/>
        <v>4.8187761829957543E-3</v>
      </c>
      <c r="AU22" s="1">
        <f t="shared" si="27"/>
        <v>8.2231675477743252E-2</v>
      </c>
      <c r="AV22" s="1"/>
      <c r="AW22" s="1"/>
      <c r="AX22" s="1"/>
    </row>
    <row r="23" spans="2:50" ht="15.75" x14ac:dyDescent="0.25">
      <c r="F23" s="18"/>
      <c r="G23" s="19" t="s">
        <v>26</v>
      </c>
      <c r="H23" s="21">
        <v>0.56610464000000005</v>
      </c>
      <c r="I23" s="18">
        <v>0.20599999999999999</v>
      </c>
      <c r="J23" s="28"/>
      <c r="L23" s="1"/>
      <c r="M23" s="1"/>
      <c r="N23" s="1"/>
      <c r="O23" s="1" t="s">
        <v>26</v>
      </c>
      <c r="P23" s="1">
        <f t="shared" si="18"/>
        <v>0.1646746858964851</v>
      </c>
      <c r="Q23" s="1">
        <f t="shared" si="19"/>
        <v>0.79939167910915099</v>
      </c>
      <c r="R23" s="1"/>
      <c r="S23" s="1"/>
      <c r="T23" s="1"/>
      <c r="U23" s="1" t="s">
        <v>26</v>
      </c>
      <c r="V23" s="1">
        <f t="shared" si="20"/>
        <v>0.29876396223148582</v>
      </c>
      <c r="W23" s="1">
        <f t="shared" si="21"/>
        <v>1.4503104962693487</v>
      </c>
      <c r="X23" s="1"/>
      <c r="Y23" s="1"/>
      <c r="Z23" s="1"/>
      <c r="AA23" s="1" t="s">
        <v>26</v>
      </c>
      <c r="AB23" s="1">
        <f t="shared" si="22"/>
        <v>0.14814009821492735</v>
      </c>
      <c r="AC23" s="1">
        <f t="shared" si="23"/>
        <v>0.71912669036372501</v>
      </c>
      <c r="AD23" s="1"/>
      <c r="AE23" s="1"/>
      <c r="AF23" s="1"/>
      <c r="AG23" s="1" t="s">
        <v>26</v>
      </c>
      <c r="AH23" s="1">
        <f t="shared" si="24"/>
        <v>2.9803869199608909E-2</v>
      </c>
      <c r="AI23" s="1">
        <f t="shared" si="28"/>
        <v>0.14467897669713065</v>
      </c>
      <c r="AJ23" s="1"/>
      <c r="AK23" s="1"/>
      <c r="AL23" s="1"/>
      <c r="AM23" s="1" t="s">
        <v>26</v>
      </c>
      <c r="AN23" s="1">
        <f t="shared" si="25"/>
        <v>2.4886046273336876E-2</v>
      </c>
      <c r="AO23" s="1">
        <f t="shared" si="29"/>
        <v>0.12080604987056737</v>
      </c>
      <c r="AP23" s="1"/>
      <c r="AQ23" s="1"/>
      <c r="AR23" s="1"/>
      <c r="AS23" s="1" t="s">
        <v>26</v>
      </c>
      <c r="AT23" s="1">
        <f t="shared" si="26"/>
        <v>1.8994966644862849E-2</v>
      </c>
      <c r="AU23" s="1">
        <f t="shared" si="27"/>
        <v>9.2208575945936164E-2</v>
      </c>
      <c r="AV23" s="1"/>
      <c r="AW23" s="1"/>
      <c r="AX23" s="1"/>
    </row>
    <row r="24" spans="2:50" ht="15.75" x14ac:dyDescent="0.25">
      <c r="F24" s="18"/>
      <c r="G24" s="19" t="s">
        <v>27</v>
      </c>
      <c r="H24" s="21">
        <v>0.10983359999999999</v>
      </c>
      <c r="I24" s="18">
        <v>3.7499999999999999E-2</v>
      </c>
      <c r="J24" s="28"/>
      <c r="L24" s="1"/>
      <c r="M24" s="1"/>
      <c r="N24" s="1"/>
      <c r="O24" s="1" t="s">
        <v>27</v>
      </c>
      <c r="P24" s="1">
        <f t="shared" si="18"/>
        <v>3.5523638517289902E-2</v>
      </c>
      <c r="Q24" s="1">
        <f t="shared" si="19"/>
        <v>0.94729702712773078</v>
      </c>
      <c r="R24" s="1"/>
      <c r="S24" s="1"/>
      <c r="T24" s="1"/>
      <c r="U24" s="1" t="s">
        <v>27</v>
      </c>
      <c r="V24" s="1">
        <f t="shared" si="20"/>
        <v>5.7970577891677082E-2</v>
      </c>
      <c r="W24" s="1">
        <f t="shared" si="21"/>
        <v>1.5458820771113888</v>
      </c>
      <c r="X24" s="1"/>
      <c r="Y24" s="1"/>
      <c r="Z24" s="1"/>
      <c r="AA24" s="1" t="s">
        <v>27</v>
      </c>
      <c r="AB24" s="1">
        <f t="shared" si="22"/>
        <v>2.9188794996842588E-2</v>
      </c>
      <c r="AC24" s="1">
        <f t="shared" si="23"/>
        <v>0.77836786658246904</v>
      </c>
      <c r="AD24" s="1"/>
      <c r="AE24" s="1"/>
      <c r="AF24" s="1"/>
      <c r="AG24" s="1" t="s">
        <v>27</v>
      </c>
      <c r="AH24" s="1">
        <f t="shared" si="24"/>
        <v>6.735923397791002E-3</v>
      </c>
      <c r="AI24" s="1">
        <f t="shared" si="28"/>
        <v>0.17962462394109338</v>
      </c>
      <c r="AJ24" s="1"/>
      <c r="AK24" s="1"/>
      <c r="AL24" s="1"/>
      <c r="AM24" s="1" t="s">
        <v>27</v>
      </c>
      <c r="AN24" s="1">
        <f t="shared" si="25"/>
        <v>5.6286099256772941E-3</v>
      </c>
      <c r="AO24" s="1">
        <f t="shared" si="29"/>
        <v>0.15009626468472784</v>
      </c>
      <c r="AP24" s="1"/>
      <c r="AQ24" s="1"/>
      <c r="AR24" s="1"/>
      <c r="AS24" s="1" t="s">
        <v>27</v>
      </c>
      <c r="AT24" s="1">
        <f t="shared" si="26"/>
        <v>4.2964343517192805E-3</v>
      </c>
      <c r="AU24" s="1">
        <f t="shared" si="27"/>
        <v>0.11457158271251415</v>
      </c>
      <c r="AV24" s="1"/>
      <c r="AW24" s="1"/>
      <c r="AX24" s="1"/>
    </row>
    <row r="25" spans="2:50" ht="15.75" x14ac:dyDescent="0.25">
      <c r="F25" s="18"/>
      <c r="G25" s="19" t="s">
        <v>28</v>
      </c>
      <c r="H25" s="21">
        <v>0.73779928319999988</v>
      </c>
      <c r="I25" s="18">
        <v>0.254</v>
      </c>
      <c r="J25" s="28"/>
      <c r="L25" s="1"/>
      <c r="M25" s="1"/>
      <c r="N25" s="1"/>
      <c r="O25" s="1" t="s">
        <v>28</v>
      </c>
      <c r="P25" s="1">
        <f t="shared" si="18"/>
        <v>0.26367313941341519</v>
      </c>
      <c r="Q25" s="1">
        <f t="shared" si="19"/>
        <v>1.0380832260370676</v>
      </c>
      <c r="R25" s="1"/>
      <c r="S25" s="1"/>
      <c r="T25" s="1"/>
      <c r="U25" s="1" t="s">
        <v>28</v>
      </c>
      <c r="V25" s="1">
        <f t="shared" si="20"/>
        <v>0.40453506630672964</v>
      </c>
      <c r="W25" s="1">
        <f t="shared" si="21"/>
        <v>1.5926577413650773</v>
      </c>
      <c r="X25" s="1"/>
      <c r="Y25" s="1"/>
      <c r="Z25" s="1"/>
      <c r="AA25" s="1" t="s">
        <v>28</v>
      </c>
      <c r="AB25" s="1">
        <f t="shared" si="22"/>
        <v>0.20938151517457437</v>
      </c>
      <c r="AC25" s="1">
        <f t="shared" si="23"/>
        <v>0.82433667391564713</v>
      </c>
      <c r="AD25" s="1"/>
      <c r="AE25" s="1"/>
      <c r="AF25" s="1"/>
      <c r="AG25" s="1" t="s">
        <v>28</v>
      </c>
      <c r="AH25" s="1">
        <f t="shared" si="24"/>
        <v>5.1909855120493231E-2</v>
      </c>
      <c r="AI25" s="1">
        <f t="shared" si="28"/>
        <v>0.20436950834839854</v>
      </c>
      <c r="AJ25" s="1"/>
      <c r="AK25" s="1"/>
      <c r="AL25" s="1"/>
      <c r="AM25" s="1" t="s">
        <v>28</v>
      </c>
      <c r="AN25" s="1">
        <f t="shared" si="25"/>
        <v>4.3439555959635223E-2</v>
      </c>
      <c r="AO25" s="1">
        <f t="shared" si="29"/>
        <v>0.1710218738568316</v>
      </c>
      <c r="AP25" s="1"/>
      <c r="AQ25" s="1"/>
      <c r="AR25" s="1"/>
      <c r="AS25" s="1" t="s">
        <v>28</v>
      </c>
      <c r="AT25" s="1">
        <f t="shared" si="26"/>
        <v>3.3212128039880273E-2</v>
      </c>
      <c r="AU25" s="1">
        <f t="shared" si="27"/>
        <v>0.13075640960582785</v>
      </c>
      <c r="AV25" s="1"/>
      <c r="AW25" s="1"/>
      <c r="AX25" s="1"/>
    </row>
    <row r="26" spans="2:50" ht="15.75" x14ac:dyDescent="0.25">
      <c r="F26" s="18"/>
      <c r="G26" s="19" t="s">
        <v>29</v>
      </c>
      <c r="H26" s="21">
        <v>0.42105945599999994</v>
      </c>
      <c r="I26" s="18">
        <v>0.16600000000000001</v>
      </c>
      <c r="J26" s="28"/>
      <c r="L26" s="1"/>
      <c r="M26" s="1"/>
      <c r="N26" s="1"/>
      <c r="O26" s="1" t="s">
        <v>29</v>
      </c>
      <c r="P26" s="1">
        <f t="shared" si="18"/>
        <v>0.18001755487523496</v>
      </c>
      <c r="Q26" s="1">
        <f t="shared" si="19"/>
        <v>1.0844431016580418</v>
      </c>
      <c r="R26" s="1"/>
      <c r="S26" s="1"/>
      <c r="T26" s="1"/>
      <c r="U26" s="1" t="s">
        <v>29</v>
      </c>
      <c r="V26" s="1">
        <f t="shared" si="20"/>
        <v>0.22985674823280217</v>
      </c>
      <c r="W26" s="1">
        <f t="shared" si="21"/>
        <v>1.3846792062216997</v>
      </c>
      <c r="X26" s="1"/>
      <c r="Y26" s="1"/>
      <c r="Z26" s="1"/>
      <c r="AA26" s="1" t="s">
        <v>29</v>
      </c>
      <c r="AB26" s="1">
        <f t="shared" si="22"/>
        <v>0.12299664797835877</v>
      </c>
      <c r="AC26" s="1">
        <f t="shared" si="23"/>
        <v>0.74094366252023347</v>
      </c>
      <c r="AD26" s="1"/>
      <c r="AE26" s="1"/>
      <c r="AF26" s="1"/>
      <c r="AG26" s="1" t="s">
        <v>29</v>
      </c>
      <c r="AH26" s="1">
        <f t="shared" si="24"/>
        <v>3.8767041241519813E-2</v>
      </c>
      <c r="AI26" s="1">
        <f t="shared" si="28"/>
        <v>0.23353639302120369</v>
      </c>
      <c r="AJ26" s="1"/>
      <c r="AK26" s="1"/>
      <c r="AL26" s="1"/>
      <c r="AM26" s="1" t="s">
        <v>29</v>
      </c>
      <c r="AN26" s="1">
        <f t="shared" si="25"/>
        <v>3.2517198922925365E-2</v>
      </c>
      <c r="AO26" s="1">
        <f t="shared" si="29"/>
        <v>0.19588674049955038</v>
      </c>
      <c r="AP26" s="1"/>
      <c r="AQ26" s="1"/>
      <c r="AR26" s="1"/>
      <c r="AS26" s="1" t="s">
        <v>29</v>
      </c>
      <c r="AT26" s="1">
        <f t="shared" si="26"/>
        <v>2.4891879212113926E-2</v>
      </c>
      <c r="AU26" s="1">
        <f t="shared" si="27"/>
        <v>0.14995107959104773</v>
      </c>
      <c r="AV26" s="1"/>
      <c r="AW26" s="1"/>
      <c r="AX26" s="1"/>
    </row>
    <row r="27" spans="2:50" ht="15.75" x14ac:dyDescent="0.25">
      <c r="F27" s="18"/>
      <c r="G27" s="19" t="s">
        <v>30</v>
      </c>
      <c r="H27" s="21">
        <v>5.9567104000000003E-2</v>
      </c>
      <c r="I27" s="18">
        <v>2.6200000000000001E-2</v>
      </c>
      <c r="J27" s="28"/>
      <c r="L27" s="1"/>
      <c r="M27" s="1"/>
      <c r="N27" s="1"/>
      <c r="O27" s="1" t="s">
        <v>30</v>
      </c>
      <c r="P27" s="1">
        <f t="shared" si="18"/>
        <v>2.967178143200145E-2</v>
      </c>
      <c r="Q27" s="1">
        <f t="shared" si="19"/>
        <v>1.1325107416794447</v>
      </c>
      <c r="R27" s="1"/>
      <c r="S27" s="1"/>
      <c r="T27" s="1"/>
      <c r="U27" s="1" t="s">
        <v>30</v>
      </c>
      <c r="V27" s="1">
        <f t="shared" si="20"/>
        <v>3.3402114392523365E-2</v>
      </c>
      <c r="W27" s="1">
        <f t="shared" si="21"/>
        <v>1.274889862310052</v>
      </c>
      <c r="X27" s="1"/>
      <c r="Y27" s="1"/>
      <c r="Z27" s="1"/>
      <c r="AA27" s="1" t="s">
        <v>30</v>
      </c>
      <c r="AB27" s="1">
        <f t="shared" si="22"/>
        <v>1.8722713061736718E-2</v>
      </c>
      <c r="AC27" s="1">
        <f t="shared" si="23"/>
        <v>0.714607368768577</v>
      </c>
      <c r="AD27" s="1"/>
      <c r="AE27" s="1"/>
      <c r="AF27" s="1"/>
      <c r="AG27" s="1" t="s">
        <v>30</v>
      </c>
      <c r="AH27" s="1">
        <f t="shared" si="24"/>
        <v>7.0656811751049157E-3</v>
      </c>
      <c r="AI27" s="1">
        <f t="shared" si="28"/>
        <v>0.26968248759942426</v>
      </c>
      <c r="AJ27" s="1"/>
      <c r="AK27" s="1"/>
      <c r="AL27" s="1"/>
      <c r="AM27" s="1" t="s">
        <v>30</v>
      </c>
      <c r="AN27" s="1">
        <f t="shared" si="25"/>
        <v>5.9499965294198846E-3</v>
      </c>
      <c r="AO27" s="1">
        <f t="shared" si="29"/>
        <v>0.22709910417633147</v>
      </c>
      <c r="AP27" s="1"/>
      <c r="AQ27" s="1"/>
      <c r="AR27" s="1"/>
      <c r="AS27" s="1" t="s">
        <v>30</v>
      </c>
      <c r="AT27" s="1">
        <f t="shared" si="26"/>
        <v>4.5729518015257915E-3</v>
      </c>
      <c r="AU27" s="1">
        <f t="shared" si="27"/>
        <v>0.17454014509640425</v>
      </c>
      <c r="AV27" s="1"/>
      <c r="AW27" s="1"/>
      <c r="AX27" s="1"/>
    </row>
    <row r="28" spans="2:50" ht="15.75" x14ac:dyDescent="0.25">
      <c r="F28" s="18"/>
      <c r="G28" s="19" t="s">
        <v>31</v>
      </c>
      <c r="H28" s="21">
        <v>0.43118559999999995</v>
      </c>
      <c r="I28" s="18">
        <v>0.16800000000000001</v>
      </c>
      <c r="J28" s="28"/>
      <c r="L28" s="1"/>
      <c r="M28" s="1"/>
      <c r="N28" s="1"/>
      <c r="O28" s="1" t="s">
        <v>31</v>
      </c>
      <c r="P28" s="1">
        <f t="shared" si="18"/>
        <v>0.23673597334417926</v>
      </c>
      <c r="Q28" s="1">
        <f t="shared" si="19"/>
        <v>1.4091426984772575</v>
      </c>
      <c r="R28" s="1"/>
      <c r="S28" s="1"/>
      <c r="T28" s="1"/>
      <c r="U28" s="1" t="s">
        <v>31</v>
      </c>
      <c r="V28" s="1">
        <f t="shared" si="20"/>
        <v>0.24946338752550251</v>
      </c>
      <c r="W28" s="1">
        <f t="shared" si="21"/>
        <v>1.4849011162232291</v>
      </c>
      <c r="X28" s="1"/>
      <c r="Y28" s="1"/>
      <c r="Z28" s="1"/>
      <c r="AA28" s="1" t="s">
        <v>31</v>
      </c>
      <c r="AB28" s="1">
        <f t="shared" si="22"/>
        <v>0.14522394229844524</v>
      </c>
      <c r="AC28" s="1">
        <f t="shared" si="23"/>
        <v>0.86442822796693586</v>
      </c>
      <c r="AD28" s="1"/>
      <c r="AE28" s="1"/>
      <c r="AF28" s="1"/>
      <c r="AG28" s="1" t="s">
        <v>31</v>
      </c>
      <c r="AH28" s="1">
        <f t="shared" si="24"/>
        <v>6.0990848619786736E-2</v>
      </c>
      <c r="AI28" s="1">
        <f t="shared" si="28"/>
        <v>0.36304076559396864</v>
      </c>
      <c r="AJ28" s="1"/>
      <c r="AK28" s="1"/>
      <c r="AL28" s="1"/>
      <c r="AM28" s="1" t="s">
        <v>31</v>
      </c>
      <c r="AN28" s="1">
        <f t="shared" si="25"/>
        <v>5.1546322857788825E-2</v>
      </c>
      <c r="AO28" s="1">
        <f t="shared" si="29"/>
        <v>0.30682335034398106</v>
      </c>
      <c r="AP28" s="1"/>
      <c r="AQ28" s="1"/>
      <c r="AR28" s="1"/>
      <c r="AS28" s="1" t="s">
        <v>31</v>
      </c>
      <c r="AT28" s="1">
        <f t="shared" si="26"/>
        <v>3.9774270318572093E-2</v>
      </c>
      <c r="AU28" s="1">
        <f t="shared" si="27"/>
        <v>0.2367516090391196</v>
      </c>
      <c r="AV28" s="1"/>
      <c r="AW28" s="1"/>
      <c r="AX28" s="1"/>
    </row>
    <row r="29" spans="2:50" ht="15.75" x14ac:dyDescent="0.25">
      <c r="F29" s="18"/>
      <c r="G29" s="19" t="s">
        <v>32</v>
      </c>
      <c r="H29" s="21">
        <v>5.6727359999999991E-2</v>
      </c>
      <c r="I29" s="18">
        <v>2.46E-2</v>
      </c>
      <c r="J29" s="28"/>
      <c r="L29" s="1"/>
      <c r="M29" s="1"/>
      <c r="N29" s="1"/>
      <c r="O29" s="1" t="s">
        <v>32</v>
      </c>
      <c r="P29" s="1">
        <f t="shared" si="18"/>
        <v>3.3947180686826749E-2</v>
      </c>
      <c r="Q29" s="1">
        <f t="shared" si="19"/>
        <v>1.3799666945864533</v>
      </c>
      <c r="R29" s="1"/>
      <c r="S29" s="1"/>
      <c r="T29" s="1"/>
      <c r="U29" s="1" t="s">
        <v>32</v>
      </c>
      <c r="V29" s="1">
        <f t="shared" si="20"/>
        <v>3.3660213612565437E-2</v>
      </c>
      <c r="W29" s="1">
        <f t="shared" si="21"/>
        <v>1.3683013663644485</v>
      </c>
      <c r="X29" s="1"/>
      <c r="Y29" s="1"/>
      <c r="Z29" s="1"/>
      <c r="AA29" s="1" t="s">
        <v>32</v>
      </c>
      <c r="AB29" s="1">
        <f t="shared" si="22"/>
        <v>2.0363588922810316E-2</v>
      </c>
      <c r="AC29" s="1">
        <f t="shared" si="23"/>
        <v>0.82778816759391527</v>
      </c>
      <c r="AD29" s="1"/>
      <c r="AE29" s="1"/>
      <c r="AF29" s="1"/>
      <c r="AG29" s="1" t="s">
        <v>32</v>
      </c>
      <c r="AH29" s="1">
        <f t="shared" si="24"/>
        <v>9.5349675300099735E-3</v>
      </c>
      <c r="AI29" s="1">
        <f t="shared" si="28"/>
        <v>0.38760030609796642</v>
      </c>
      <c r="AJ29" s="1"/>
      <c r="AK29" s="1"/>
      <c r="AL29" s="1"/>
      <c r="AM29" s="1" t="s">
        <v>32</v>
      </c>
      <c r="AN29" s="1">
        <f t="shared" si="25"/>
        <v>8.0937683660362286E-3</v>
      </c>
      <c r="AO29" s="1">
        <f t="shared" si="29"/>
        <v>0.32901497422911496</v>
      </c>
      <c r="AP29" s="1"/>
      <c r="AQ29" s="1"/>
      <c r="AR29" s="1"/>
      <c r="AS29" s="1" t="s">
        <v>32</v>
      </c>
      <c r="AT29" s="1">
        <f t="shared" si="26"/>
        <v>6.2767121881347476E-3</v>
      </c>
      <c r="AU29" s="1">
        <f t="shared" si="27"/>
        <v>0.25515090195669704</v>
      </c>
      <c r="AV29" s="1"/>
      <c r="AW29" s="1"/>
      <c r="AX29" s="1"/>
    </row>
    <row r="30" spans="2:50" ht="15.75" x14ac:dyDescent="0.25">
      <c r="F30" s="18"/>
      <c r="G30" s="19" t="s">
        <v>34</v>
      </c>
      <c r="H30" s="21">
        <v>0.46899200000000002</v>
      </c>
      <c r="I30" s="18"/>
      <c r="J30" s="28"/>
      <c r="L30" s="1"/>
      <c r="M30" s="1"/>
      <c r="N30" s="1"/>
      <c r="O30" s="1" t="s">
        <v>34</v>
      </c>
      <c r="P30" s="1">
        <f t="shared" si="18"/>
        <v>0.14193726873173507</v>
      </c>
      <c r="Q30" s="1"/>
      <c r="R30" s="1"/>
      <c r="S30" s="1"/>
      <c r="T30" s="1"/>
      <c r="U30" s="1" t="s">
        <v>34</v>
      </c>
      <c r="V30" s="1">
        <f t="shared" si="20"/>
        <v>0.21711911443744819</v>
      </c>
      <c r="W30" s="1"/>
      <c r="X30" s="1"/>
      <c r="Y30" s="1"/>
      <c r="Z30" s="1"/>
      <c r="AA30" s="1" t="s">
        <v>34</v>
      </c>
      <c r="AB30" s="1">
        <f t="shared" si="22"/>
        <v>0.10440712384851587</v>
      </c>
      <c r="AC30" s="1"/>
      <c r="AD30" s="1"/>
      <c r="AE30" s="1"/>
      <c r="AF30" s="1"/>
      <c r="AG30" s="1" t="s">
        <v>34</v>
      </c>
      <c r="AH30" s="1">
        <f t="shared" si="24"/>
        <v>2.6303533370723501E-2</v>
      </c>
      <c r="AI30" s="1"/>
      <c r="AJ30" s="1"/>
      <c r="AK30" s="1"/>
      <c r="AL30" s="1"/>
      <c r="AM30" s="1" t="s">
        <v>33</v>
      </c>
      <c r="AN30" s="1">
        <f t="shared" si="25"/>
        <v>2.254769230769231E-2</v>
      </c>
      <c r="AO30" s="1"/>
      <c r="AP30" s="1"/>
      <c r="AQ30" s="1"/>
      <c r="AR30" s="1"/>
      <c r="AS30" s="1" t="s">
        <v>33</v>
      </c>
      <c r="AT30" s="1">
        <f>AT15*AS15</f>
        <v>1.8213281553398061E-2</v>
      </c>
      <c r="AU30" s="1"/>
      <c r="AV30" s="1"/>
      <c r="AW30" s="1"/>
      <c r="AX30" s="1"/>
    </row>
    <row r="31" spans="2:50" x14ac:dyDescent="0.2">
      <c r="G31" s="13" t="s">
        <v>35</v>
      </c>
      <c r="H31" s="13">
        <v>0.18360000000000001</v>
      </c>
      <c r="L31" s="1"/>
      <c r="M31" s="1"/>
      <c r="N31" s="1"/>
      <c r="O31" s="13" t="s">
        <v>35</v>
      </c>
      <c r="P31" s="20">
        <f>H31*(O6/O5)*((M2*(1-O5)+O5)/(M2*(1-O6)+O6))</f>
        <v>0.25056053372792431</v>
      </c>
      <c r="Q31" s="1"/>
      <c r="R31" s="1"/>
      <c r="S31" s="1"/>
      <c r="T31" s="1"/>
      <c r="U31" s="13" t="s">
        <v>35</v>
      </c>
      <c r="V31" s="20">
        <f>H31*(U6/U5)*((S2*(1-U5)+U5)/(S2*(1-U6)+U6))</f>
        <v>0.24444691914749883</v>
      </c>
      <c r="W31" s="1"/>
      <c r="X31" s="1"/>
      <c r="Y31" s="1"/>
      <c r="Z31" s="1"/>
      <c r="AA31" s="13" t="s">
        <v>35</v>
      </c>
      <c r="AB31" s="20">
        <f>H31*(AA6/AA5)*((Y2*(1-AA5)+AA5)/(Y2*(1-AA6)+AA6))</f>
        <v>0.26919335981880044</v>
      </c>
      <c r="AC31" s="1"/>
      <c r="AD31" s="1"/>
      <c r="AE31" s="1"/>
      <c r="AF31" s="1"/>
      <c r="AG31" s="13" t="s">
        <v>35</v>
      </c>
      <c r="AH31" s="13">
        <f>H31*(AG6/AG5)*((AE2*(1-AG5)+AG5)/(AE2*(1-AG6)+AG6))</f>
        <v>0.26417180282453012</v>
      </c>
      <c r="AI31" s="1"/>
      <c r="AJ31" s="1"/>
      <c r="AK31" s="1"/>
      <c r="AL31" s="1"/>
      <c r="AM31" s="13" t="s">
        <v>35</v>
      </c>
      <c r="AN31" s="13">
        <f>H31*(AM6/AM5)*((AK2*(1-AM5)+AM5)/(AK2*(1-AM6)+AM6))</f>
        <v>0.26442515958609653</v>
      </c>
      <c r="AO31" s="1"/>
      <c r="AP31" s="1"/>
      <c r="AQ31" s="1"/>
      <c r="AR31" s="1"/>
      <c r="AS31" s="13" t="s">
        <v>35</v>
      </c>
      <c r="AT31" s="13">
        <f>H31*(AS6/AS5)*((AQ2*(1-AS5)+AS5)/(AQ2*(1-AS6)+AS6))</f>
        <v>0.26449246355188877</v>
      </c>
      <c r="AU31" s="1"/>
      <c r="AV31" s="1"/>
      <c r="AW31" s="1"/>
      <c r="AX31" s="1"/>
    </row>
    <row r="32" spans="2:50" x14ac:dyDescent="0.2">
      <c r="G32" s="13" t="s">
        <v>39</v>
      </c>
      <c r="H32" s="13">
        <v>2.75E-2</v>
      </c>
      <c r="L32" s="1"/>
      <c r="M32" s="1"/>
      <c r="N32" s="1"/>
      <c r="O32" s="13" t="s">
        <v>39</v>
      </c>
      <c r="P32" s="20">
        <f>H32*(O14/O15)*((M2*(1-O15)+O15)/(M2*(1-O14)+O14))</f>
        <v>5.4376697011765202E-2</v>
      </c>
      <c r="Q32" s="1"/>
      <c r="R32" s="1"/>
      <c r="S32" s="1"/>
      <c r="T32" s="1"/>
      <c r="U32" s="13" t="s">
        <v>39</v>
      </c>
      <c r="V32" s="20">
        <f>H32*(U14/U15)*((S2*(1-U15)+U15)/(S2*(1-U14)+U14))</f>
        <v>3.4246403634469791E-2</v>
      </c>
      <c r="W32" s="1"/>
      <c r="X32" s="1"/>
      <c r="Y32" s="1"/>
      <c r="Z32" s="1"/>
      <c r="AA32" s="13" t="s">
        <v>39</v>
      </c>
      <c r="AB32" s="20">
        <f>H32*(AA14/AA15)*((Y2*(1-AA15)+AA15)/(Y2*(1-AA14)+AA14))</f>
        <v>4.4343477161078969E-2</v>
      </c>
      <c r="AC32" s="1"/>
      <c r="AD32" s="1"/>
      <c r="AE32" s="1"/>
      <c r="AF32" s="1"/>
      <c r="AG32" s="13" t="s">
        <v>39</v>
      </c>
      <c r="AH32" s="13">
        <f>H32*(AG14/AG15)*((AE2*(1-AG15)+AG15)/(AE2*(1-AG14)+AG14))</f>
        <v>8.2415838744340331E-2</v>
      </c>
      <c r="AI32" s="1"/>
      <c r="AJ32" s="1"/>
      <c r="AK32" s="1"/>
      <c r="AL32" s="1"/>
      <c r="AM32" s="13" t="s">
        <v>39</v>
      </c>
      <c r="AN32" s="13">
        <f>H32*(AM14/AM15)*((AK2*(1-AM15)+AM15)/(AK2*(1-AM14)+AM14))</f>
        <v>8.1612038800549222E-2</v>
      </c>
      <c r="AO32" s="1"/>
      <c r="AP32" s="1"/>
      <c r="AQ32" s="1"/>
      <c r="AR32" s="1"/>
      <c r="AS32" s="13" t="s">
        <v>39</v>
      </c>
      <c r="AT32" s="13">
        <f>H32*(AS14/AS15)*((AQ2*(1-AS15)+AS15)/(AQ2*(1-AS14)+AS14))</f>
        <v>7.8351906702919305E-2</v>
      </c>
      <c r="AU32" s="1"/>
      <c r="AV32" s="1"/>
      <c r="AW32" s="1"/>
      <c r="AX32" s="1"/>
    </row>
    <row r="33" spans="6:47" ht="28.5" x14ac:dyDescent="0.2">
      <c r="F33" s="18" t="s">
        <v>40</v>
      </c>
      <c r="G33" s="18"/>
      <c r="H33" s="18"/>
      <c r="I33" s="18"/>
      <c r="K33" s="32" t="s">
        <v>71</v>
      </c>
      <c r="L33" s="23"/>
      <c r="M33" s="22" t="s">
        <v>3</v>
      </c>
      <c r="N33" s="22"/>
      <c r="O33" s="22" t="s">
        <v>4</v>
      </c>
      <c r="P33" s="41" t="s">
        <v>9</v>
      </c>
      <c r="Q33" s="41" t="s">
        <v>6</v>
      </c>
      <c r="R33" s="22"/>
      <c r="S33" s="22" t="s">
        <v>13</v>
      </c>
      <c r="T33" s="22"/>
      <c r="U33" s="22" t="s">
        <v>14</v>
      </c>
      <c r="V33" s="22" t="s">
        <v>9</v>
      </c>
      <c r="W33" s="22" t="s">
        <v>11</v>
      </c>
      <c r="X33" s="22"/>
      <c r="Y33" s="22" t="s">
        <v>13</v>
      </c>
      <c r="Z33" s="22"/>
      <c r="AA33" s="22" t="s">
        <v>4</v>
      </c>
      <c r="AB33" s="22" t="s">
        <v>9</v>
      </c>
      <c r="AC33" s="41" t="s">
        <v>6</v>
      </c>
      <c r="AD33" s="22"/>
      <c r="AE33" s="22" t="s">
        <v>13</v>
      </c>
      <c r="AF33" s="22"/>
      <c r="AG33" s="22" t="s">
        <v>14</v>
      </c>
      <c r="AH33" s="22" t="s">
        <v>9</v>
      </c>
      <c r="AI33" s="22" t="s">
        <v>11</v>
      </c>
      <c r="AJ33" s="22"/>
      <c r="AK33" s="22" t="s">
        <v>13</v>
      </c>
      <c r="AL33" s="22"/>
      <c r="AM33" s="22" t="s">
        <v>14</v>
      </c>
      <c r="AN33" s="22" t="s">
        <v>9</v>
      </c>
      <c r="AO33" s="22" t="s">
        <v>11</v>
      </c>
      <c r="AP33" s="22"/>
      <c r="AQ33" s="22" t="s">
        <v>13</v>
      </c>
      <c r="AR33" s="22"/>
      <c r="AS33" s="22" t="s">
        <v>14</v>
      </c>
      <c r="AT33" s="22" t="s">
        <v>9</v>
      </c>
      <c r="AU33" s="22" t="s">
        <v>11</v>
      </c>
    </row>
    <row r="34" spans="6:47" x14ac:dyDescent="0.2">
      <c r="F34" s="18"/>
      <c r="G34" s="18" t="s">
        <v>19</v>
      </c>
      <c r="H34" s="18">
        <f t="shared" ref="H34:H45" si="30">H18/I18</f>
        <v>2.6555650178723402</v>
      </c>
      <c r="I34" s="18"/>
      <c r="K34" s="25"/>
      <c r="L34" s="22"/>
      <c r="M34" s="22">
        <v>5.0000000000000001E-3</v>
      </c>
      <c r="N34" s="22"/>
      <c r="O34" s="22"/>
      <c r="P34" s="22"/>
      <c r="Q34" s="22"/>
      <c r="R34" s="22"/>
      <c r="S34" s="22">
        <v>0.01</v>
      </c>
      <c r="T34" s="22"/>
      <c r="U34" s="22"/>
      <c r="V34" s="22"/>
      <c r="W34" s="22"/>
      <c r="X34" s="22"/>
      <c r="Y34" s="22">
        <v>0.02</v>
      </c>
      <c r="Z34" s="22"/>
      <c r="AA34" s="22"/>
      <c r="AB34" s="41"/>
      <c r="AC34" s="41"/>
      <c r="AD34" s="22"/>
      <c r="AE34" s="22">
        <v>0.04</v>
      </c>
      <c r="AF34" s="22"/>
      <c r="AG34" s="22"/>
      <c r="AH34" s="22"/>
      <c r="AI34" s="22"/>
      <c r="AJ34" s="22"/>
      <c r="AK34" s="22">
        <v>0.1</v>
      </c>
      <c r="AL34" s="22"/>
      <c r="AM34" s="22"/>
      <c r="AN34" s="22"/>
      <c r="AO34" s="22"/>
      <c r="AP34" s="22"/>
      <c r="AQ34" s="22">
        <v>0.15</v>
      </c>
      <c r="AR34" s="22"/>
      <c r="AS34" s="22"/>
      <c r="AT34" s="22"/>
      <c r="AU34" s="22"/>
    </row>
    <row r="35" spans="6:47" x14ac:dyDescent="0.2">
      <c r="F35" s="18"/>
      <c r="G35" s="18" t="s">
        <v>21</v>
      </c>
      <c r="H35" s="18">
        <f t="shared" si="30"/>
        <v>2.5574799999999995</v>
      </c>
      <c r="I35" s="18"/>
      <c r="L35" s="22" t="s">
        <v>15</v>
      </c>
      <c r="M35" s="24">
        <f>0.475/0.995</f>
        <v>0.47738693467336679</v>
      </c>
      <c r="N35" s="22" t="s">
        <v>19</v>
      </c>
      <c r="O35" s="22">
        <f>$M$35*B3+$M$36*C3</f>
        <v>1.2361809045226132E-3</v>
      </c>
      <c r="P35" s="22">
        <f>AN18/(O35+0.005*(1-O35))</f>
        <v>0.61798746772029989</v>
      </c>
      <c r="Q35" s="22">
        <f t="shared" ref="Q35:Q46" si="31">P35/I18</f>
        <v>2.6297339051927655</v>
      </c>
      <c r="R35" s="22" t="s">
        <v>20</v>
      </c>
      <c r="S35" s="22">
        <f>0.475/0.99</f>
        <v>0.47979797979797978</v>
      </c>
      <c r="T35" s="22" t="s">
        <v>19</v>
      </c>
      <c r="U35" s="22">
        <f>$S$35*B3+$S$36*C3</f>
        <v>1.2323232323232325E-3</v>
      </c>
      <c r="V35" s="22">
        <f>AN18/(U35+0.01*(1-U35))</f>
        <v>0.34314277396590626</v>
      </c>
      <c r="W35" s="22">
        <f>V35/I18</f>
        <v>1.460182016876197</v>
      </c>
      <c r="X35" s="22" t="s">
        <v>20</v>
      </c>
      <c r="Y35" s="24">
        <f>0.475/0.98</f>
        <v>0.48469387755102039</v>
      </c>
      <c r="Z35" s="22" t="s">
        <v>19</v>
      </c>
      <c r="AA35" s="22">
        <f>$Y$35*B3+$Y$36*C3</f>
        <v>1.2244897959183673E-3</v>
      </c>
      <c r="AB35" s="22">
        <f>AN18/(AA35+$Y$34*(1-AA35))</f>
        <v>0.18160669452346551</v>
      </c>
      <c r="AC35" s="22">
        <f t="shared" ref="AC35:AC46" si="32">AB35/I18</f>
        <v>0.77279444478070436</v>
      </c>
      <c r="AD35" s="22" t="s">
        <v>20</v>
      </c>
      <c r="AE35" s="22">
        <f>0.475/0.96</f>
        <v>0.49479166666666669</v>
      </c>
      <c r="AF35" s="22" t="s">
        <v>19</v>
      </c>
      <c r="AG35" s="22">
        <f>$AE$35*B3+$AE$36*C3</f>
        <v>1.2083333333333336E-3</v>
      </c>
      <c r="AH35" s="22">
        <f>AN18/(AG35+$AE$34*(1-AG35))</f>
        <v>9.3538919433854936E-2</v>
      </c>
      <c r="AI35" s="22">
        <f>AH35/I18</f>
        <v>0.39803795503768058</v>
      </c>
      <c r="AJ35" s="22" t="s">
        <v>20</v>
      </c>
      <c r="AK35" s="22">
        <f>0.475/0.9</f>
        <v>0.52777777777777779</v>
      </c>
      <c r="AL35" s="22" t="s">
        <v>19</v>
      </c>
      <c r="AM35" s="22">
        <f t="shared" ref="AM35:AM47" si="33">$AK$35*B3+$AK$36*C3</f>
        <v>1.1555555555555555E-3</v>
      </c>
      <c r="AN35" s="22">
        <f>AN18/(AM35+$AK$34*(1-AM35))</f>
        <v>3.8104334163672496E-2</v>
      </c>
      <c r="AO35" s="22">
        <f t="shared" ref="AO35:AO46" si="34">AN35/I18</f>
        <v>0.1621461028241383</v>
      </c>
      <c r="AP35" s="22" t="s">
        <v>20</v>
      </c>
      <c r="AQ35" s="22">
        <f>0.475/0.85</f>
        <v>0.55882352941176472</v>
      </c>
      <c r="AR35" s="22" t="s">
        <v>19</v>
      </c>
      <c r="AS35" s="22">
        <f t="shared" ref="AS35:AS47" si="35">$AQ$35*B3+$AQ$36*C3</f>
        <v>1.1058823529411766E-3</v>
      </c>
      <c r="AT35" s="22">
        <f>AN18/(AS35+$AQ$34*(1-AS35))</f>
        <v>2.5507234158589298E-2</v>
      </c>
      <c r="AU35" s="22">
        <f t="shared" ref="AU35:AU46" si="36">AT35/I18</f>
        <v>0.10854142195144383</v>
      </c>
    </row>
    <row r="36" spans="6:47" x14ac:dyDescent="0.2">
      <c r="F36" s="18"/>
      <c r="G36" s="18" t="s">
        <v>23</v>
      </c>
      <c r="H36" s="18">
        <f t="shared" si="30"/>
        <v>2.2959088551724132</v>
      </c>
      <c r="I36" s="18"/>
      <c r="L36" s="22" t="s">
        <v>16</v>
      </c>
      <c r="M36" s="24">
        <f>0.52/0.995</f>
        <v>0.52261306532663321</v>
      </c>
      <c r="N36" s="22" t="s">
        <v>21</v>
      </c>
      <c r="O36" s="22">
        <f t="shared" ref="O36:O47" si="37">$M$35*B4+$M$36*C4</f>
        <v>1.8065326633165831E-3</v>
      </c>
      <c r="P36" s="22">
        <f t="shared" ref="P36:P47" si="38">AN19/(O36+0.005*(1-O36))</f>
        <v>2.0310706188518672</v>
      </c>
      <c r="Q36" s="22">
        <f t="shared" si="31"/>
        <v>3.3851176980864457</v>
      </c>
      <c r="R36" s="22" t="s">
        <v>22</v>
      </c>
      <c r="S36" s="22">
        <f>0.515/0.99</f>
        <v>0.52020202020202022</v>
      </c>
      <c r="T36" s="22" t="s">
        <v>21</v>
      </c>
      <c r="U36" s="22">
        <f t="shared" ref="U36:U47" si="39">$S$35*B4+$S$36*C4</f>
        <v>1.8005050505050506E-3</v>
      </c>
      <c r="V36" s="22">
        <f t="shared" ref="V36:V47" si="40">AN19/(U36+0.01*(1-U36))</f>
        <v>1.1717549358494008</v>
      </c>
      <c r="W36" s="22">
        <f t="shared" ref="W36:W46" si="41">V36/I19</f>
        <v>1.9529248930823349</v>
      </c>
      <c r="X36" s="22" t="s">
        <v>22</v>
      </c>
      <c r="Y36" s="24">
        <f>0.505/0.98</f>
        <v>0.51530612244897955</v>
      </c>
      <c r="Z36" s="22" t="s">
        <v>21</v>
      </c>
      <c r="AA36" s="22">
        <f t="shared" ref="AA36:AA47" si="42">$Y$35*B4+$Y$36*C4</f>
        <v>1.788265306122449E-3</v>
      </c>
      <c r="AB36" s="22">
        <f t="shared" ref="AB36:AB46" si="43">AN19/(AA36+$Y$34*(1-AA36))</f>
        <v>0.63469497904358418</v>
      </c>
      <c r="AC36" s="22">
        <f t="shared" si="32"/>
        <v>1.0578249650726403</v>
      </c>
      <c r="AD36" s="22" t="s">
        <v>22</v>
      </c>
      <c r="AE36" s="22">
        <f>0.485/0.96</f>
        <v>0.50520833333333337</v>
      </c>
      <c r="AF36" s="22" t="s">
        <v>21</v>
      </c>
      <c r="AG36" s="22">
        <f t="shared" ref="AG36:AG47" si="44">$AE$35*B4+$AE$36*C4</f>
        <v>1.7630208333333335E-3</v>
      </c>
      <c r="AH36" s="22">
        <f t="shared" ref="AH36:AH47" si="45">AN19/(AG36+$AE$34*(1-AG36))</f>
        <v>0.33114355175740406</v>
      </c>
      <c r="AI36" s="22">
        <f t="shared" ref="AI36:AI46" si="46">AH36/I19</f>
        <v>0.55190591959567348</v>
      </c>
      <c r="AJ36" s="22" t="s">
        <v>22</v>
      </c>
      <c r="AK36" s="22">
        <f>0.425/0.9</f>
        <v>0.47222222222222221</v>
      </c>
      <c r="AL36" s="22" t="s">
        <v>21</v>
      </c>
      <c r="AM36" s="22">
        <f t="shared" si="33"/>
        <v>1.6805555555555554E-3</v>
      </c>
      <c r="AN36" s="22">
        <f t="shared" ref="AN36:AN47" si="47">AN19/(AM36+$AK$34*(1-AM36))</f>
        <v>0.136004950441035</v>
      </c>
      <c r="AO36" s="22">
        <f t="shared" si="34"/>
        <v>0.22667491740172502</v>
      </c>
      <c r="AP36" s="22" t="s">
        <v>22</v>
      </c>
      <c r="AQ36" s="22">
        <f>0.375/0.85</f>
        <v>0.44117647058823528</v>
      </c>
      <c r="AR36" s="22" t="s">
        <v>21</v>
      </c>
      <c r="AS36" s="22">
        <f t="shared" si="35"/>
        <v>1.6029411764705882E-3</v>
      </c>
      <c r="AT36" s="22">
        <f t="shared" ref="AT36:AT47" si="48">AN19/(AS36+$AQ$34*(1-AS36))</f>
        <v>9.1212833638751795E-2</v>
      </c>
      <c r="AU36" s="22">
        <f t="shared" si="36"/>
        <v>0.15202138939791968</v>
      </c>
    </row>
    <row r="37" spans="6:47" x14ac:dyDescent="0.2">
      <c r="F37" s="18"/>
      <c r="G37" s="18" t="s">
        <v>24</v>
      </c>
      <c r="H37" s="18">
        <f t="shared" si="30"/>
        <v>2.6126314248366009</v>
      </c>
      <c r="I37" s="18"/>
      <c r="L37" s="22"/>
      <c r="M37" s="22"/>
      <c r="N37" s="22" t="s">
        <v>23</v>
      </c>
      <c r="O37" s="22">
        <f t="shared" si="37"/>
        <v>4.0311557788944722E-3</v>
      </c>
      <c r="P37" s="22">
        <f t="shared" si="38"/>
        <v>2.3529761285046935</v>
      </c>
      <c r="Q37" s="22">
        <f t="shared" si="31"/>
        <v>5.0710692424670114</v>
      </c>
      <c r="R37" s="22"/>
      <c r="S37" s="22"/>
      <c r="T37" s="22" t="s">
        <v>23</v>
      </c>
      <c r="U37" s="22">
        <f t="shared" si="39"/>
        <v>4.0171717171717169E-3</v>
      </c>
      <c r="V37" s="22">
        <f t="shared" si="40"/>
        <v>1.5169684405777917</v>
      </c>
      <c r="W37" s="22">
        <f t="shared" si="41"/>
        <v>3.2693285357279991</v>
      </c>
      <c r="X37" s="22"/>
      <c r="Y37" s="22"/>
      <c r="Z37" s="22" t="s">
        <v>23</v>
      </c>
      <c r="AA37" s="22">
        <f t="shared" si="42"/>
        <v>3.9887755102040812E-3</v>
      </c>
      <c r="AB37" s="22">
        <f t="shared" si="43"/>
        <v>0.88680697201705605</v>
      </c>
      <c r="AC37" s="22">
        <f t="shared" si="32"/>
        <v>1.9112219224505518</v>
      </c>
      <c r="AD37" s="22"/>
      <c r="AE37" s="22"/>
      <c r="AF37" s="22" t="s">
        <v>23</v>
      </c>
      <c r="AG37" s="22">
        <f t="shared" si="44"/>
        <v>3.9302083333333333E-3</v>
      </c>
      <c r="AH37" s="22">
        <f t="shared" si="45"/>
        <v>0.4843777646941218</v>
      </c>
      <c r="AI37" s="22">
        <f t="shared" si="46"/>
        <v>1.0439175963235383</v>
      </c>
      <c r="AJ37" s="22"/>
      <c r="AK37" s="22"/>
      <c r="AL37" s="22" t="s">
        <v>23</v>
      </c>
      <c r="AM37" s="22">
        <f t="shared" si="33"/>
        <v>3.7388888888888888E-3</v>
      </c>
      <c r="AN37" s="22">
        <f t="shared" si="47"/>
        <v>0.20512424799454157</v>
      </c>
      <c r="AO37" s="22">
        <f t="shared" si="34"/>
        <v>0.44207812067789132</v>
      </c>
      <c r="AP37" s="22"/>
      <c r="AQ37" s="22"/>
      <c r="AR37" s="22" t="s">
        <v>23</v>
      </c>
      <c r="AS37" s="22">
        <f t="shared" si="35"/>
        <v>3.5588235294117644E-3</v>
      </c>
      <c r="AT37" s="22">
        <f t="shared" si="48"/>
        <v>0.13855688870417118</v>
      </c>
      <c r="AU37" s="22">
        <f t="shared" si="36"/>
        <v>0.29861398427623098</v>
      </c>
    </row>
    <row r="38" spans="6:47" x14ac:dyDescent="0.2">
      <c r="F38" s="18"/>
      <c r="G38" s="18" t="s">
        <v>25</v>
      </c>
      <c r="H38" s="18">
        <f t="shared" si="30"/>
        <v>2.9225029897610919</v>
      </c>
      <c r="I38" s="18"/>
      <c r="L38" s="22"/>
      <c r="M38" s="22"/>
      <c r="N38" s="22" t="s">
        <v>24</v>
      </c>
      <c r="O38" s="22">
        <f t="shared" si="37"/>
        <v>5.846733668341709E-3</v>
      </c>
      <c r="P38" s="22">
        <f t="shared" si="38"/>
        <v>1.0592309417499819</v>
      </c>
      <c r="Q38" s="22">
        <f t="shared" si="31"/>
        <v>6.9230780506534764</v>
      </c>
      <c r="R38" s="22"/>
      <c r="S38" s="22"/>
      <c r="T38" s="22" t="s">
        <v>24</v>
      </c>
      <c r="U38" s="22">
        <f t="shared" si="39"/>
        <v>5.8257575757575761E-3</v>
      </c>
      <c r="V38" s="22">
        <f t="shared" si="40"/>
        <v>0.7266992682657637</v>
      </c>
      <c r="W38" s="22">
        <f t="shared" si="41"/>
        <v>4.7496684200376711</v>
      </c>
      <c r="X38" s="22"/>
      <c r="Y38" s="22"/>
      <c r="Z38" s="22" t="s">
        <v>24</v>
      </c>
      <c r="AA38" s="22">
        <f t="shared" si="42"/>
        <v>5.7831632653061217E-3</v>
      </c>
      <c r="AB38" s="22">
        <f t="shared" si="43"/>
        <v>0.44641007937588112</v>
      </c>
      <c r="AC38" s="22">
        <f t="shared" si="32"/>
        <v>2.9177129370972623</v>
      </c>
      <c r="AD38" s="22"/>
      <c r="AE38" s="22"/>
      <c r="AF38" s="22" t="s">
        <v>24</v>
      </c>
      <c r="AG38" s="22">
        <f t="shared" si="44"/>
        <v>5.6953125000000007E-3</v>
      </c>
      <c r="AH38" s="22">
        <f t="shared" si="45"/>
        <v>0.2520092530352544</v>
      </c>
      <c r="AI38" s="22">
        <f t="shared" si="46"/>
        <v>1.6471193008840157</v>
      </c>
      <c r="AJ38" s="22"/>
      <c r="AK38" s="22"/>
      <c r="AL38" s="22" t="s">
        <v>24</v>
      </c>
      <c r="AM38" s="22">
        <f t="shared" si="33"/>
        <v>5.4083333333333336E-3</v>
      </c>
      <c r="AN38" s="22">
        <f t="shared" si="47"/>
        <v>0.10926388740439534</v>
      </c>
      <c r="AO38" s="22">
        <f t="shared" si="34"/>
        <v>0.71414305493068853</v>
      </c>
      <c r="AP38" s="22"/>
      <c r="AQ38" s="22"/>
      <c r="AR38" s="22" t="s">
        <v>24</v>
      </c>
      <c r="AS38" s="22">
        <f t="shared" si="35"/>
        <v>5.1382352941176466E-3</v>
      </c>
      <c r="AT38" s="22">
        <f t="shared" si="48"/>
        <v>7.4226963009574098E-2</v>
      </c>
      <c r="AU38" s="22">
        <f t="shared" si="36"/>
        <v>0.48514354908218366</v>
      </c>
    </row>
    <row r="39" spans="6:47" x14ac:dyDescent="0.2">
      <c r="F39" s="18"/>
      <c r="G39" s="18" t="s">
        <v>26</v>
      </c>
      <c r="H39" s="18">
        <f t="shared" si="30"/>
        <v>2.7480807766990294</v>
      </c>
      <c r="I39" s="18"/>
      <c r="L39" s="22"/>
      <c r="M39" s="22"/>
      <c r="N39" s="22" t="s">
        <v>25</v>
      </c>
      <c r="O39" s="22">
        <f t="shared" si="37"/>
        <v>7.5577889447236181E-3</v>
      </c>
      <c r="P39" s="22">
        <f t="shared" si="38"/>
        <v>0.50349281838229387</v>
      </c>
      <c r="Q39" s="22">
        <f t="shared" si="31"/>
        <v>8.5920276174452876</v>
      </c>
      <c r="R39" s="22"/>
      <c r="S39" s="22"/>
      <c r="T39" s="22" t="s">
        <v>25</v>
      </c>
      <c r="U39" s="22">
        <f t="shared" si="39"/>
        <v>7.5303030303030304E-3</v>
      </c>
      <c r="V39" s="22">
        <f t="shared" si="40"/>
        <v>0.36114179811780689</v>
      </c>
      <c r="W39" s="22">
        <f t="shared" si="41"/>
        <v>6.1628293194164998</v>
      </c>
      <c r="X39" s="22"/>
      <c r="Y39" s="22"/>
      <c r="Z39" s="22" t="s">
        <v>25</v>
      </c>
      <c r="AA39" s="22">
        <f t="shared" si="42"/>
        <v>7.4744897959183668E-3</v>
      </c>
      <c r="AB39" s="22">
        <f t="shared" si="43"/>
        <v>0.23069460516546458</v>
      </c>
      <c r="AC39" s="22">
        <f t="shared" si="32"/>
        <v>3.9367680062365968</v>
      </c>
      <c r="AD39" s="22"/>
      <c r="AE39" s="22"/>
      <c r="AF39" s="22" t="s">
        <v>25</v>
      </c>
      <c r="AG39" s="22">
        <f t="shared" si="44"/>
        <v>7.3593750000000005E-3</v>
      </c>
      <c r="AH39" s="22">
        <f t="shared" si="45"/>
        <v>0.13393668514068457</v>
      </c>
      <c r="AI39" s="22">
        <f t="shared" si="46"/>
        <v>2.2856089614451292</v>
      </c>
      <c r="AJ39" s="22"/>
      <c r="AK39" s="22"/>
      <c r="AL39" s="22" t="s">
        <v>25</v>
      </c>
      <c r="AM39" s="22">
        <f t="shared" si="33"/>
        <v>6.9833333333333327E-3</v>
      </c>
      <c r="AN39" s="22">
        <f t="shared" si="47"/>
        <v>5.9309687031531444E-2</v>
      </c>
      <c r="AO39" s="22">
        <f t="shared" si="34"/>
        <v>1.0121107001967824</v>
      </c>
      <c r="AP39" s="22"/>
      <c r="AQ39" s="22"/>
      <c r="AR39" s="22" t="s">
        <v>25</v>
      </c>
      <c r="AS39" s="22">
        <f t="shared" si="35"/>
        <v>6.6294117647058819E-3</v>
      </c>
      <c r="AT39" s="22">
        <f t="shared" si="48"/>
        <v>4.0503293514609955E-2</v>
      </c>
      <c r="AU39" s="22">
        <f t="shared" si="36"/>
        <v>0.69118248318447018</v>
      </c>
    </row>
    <row r="40" spans="6:47" x14ac:dyDescent="0.2">
      <c r="F40" s="18"/>
      <c r="G40" s="18" t="s">
        <v>27</v>
      </c>
      <c r="H40" s="18">
        <f t="shared" si="30"/>
        <v>2.9288959999999999</v>
      </c>
      <c r="I40" s="18"/>
      <c r="L40" s="22"/>
      <c r="M40" s="22"/>
      <c r="N40" s="22" t="s">
        <v>26</v>
      </c>
      <c r="O40" s="22">
        <f t="shared" si="37"/>
        <v>9.0778894472361808E-3</v>
      </c>
      <c r="P40" s="22">
        <f t="shared" si="38"/>
        <v>1.7734577782531178</v>
      </c>
      <c r="Q40" s="22">
        <f t="shared" si="31"/>
        <v>8.6090183410345524</v>
      </c>
      <c r="R40" s="22"/>
      <c r="S40" s="22"/>
      <c r="T40" s="22" t="s">
        <v>26</v>
      </c>
      <c r="U40" s="22">
        <f t="shared" si="39"/>
        <v>9.0429292929292936E-3</v>
      </c>
      <c r="V40" s="22">
        <f t="shared" si="40"/>
        <v>1.3130745956120236</v>
      </c>
      <c r="W40" s="22">
        <f t="shared" si="41"/>
        <v>6.374148522388464</v>
      </c>
      <c r="X40" s="22"/>
      <c r="Y40" s="22"/>
      <c r="Z40" s="22" t="s">
        <v>26</v>
      </c>
      <c r="AA40" s="22">
        <f t="shared" si="42"/>
        <v>8.9719387755102034E-3</v>
      </c>
      <c r="AB40" s="22">
        <f t="shared" si="43"/>
        <v>0.86432391328772684</v>
      </c>
      <c r="AC40" s="22">
        <f t="shared" si="32"/>
        <v>4.195747151882169</v>
      </c>
      <c r="AD40" s="22"/>
      <c r="AE40" s="22"/>
      <c r="AF40" s="22" t="s">
        <v>26</v>
      </c>
      <c r="AG40" s="22">
        <f t="shared" si="44"/>
        <v>8.8255208333333345E-3</v>
      </c>
      <c r="AH40" s="22">
        <f t="shared" si="45"/>
        <v>0.51340546234126305</v>
      </c>
      <c r="AI40" s="22">
        <f t="shared" si="46"/>
        <v>2.4922595259284614</v>
      </c>
      <c r="AJ40" s="22"/>
      <c r="AK40" s="22"/>
      <c r="AL40" s="22" t="s">
        <v>26</v>
      </c>
      <c r="AM40" s="22">
        <f t="shared" si="33"/>
        <v>8.3472222222222229E-3</v>
      </c>
      <c r="AN40" s="22">
        <f t="shared" si="47"/>
        <v>0.23147118961364374</v>
      </c>
      <c r="AO40" s="22">
        <f t="shared" si="34"/>
        <v>1.1236465515225424</v>
      </c>
      <c r="AP40" s="22"/>
      <c r="AQ40" s="22"/>
      <c r="AR40" s="22" t="s">
        <v>26</v>
      </c>
      <c r="AS40" s="22">
        <f t="shared" si="35"/>
        <v>7.8970588235294115E-3</v>
      </c>
      <c r="AT40" s="22">
        <f t="shared" si="48"/>
        <v>0.15880064623649598</v>
      </c>
      <c r="AU40" s="22">
        <f t="shared" si="36"/>
        <v>0.77087692347813586</v>
      </c>
    </row>
    <row r="41" spans="6:47" x14ac:dyDescent="0.2">
      <c r="F41" s="18"/>
      <c r="G41" s="18" t="s">
        <v>28</v>
      </c>
      <c r="H41" s="18">
        <f t="shared" si="30"/>
        <v>2.9047215874015744</v>
      </c>
      <c r="I41" s="18"/>
      <c r="L41" s="22"/>
      <c r="M41" s="22"/>
      <c r="N41" s="22" t="s">
        <v>27</v>
      </c>
      <c r="O41" s="22">
        <f t="shared" si="37"/>
        <v>1.0645728643216079E-2</v>
      </c>
      <c r="P41" s="22">
        <f t="shared" si="38"/>
        <v>0.36098187754864802</v>
      </c>
      <c r="Q41" s="22">
        <f t="shared" si="31"/>
        <v>9.6261834012972809</v>
      </c>
      <c r="R41" s="22"/>
      <c r="S41" s="22"/>
      <c r="T41" s="22" t="s">
        <v>27</v>
      </c>
      <c r="U41" s="22">
        <f t="shared" si="39"/>
        <v>1.0603535353535353E-2</v>
      </c>
      <c r="V41" s="22">
        <f t="shared" si="40"/>
        <v>0.27459982562152913</v>
      </c>
      <c r="W41" s="22">
        <f t="shared" si="41"/>
        <v>7.3226620165741103</v>
      </c>
      <c r="X41" s="22"/>
      <c r="Y41" s="22"/>
      <c r="Z41" s="22" t="s">
        <v>27</v>
      </c>
      <c r="AA41" s="22">
        <f t="shared" si="42"/>
        <v>1.0517857142857141E-2</v>
      </c>
      <c r="AB41" s="22">
        <f t="shared" si="43"/>
        <v>0.18571673432903718</v>
      </c>
      <c r="AC41" s="22">
        <f t="shared" si="32"/>
        <v>4.9524462487743248</v>
      </c>
      <c r="AD41" s="22"/>
      <c r="AE41" s="22"/>
      <c r="AF41" s="22" t="s">
        <v>27</v>
      </c>
      <c r="AG41" s="22">
        <f t="shared" si="44"/>
        <v>1.0341145833333334E-2</v>
      </c>
      <c r="AH41" s="22">
        <f t="shared" si="45"/>
        <v>0.11273566522812667</v>
      </c>
      <c r="AI41" s="22">
        <f t="shared" si="46"/>
        <v>3.006284406083378</v>
      </c>
      <c r="AJ41" s="22"/>
      <c r="AK41" s="22"/>
      <c r="AL41" s="22" t="s">
        <v>27</v>
      </c>
      <c r="AM41" s="22">
        <f t="shared" si="33"/>
        <v>9.7638888888888879E-3</v>
      </c>
      <c r="AN41" s="22">
        <f t="shared" si="47"/>
        <v>5.1739491445959268E-2</v>
      </c>
      <c r="AO41" s="22">
        <f t="shared" si="34"/>
        <v>1.3797197718922471</v>
      </c>
      <c r="AP41" s="22"/>
      <c r="AQ41" s="22"/>
      <c r="AR41" s="22" t="s">
        <v>27</v>
      </c>
      <c r="AS41" s="22">
        <f t="shared" si="35"/>
        <v>9.2205882352941176E-3</v>
      </c>
      <c r="AT41" s="22">
        <f t="shared" si="48"/>
        <v>3.5660789898961237E-2</v>
      </c>
      <c r="AU41" s="22">
        <f t="shared" si="36"/>
        <v>0.95095439730563303</v>
      </c>
    </row>
    <row r="42" spans="6:47" x14ac:dyDescent="0.2">
      <c r="F42" s="18"/>
      <c r="G42" s="18" t="s">
        <v>29</v>
      </c>
      <c r="H42" s="18">
        <f t="shared" si="30"/>
        <v>2.5365027469879515</v>
      </c>
      <c r="I42" s="18"/>
      <c r="L42" s="22"/>
      <c r="M42" s="22"/>
      <c r="N42" s="22" t="s">
        <v>28</v>
      </c>
      <c r="O42" s="22">
        <f t="shared" si="37"/>
        <v>1.2309045226130653E-2</v>
      </c>
      <c r="P42" s="22">
        <f t="shared" si="38"/>
        <v>2.518600142608217</v>
      </c>
      <c r="Q42" s="22">
        <f t="shared" si="31"/>
        <v>9.9157485929457359</v>
      </c>
      <c r="R42" s="22"/>
      <c r="S42" s="22"/>
      <c r="T42" s="22" t="s">
        <v>28</v>
      </c>
      <c r="U42" s="22">
        <f t="shared" si="39"/>
        <v>1.2260101010101009E-2</v>
      </c>
      <c r="V42" s="22">
        <f t="shared" si="40"/>
        <v>1.9622611387751656</v>
      </c>
      <c r="W42" s="22">
        <f t="shared" si="41"/>
        <v>7.7254375542329354</v>
      </c>
      <c r="X42" s="22"/>
      <c r="Y42" s="22"/>
      <c r="Z42" s="22" t="s">
        <v>28</v>
      </c>
      <c r="AA42" s="22">
        <f t="shared" si="42"/>
        <v>1.2160714285714285E-2</v>
      </c>
      <c r="AB42" s="22">
        <f t="shared" si="43"/>
        <v>1.3609949388152336</v>
      </c>
      <c r="AC42" s="22">
        <f t="shared" si="32"/>
        <v>5.3582477906111556</v>
      </c>
      <c r="AD42" s="22"/>
      <c r="AE42" s="22"/>
      <c r="AF42" s="22" t="s">
        <v>28</v>
      </c>
      <c r="AG42" s="22">
        <f t="shared" si="44"/>
        <v>1.1955729166666667E-2</v>
      </c>
      <c r="AH42" s="22">
        <f t="shared" si="45"/>
        <v>0.84385519808916942</v>
      </c>
      <c r="AI42" s="22">
        <f t="shared" si="46"/>
        <v>3.3222645594061788</v>
      </c>
      <c r="AJ42" s="22"/>
      <c r="AK42" s="22"/>
      <c r="AL42" s="22" t="s">
        <v>28</v>
      </c>
      <c r="AM42" s="22">
        <f t="shared" si="33"/>
        <v>1.1286111111111111E-2</v>
      </c>
      <c r="AN42" s="22">
        <f t="shared" si="47"/>
        <v>0.39434043038045724</v>
      </c>
      <c r="AO42" s="22">
        <f t="shared" si="34"/>
        <v>1.552521379450619</v>
      </c>
      <c r="AP42" s="22"/>
      <c r="AQ42" s="22"/>
      <c r="AR42" s="22" t="s">
        <v>28</v>
      </c>
      <c r="AS42" s="22">
        <f t="shared" si="35"/>
        <v>1.0655882352941175E-2</v>
      </c>
      <c r="AT42" s="22">
        <f t="shared" si="48"/>
        <v>0.27310598971840511</v>
      </c>
      <c r="AU42" s="22">
        <f t="shared" si="36"/>
        <v>1.0752204319622247</v>
      </c>
    </row>
    <row r="43" spans="6:47" x14ac:dyDescent="0.2">
      <c r="F43" s="18"/>
      <c r="G43" s="18" t="s">
        <v>30</v>
      </c>
      <c r="H43" s="18">
        <f t="shared" si="30"/>
        <v>2.2735535877862594</v>
      </c>
      <c r="I43" s="18"/>
      <c r="L43" s="22"/>
      <c r="M43" s="22"/>
      <c r="N43" s="22" t="s">
        <v>29</v>
      </c>
      <c r="O43" s="22">
        <f t="shared" si="37"/>
        <v>1.6394472361809048E-2</v>
      </c>
      <c r="P43" s="22">
        <f t="shared" si="38"/>
        <v>1.5257336738029492</v>
      </c>
      <c r="Q43" s="22">
        <f t="shared" si="31"/>
        <v>9.1911667096563203</v>
      </c>
      <c r="R43" s="22"/>
      <c r="S43" s="22"/>
      <c r="T43" s="22" t="s">
        <v>29</v>
      </c>
      <c r="U43" s="22">
        <f t="shared" si="39"/>
        <v>1.6325757575757577E-2</v>
      </c>
      <c r="V43" s="22">
        <f t="shared" si="40"/>
        <v>1.2428934132030718</v>
      </c>
      <c r="W43" s="22">
        <f t="shared" si="41"/>
        <v>7.4873097180907937</v>
      </c>
      <c r="X43" s="22"/>
      <c r="Y43" s="22"/>
      <c r="Z43" s="22" t="s">
        <v>29</v>
      </c>
      <c r="AA43" s="22">
        <f t="shared" si="42"/>
        <v>1.6186224489795915E-2</v>
      </c>
      <c r="AB43" s="22">
        <f t="shared" si="43"/>
        <v>0.90671868728965821</v>
      </c>
      <c r="AC43" s="22">
        <f t="shared" si="32"/>
        <v>5.4621607668051695</v>
      </c>
      <c r="AD43" s="22"/>
      <c r="AE43" s="22"/>
      <c r="AF43" s="22" t="s">
        <v>29</v>
      </c>
      <c r="AG43" s="22">
        <f t="shared" si="44"/>
        <v>1.5898437500000001E-2</v>
      </c>
      <c r="AH43" s="22">
        <f t="shared" si="45"/>
        <v>0.58841346162271635</v>
      </c>
      <c r="AI43" s="22">
        <f t="shared" si="46"/>
        <v>3.5446594073657609</v>
      </c>
      <c r="AJ43" s="22"/>
      <c r="AK43" s="22"/>
      <c r="AL43" s="22" t="s">
        <v>29</v>
      </c>
      <c r="AM43" s="22">
        <f t="shared" si="33"/>
        <v>1.4958333333333332E-2</v>
      </c>
      <c r="AN43" s="22">
        <f t="shared" si="47"/>
        <v>0.28658983296618146</v>
      </c>
      <c r="AO43" s="22">
        <f t="shared" si="34"/>
        <v>1.7264447769047075</v>
      </c>
      <c r="AP43" s="22"/>
      <c r="AQ43" s="22"/>
      <c r="AR43" s="22" t="s">
        <v>29</v>
      </c>
      <c r="AS43" s="22">
        <f t="shared" si="35"/>
        <v>1.4073529411764705E-2</v>
      </c>
      <c r="AT43" s="22">
        <f t="shared" si="48"/>
        <v>0.20076992466111207</v>
      </c>
      <c r="AU43" s="22">
        <f t="shared" si="36"/>
        <v>1.2094573774765787</v>
      </c>
    </row>
    <row r="44" spans="6:47" x14ac:dyDescent="0.2">
      <c r="F44" s="18"/>
      <c r="G44" s="18" t="s">
        <v>31</v>
      </c>
      <c r="H44" s="18">
        <f t="shared" si="30"/>
        <v>2.566580952380952</v>
      </c>
      <c r="I44" s="18"/>
      <c r="L44" s="22"/>
      <c r="M44" s="22"/>
      <c r="N44" s="22" t="s">
        <v>30</v>
      </c>
      <c r="O44" s="22">
        <f t="shared" si="37"/>
        <v>2.1620603015075381E-2</v>
      </c>
      <c r="P44" s="22">
        <f t="shared" si="38"/>
        <v>0.22442231134068397</v>
      </c>
      <c r="Q44" s="22">
        <f t="shared" si="31"/>
        <v>8.5657370740719063</v>
      </c>
      <c r="R44" s="22"/>
      <c r="S44" s="22"/>
      <c r="T44" s="22" t="s">
        <v>30</v>
      </c>
      <c r="U44" s="22">
        <f t="shared" si="39"/>
        <v>2.1527777777777781E-2</v>
      </c>
      <c r="V44" s="22">
        <f t="shared" si="40"/>
        <v>0.19001984924295037</v>
      </c>
      <c r="W44" s="22">
        <f t="shared" si="41"/>
        <v>7.2526660016393265</v>
      </c>
      <c r="X44" s="22"/>
      <c r="Y44" s="22"/>
      <c r="Z44" s="22" t="s">
        <v>30</v>
      </c>
      <c r="AA44" s="22">
        <f t="shared" si="42"/>
        <v>2.133928571428571E-2</v>
      </c>
      <c r="AB44" s="22">
        <f t="shared" si="43"/>
        <v>0.14543224025468707</v>
      </c>
      <c r="AC44" s="22">
        <f t="shared" si="32"/>
        <v>5.5508488646827123</v>
      </c>
      <c r="AD44" s="22"/>
      <c r="AE44" s="22"/>
      <c r="AF44" s="22" t="s">
        <v>30</v>
      </c>
      <c r="AG44" s="22">
        <f t="shared" si="44"/>
        <v>2.0950520833333337E-2</v>
      </c>
      <c r="AH44" s="22">
        <f t="shared" si="45"/>
        <v>9.8981019412266738E-2</v>
      </c>
      <c r="AI44" s="22">
        <f t="shared" si="46"/>
        <v>3.7779015042849897</v>
      </c>
      <c r="AJ44" s="22"/>
      <c r="AK44" s="22"/>
      <c r="AL44" s="22" t="s">
        <v>30</v>
      </c>
      <c r="AM44" s="22">
        <f t="shared" si="33"/>
        <v>1.9680555555555555E-2</v>
      </c>
      <c r="AN44" s="22">
        <f t="shared" si="47"/>
        <v>5.0546853812635739E-2</v>
      </c>
      <c r="AO44" s="22">
        <f t="shared" si="34"/>
        <v>1.9292692294899136</v>
      </c>
      <c r="AP44" s="22"/>
      <c r="AQ44" s="22"/>
      <c r="AR44" s="22" t="s">
        <v>30</v>
      </c>
      <c r="AS44" s="22">
        <f t="shared" si="35"/>
        <v>1.8485294117647058E-2</v>
      </c>
      <c r="AT44" s="22">
        <f t="shared" si="48"/>
        <v>3.5905538383766374E-2</v>
      </c>
      <c r="AU44" s="22">
        <f t="shared" si="36"/>
        <v>1.3704403963269607</v>
      </c>
    </row>
    <row r="45" spans="6:47" x14ac:dyDescent="0.2">
      <c r="F45" s="18"/>
      <c r="G45" s="18" t="s">
        <v>32</v>
      </c>
      <c r="H45" s="18">
        <f t="shared" si="30"/>
        <v>2.3059902439024387</v>
      </c>
      <c r="I45" s="18"/>
      <c r="L45" s="22"/>
      <c r="M45" s="22"/>
      <c r="N45" s="22" t="s">
        <v>31</v>
      </c>
      <c r="O45" s="22">
        <f t="shared" si="37"/>
        <v>2.6324120603015078E-2</v>
      </c>
      <c r="P45" s="22">
        <f t="shared" si="38"/>
        <v>1.6525229737208886</v>
      </c>
      <c r="Q45" s="22">
        <f t="shared" si="31"/>
        <v>9.8364462721481463</v>
      </c>
      <c r="R45" s="22"/>
      <c r="S45" s="22"/>
      <c r="T45" s="22" t="s">
        <v>31</v>
      </c>
      <c r="U45" s="22">
        <f t="shared" si="39"/>
        <v>2.6209595959595964E-2</v>
      </c>
      <c r="V45" s="22">
        <f t="shared" si="40"/>
        <v>1.4339334545598112</v>
      </c>
      <c r="W45" s="22">
        <f t="shared" si="41"/>
        <v>8.5353181819036372</v>
      </c>
      <c r="X45" s="22"/>
      <c r="Y45" s="22"/>
      <c r="Z45" s="22" t="s">
        <v>31</v>
      </c>
      <c r="AA45" s="22">
        <f t="shared" si="42"/>
        <v>2.5977040816326527E-2</v>
      </c>
      <c r="AB45" s="22">
        <f t="shared" si="43"/>
        <v>1.1339453964205868</v>
      </c>
      <c r="AC45" s="22">
        <f t="shared" si="32"/>
        <v>6.7496749786939683</v>
      </c>
      <c r="AD45" s="22"/>
      <c r="AE45" s="22"/>
      <c r="AF45" s="22" t="s">
        <v>31</v>
      </c>
      <c r="AG45" s="22">
        <f t="shared" si="44"/>
        <v>2.5497395833333339E-2</v>
      </c>
      <c r="AH45" s="22">
        <f t="shared" si="45"/>
        <v>0.79944667299118022</v>
      </c>
      <c r="AI45" s="22">
        <f t="shared" si="46"/>
        <v>4.7586111487570246</v>
      </c>
      <c r="AJ45" s="22"/>
      <c r="AK45" s="22"/>
      <c r="AL45" s="22" t="s">
        <v>31</v>
      </c>
      <c r="AM45" s="22">
        <f t="shared" si="33"/>
        <v>2.3930555555555556E-2</v>
      </c>
      <c r="AN45" s="22">
        <f t="shared" si="47"/>
        <v>0.42411867002191772</v>
      </c>
      <c r="AO45" s="22">
        <f t="shared" si="34"/>
        <v>2.5245158929876053</v>
      </c>
      <c r="AP45" s="22"/>
      <c r="AQ45" s="22"/>
      <c r="AR45" s="22" t="s">
        <v>31</v>
      </c>
      <c r="AS45" s="22">
        <f t="shared" si="35"/>
        <v>2.2455882352941176E-2</v>
      </c>
      <c r="AT45" s="22">
        <f t="shared" si="48"/>
        <v>0.30484999102706484</v>
      </c>
      <c r="AU45" s="22">
        <f t="shared" si="36"/>
        <v>1.8145832799230048</v>
      </c>
    </row>
    <row r="46" spans="6:47" x14ac:dyDescent="0.2">
      <c r="F46" s="18"/>
      <c r="G46" s="18" t="s">
        <v>33</v>
      </c>
      <c r="H46" s="18"/>
      <c r="I46" s="18"/>
      <c r="L46" s="22"/>
      <c r="M46" s="22"/>
      <c r="N46" s="22" t="s">
        <v>32</v>
      </c>
      <c r="O46" s="22">
        <f t="shared" si="37"/>
        <v>3.2072864321608045E-2</v>
      </c>
      <c r="P46" s="22">
        <f t="shared" si="38"/>
        <v>0.21926903802333159</v>
      </c>
      <c r="Q46" s="22">
        <f t="shared" si="31"/>
        <v>8.9133755294037229</v>
      </c>
      <c r="R46" s="22"/>
      <c r="S46" s="22"/>
      <c r="T46" s="22" t="s">
        <v>32</v>
      </c>
      <c r="U46" s="22">
        <f t="shared" si="39"/>
        <v>3.1931818181818179E-2</v>
      </c>
      <c r="V46" s="22">
        <f t="shared" si="40"/>
        <v>0.19450329506845851</v>
      </c>
      <c r="W46" s="22">
        <f t="shared" si="41"/>
        <v>7.906638010912947</v>
      </c>
      <c r="X46" s="22"/>
      <c r="Y46" s="22"/>
      <c r="Z46" s="22" t="s">
        <v>32</v>
      </c>
      <c r="AA46" s="22">
        <f t="shared" si="42"/>
        <v>3.1645408163265304E-2</v>
      </c>
      <c r="AB46" s="22">
        <f t="shared" si="43"/>
        <v>0.15866245265447151</v>
      </c>
      <c r="AC46" s="22">
        <f t="shared" si="32"/>
        <v>6.4496931973362406</v>
      </c>
      <c r="AD46" s="22"/>
      <c r="AE46" s="22"/>
      <c r="AF46" s="22" t="s">
        <v>32</v>
      </c>
      <c r="AG46" s="22">
        <f>$AE$35*B14+$AE$36*C14</f>
        <v>3.1054687500000004E-2</v>
      </c>
      <c r="AH46" s="22">
        <f t="shared" si="45"/>
        <v>0.11593580470598</v>
      </c>
      <c r="AI46" s="22">
        <f t="shared" si="46"/>
        <v>4.7128375896739838</v>
      </c>
      <c r="AJ46" s="22"/>
      <c r="AK46" s="22"/>
      <c r="AL46" s="22" t="s">
        <v>32</v>
      </c>
      <c r="AM46" s="22">
        <f t="shared" si="33"/>
        <v>2.9124999999999998E-2</v>
      </c>
      <c r="AN46" s="22">
        <f t="shared" si="47"/>
        <v>6.4128104316420548E-2</v>
      </c>
      <c r="AO46" s="22">
        <f t="shared" si="34"/>
        <v>2.6068335087975831</v>
      </c>
      <c r="AP46" s="22"/>
      <c r="AQ46" s="22"/>
      <c r="AR46" s="22" t="s">
        <v>32</v>
      </c>
      <c r="AS46" s="22">
        <f t="shared" si="35"/>
        <v>2.7308823529411764E-2</v>
      </c>
      <c r="AT46" s="22">
        <f t="shared" si="48"/>
        <v>4.6727391880125445E-2</v>
      </c>
      <c r="AU46" s="22">
        <f t="shared" si="36"/>
        <v>1.8994874748018473</v>
      </c>
    </row>
    <row r="47" spans="6:47" x14ac:dyDescent="0.2">
      <c r="L47" s="22"/>
      <c r="M47" s="22"/>
      <c r="N47" s="22" t="s">
        <v>34</v>
      </c>
      <c r="O47" s="22">
        <f t="shared" si="37"/>
        <v>0.01</v>
      </c>
      <c r="P47" s="22">
        <f t="shared" si="38"/>
        <v>1.5082068433239002</v>
      </c>
      <c r="Q47" s="22"/>
      <c r="R47" s="22"/>
      <c r="S47" s="22"/>
      <c r="T47" s="22" t="s">
        <v>33</v>
      </c>
      <c r="U47" s="22">
        <f t="shared" si="39"/>
        <v>0.01</v>
      </c>
      <c r="V47" s="22">
        <f t="shared" si="40"/>
        <v>1.1330498647081562</v>
      </c>
      <c r="W47" s="22"/>
      <c r="X47" s="22"/>
      <c r="Y47" s="22"/>
      <c r="Z47" s="22" t="s">
        <v>33</v>
      </c>
      <c r="AA47" s="22">
        <f t="shared" si="42"/>
        <v>9.9999999999999985E-3</v>
      </c>
      <c r="AB47" s="22">
        <f>AN30/(AA47+$Y$34*(1-AA47))</f>
        <v>0.7566339700567889</v>
      </c>
      <c r="AC47" s="22"/>
      <c r="AD47" s="22"/>
      <c r="AE47" s="22"/>
      <c r="AF47" s="22" t="s">
        <v>33</v>
      </c>
      <c r="AG47" s="22">
        <f t="shared" si="44"/>
        <v>1.0000000000000002E-2</v>
      </c>
      <c r="AH47" s="22">
        <f t="shared" si="45"/>
        <v>0.45459057071960296</v>
      </c>
      <c r="AI47" s="22"/>
      <c r="AJ47" s="22"/>
      <c r="AK47" s="22"/>
      <c r="AL47" s="22" t="s">
        <v>33</v>
      </c>
      <c r="AM47" s="22">
        <f t="shared" si="33"/>
        <v>0.01</v>
      </c>
      <c r="AN47" s="22">
        <f t="shared" si="47"/>
        <v>0.20685956245589276</v>
      </c>
      <c r="AO47" s="22"/>
      <c r="AP47" s="22"/>
      <c r="AQ47" s="22"/>
      <c r="AR47" s="22" t="s">
        <v>33</v>
      </c>
      <c r="AS47" s="22">
        <f t="shared" si="35"/>
        <v>0.01</v>
      </c>
      <c r="AT47" s="22">
        <f t="shared" si="48"/>
        <v>0.14225673380247514</v>
      </c>
      <c r="AU47" s="22"/>
    </row>
    <row r="48" spans="6:47" x14ac:dyDescent="0.2">
      <c r="L48" s="22"/>
      <c r="M48" s="22"/>
      <c r="N48" s="22"/>
      <c r="O48" s="22" t="s">
        <v>35</v>
      </c>
      <c r="P48" s="22">
        <f>AN31*((M34*(1-O37)+O37)/(M34*(1-O38)+O38))</f>
        <v>0.22026670792977263</v>
      </c>
      <c r="Q48" s="22"/>
      <c r="R48" s="22"/>
      <c r="S48" s="22"/>
      <c r="T48" s="22"/>
      <c r="U48" s="22" t="s">
        <v>35</v>
      </c>
      <c r="V48" s="22">
        <f>$AN$31*((S34*(1-U37)+U37)/(S34*(1-U38)+U38))</f>
        <v>0.23439799939970643</v>
      </c>
      <c r="W48" s="22"/>
      <c r="X48" s="22"/>
      <c r="Y48" s="22"/>
      <c r="Z48" s="22"/>
      <c r="AA48" s="22" t="s">
        <v>35</v>
      </c>
      <c r="AB48" s="22">
        <f>AN31*((Y34*(1-AA37)+AA37)/(Y34*(1-AA38)+AA38))</f>
        <v>0.24630919024229012</v>
      </c>
      <c r="AC48" s="22"/>
      <c r="AD48" s="22"/>
      <c r="AE48" s="22"/>
      <c r="AF48" s="22"/>
      <c r="AG48" s="22" t="s">
        <v>35</v>
      </c>
      <c r="AH48" s="22">
        <f>AN31*((AE34*(1-AG37)+AG37)/(AE34*(1-AG38)+AG38))</f>
        <v>0.25457046265051309</v>
      </c>
      <c r="AI48" s="22"/>
      <c r="AJ48" s="22"/>
      <c r="AK48" s="22"/>
      <c r="AL48" s="22"/>
      <c r="AM48" s="22" t="s">
        <v>35</v>
      </c>
      <c r="AN48" s="22">
        <f>AN31*((AK34*(1-AM37)+AM37)/(AK34*(1-AM38)+AM38))</f>
        <v>0.26063658064335349</v>
      </c>
      <c r="AO48" s="22"/>
      <c r="AP48" s="22"/>
      <c r="AQ48" s="22"/>
      <c r="AR48" s="22"/>
      <c r="AS48" s="22" t="s">
        <v>35</v>
      </c>
      <c r="AT48" s="22">
        <f>AN31*((AQ34*(1-AS37)+AS37)/(AQ34*(1-AS38)+AS38))</f>
        <v>0.26212551246643512</v>
      </c>
      <c r="AU48" s="22"/>
    </row>
    <row r="49" spans="7:50" x14ac:dyDescent="0.2">
      <c r="K49" s="25"/>
      <c r="L49" s="22"/>
      <c r="M49" s="22"/>
      <c r="N49" s="22"/>
      <c r="O49" s="22" t="s">
        <v>41</v>
      </c>
      <c r="P49" s="22">
        <f>AN32*((M34*(1-O47)+O47)/(M34*(1-O46)+O46))</f>
        <v>3.3053843008959312E-2</v>
      </c>
      <c r="Q49" s="22"/>
      <c r="R49" s="22"/>
      <c r="S49" s="22"/>
      <c r="T49" s="22"/>
      <c r="U49" s="22" t="s">
        <v>39</v>
      </c>
      <c r="V49" s="22">
        <f>$AN$32*((S34*(1-U47)+U47)/(S34*(1-U46)+U46))</f>
        <v>3.9028646972206184E-2</v>
      </c>
      <c r="W49" s="22"/>
      <c r="X49" s="22"/>
      <c r="Y49" s="22"/>
      <c r="Z49" s="22"/>
      <c r="AA49" s="22" t="s">
        <v>39</v>
      </c>
      <c r="AB49" s="22">
        <f>AN32*((Y34*(1-AA47)+AA47)/(Y34*(1-AA46)+AA46))</f>
        <v>4.7675349301766562E-2</v>
      </c>
      <c r="AC49" s="22"/>
      <c r="AD49" s="22"/>
      <c r="AE49" s="22"/>
      <c r="AF49" s="22"/>
      <c r="AG49" s="22" t="s">
        <v>39</v>
      </c>
      <c r="AH49" s="22">
        <f>AN32*((AE34*(1-AG47)+AG47)/(AE34*(1-AG46)+AG46))</f>
        <v>5.7983271255251448E-2</v>
      </c>
      <c r="AI49" s="22"/>
      <c r="AJ49" s="22"/>
      <c r="AK49" s="22"/>
      <c r="AL49" s="22"/>
      <c r="AM49" s="22" t="s">
        <v>39</v>
      </c>
      <c r="AN49" s="22">
        <f>AN32*((AK34*(1-AM47)+AM47)/(AK34*(1-AM46)+AM46))</f>
        <v>7.0482022218558898E-2</v>
      </c>
      <c r="AO49" s="22"/>
      <c r="AP49" s="22"/>
      <c r="AQ49" s="22"/>
      <c r="AR49" s="22"/>
      <c r="AS49" s="22" t="s">
        <v>39</v>
      </c>
      <c r="AT49" s="22">
        <f>AN32*((AQ34*(1-AS47)+AS47)/(AQ34*(1-AS46)+AS46))</f>
        <v>7.4679992205453141E-2</v>
      </c>
      <c r="AU49" s="22"/>
    </row>
    <row r="51" spans="7:50" x14ac:dyDescent="0.2">
      <c r="L51" s="26" t="s">
        <v>42</v>
      </c>
      <c r="M51" s="42">
        <v>0.9</v>
      </c>
      <c r="N51" s="42">
        <v>0.8</v>
      </c>
      <c r="O51" s="42">
        <v>0.75</v>
      </c>
      <c r="P51" s="42">
        <v>0.7</v>
      </c>
      <c r="Q51" s="42">
        <v>0.6</v>
      </c>
      <c r="R51" s="42">
        <v>0.5</v>
      </c>
      <c r="S51" s="42">
        <v>0.4</v>
      </c>
      <c r="T51" s="26"/>
      <c r="AX51" s="17"/>
    </row>
    <row r="52" spans="7:50" x14ac:dyDescent="0.2">
      <c r="G52" s="44" t="s">
        <v>66</v>
      </c>
      <c r="H52" s="44"/>
      <c r="I52" t="s">
        <v>67</v>
      </c>
      <c r="J52" t="s">
        <v>68</v>
      </c>
      <c r="L52" s="26"/>
      <c r="M52" s="35" t="s">
        <v>43</v>
      </c>
      <c r="N52" s="26" t="s">
        <v>44</v>
      </c>
      <c r="O52" s="26" t="s">
        <v>72</v>
      </c>
      <c r="P52" s="26" t="s">
        <v>45</v>
      </c>
      <c r="Q52" s="26" t="s">
        <v>46</v>
      </c>
      <c r="R52" s="26" t="s">
        <v>61</v>
      </c>
      <c r="S52" s="26" t="s">
        <v>70</v>
      </c>
      <c r="T52" s="26"/>
      <c r="X52" s="17"/>
      <c r="Y52" s="38"/>
    </row>
    <row r="53" spans="7:50" x14ac:dyDescent="0.2">
      <c r="I53">
        <v>3.9133599999999999</v>
      </c>
      <c r="J53">
        <v>9.1387800000000006</v>
      </c>
      <c r="L53" s="26"/>
      <c r="M53" s="26">
        <f>Q35*0.9^(B3-1)</f>
        <v>2.9218034216444391</v>
      </c>
      <c r="N53" s="26">
        <f t="shared" ref="N53:N64" si="49">Q35*0.8^(B3-1)</f>
        <v>3.2868739905035049</v>
      </c>
      <c r="O53" s="26">
        <f>Q35*0.75^(B3-1)</f>
        <v>3.505908415577744</v>
      </c>
      <c r="P53" s="26">
        <f t="shared" ref="P53:P64" si="50">Q35*0.7^(B3-1)</f>
        <v>3.7562267826828015</v>
      </c>
      <c r="Q53" s="26">
        <f t="shared" ref="Q53:Q64" si="51">Q35*0.6^(B3-1)</f>
        <v>4.3819943765014289</v>
      </c>
      <c r="R53" s="26">
        <f t="shared" ref="R53:R64" si="52">Q35*0.5^(B3-1)</f>
        <v>5.2580097784074171</v>
      </c>
      <c r="S53" s="26">
        <f t="shared" ref="S53:S64" si="53">Q35*0.4^(B3-1)</f>
        <v>6.5719256037023239</v>
      </c>
      <c r="T53" s="26"/>
    </row>
    <row r="54" spans="7:50" x14ac:dyDescent="0.2">
      <c r="I54">
        <v>6.28566</v>
      </c>
      <c r="J54">
        <v>9.2572600000000005</v>
      </c>
      <c r="L54" s="26"/>
      <c r="M54" s="26">
        <f t="shared" ref="M54:M64" si="54">Q36*0.9^(B4-1)</f>
        <v>3.7610437487893913</v>
      </c>
      <c r="N54" s="26">
        <f t="shared" si="49"/>
        <v>4.2309250444533664</v>
      </c>
      <c r="O54" s="26">
        <f t="shared" ref="O54:O64" si="55">Q36*0.75^(B4-1)</f>
        <v>4.5128410856890433</v>
      </c>
      <c r="P54" s="26">
        <f t="shared" si="50"/>
        <v>4.8350200836874597</v>
      </c>
      <c r="Q54" s="26">
        <f t="shared" si="51"/>
        <v>5.6404220101041522</v>
      </c>
      <c r="R54" s="26">
        <f t="shared" si="52"/>
        <v>6.7678894179351312</v>
      </c>
      <c r="S54" s="26">
        <f t="shared" si="53"/>
        <v>8.4589179432724766</v>
      </c>
      <c r="T54" s="26"/>
    </row>
    <row r="55" spans="7:50" x14ac:dyDescent="0.2">
      <c r="I55">
        <v>7.6968699999999997</v>
      </c>
      <c r="J55">
        <v>9.7866</v>
      </c>
      <c r="L55" s="26"/>
      <c r="M55" s="26">
        <f t="shared" si="54"/>
        <v>5.6339277557136214</v>
      </c>
      <c r="N55" s="26">
        <f t="shared" si="49"/>
        <v>6.3374222403873564</v>
      </c>
      <c r="O55" s="26">
        <f t="shared" si="55"/>
        <v>6.7594807954413172</v>
      </c>
      <c r="P55" s="26">
        <f t="shared" si="50"/>
        <v>7.2418012023629235</v>
      </c>
      <c r="Q55" s="26">
        <f t="shared" si="51"/>
        <v>8.4474657864582863</v>
      </c>
      <c r="R55" s="26">
        <f t="shared" si="52"/>
        <v>10.135110926086012</v>
      </c>
      <c r="S55" s="26">
        <f t="shared" si="53"/>
        <v>12.666061992189059</v>
      </c>
      <c r="T55" s="26"/>
    </row>
    <row r="56" spans="7:50" x14ac:dyDescent="0.2">
      <c r="I56">
        <v>11.977650000000001</v>
      </c>
      <c r="J56">
        <v>12.56443</v>
      </c>
      <c r="L56" s="26"/>
      <c r="M56" s="26">
        <f t="shared" si="54"/>
        <v>7.6912554119945149</v>
      </c>
      <c r="N56" s="26">
        <f t="shared" si="49"/>
        <v>8.6513375620321824</v>
      </c>
      <c r="O56" s="26">
        <f t="shared" si="55"/>
        <v>9.2273191942281905</v>
      </c>
      <c r="P56" s="26">
        <f t="shared" si="50"/>
        <v>9.8855267424854958</v>
      </c>
      <c r="Q56" s="26">
        <f t="shared" si="51"/>
        <v>11.530803575781121</v>
      </c>
      <c r="R56" s="26">
        <f t="shared" si="52"/>
        <v>13.833685069637898</v>
      </c>
      <c r="S56" s="26">
        <f t="shared" si="53"/>
        <v>17.287090855921441</v>
      </c>
      <c r="T56" s="26"/>
    </row>
    <row r="57" spans="7:50" x14ac:dyDescent="0.2">
      <c r="I57">
        <v>8.6360799999999998</v>
      </c>
      <c r="J57">
        <v>5.5641400000000001</v>
      </c>
      <c r="L57" s="26"/>
      <c r="M57" s="26">
        <f t="shared" si="54"/>
        <v>9.5450881364296247</v>
      </c>
      <c r="N57" s="26">
        <f t="shared" si="49"/>
        <v>10.736200695131203</v>
      </c>
      <c r="O57" s="26">
        <f t="shared" si="55"/>
        <v>11.450764922393917</v>
      </c>
      <c r="P57" s="26">
        <f t="shared" si="50"/>
        <v>12.267322455336922</v>
      </c>
      <c r="Q57" s="26">
        <f t="shared" si="51"/>
        <v>14.308346736453259</v>
      </c>
      <c r="R57" s="26">
        <f t="shared" si="52"/>
        <v>17.165008071734153</v>
      </c>
      <c r="S57" s="26">
        <f t="shared" si="53"/>
        <v>21.448600935302849</v>
      </c>
      <c r="T57" s="26"/>
    </row>
    <row r="58" spans="7:50" x14ac:dyDescent="0.2">
      <c r="I58">
        <v>12.47222</v>
      </c>
      <c r="J58">
        <v>11.71414</v>
      </c>
      <c r="L58" s="26"/>
      <c r="M58" s="26">
        <f t="shared" si="54"/>
        <v>9.5640643029161616</v>
      </c>
      <c r="N58" s="26">
        <f t="shared" si="49"/>
        <v>10.757671566055897</v>
      </c>
      <c r="O58" s="26">
        <f t="shared" si="55"/>
        <v>11.473738869485567</v>
      </c>
      <c r="P58" s="26">
        <f t="shared" si="50"/>
        <v>12.292019487469913</v>
      </c>
      <c r="Q58" s="26">
        <f t="shared" si="51"/>
        <v>14.337373844853776</v>
      </c>
      <c r="R58" s="26">
        <f t="shared" si="52"/>
        <v>17.20014403498794</v>
      </c>
      <c r="S58" s="26">
        <f t="shared" si="53"/>
        <v>21.49298480818663</v>
      </c>
      <c r="T58" s="26"/>
    </row>
    <row r="59" spans="7:50" x14ac:dyDescent="0.2">
      <c r="I59">
        <v>12.88204</v>
      </c>
      <c r="J59">
        <v>10.184229999999999</v>
      </c>
      <c r="L59" s="26"/>
      <c r="M59" s="26">
        <f t="shared" si="54"/>
        <v>10.694069102262805</v>
      </c>
      <c r="N59" s="26">
        <f t="shared" si="49"/>
        <v>12.028702386680092</v>
      </c>
      <c r="O59" s="26">
        <f t="shared" si="55"/>
        <v>12.829373835784944</v>
      </c>
      <c r="P59" s="26">
        <f t="shared" si="50"/>
        <v>13.744335215864618</v>
      </c>
      <c r="Q59" s="26">
        <f t="shared" si="51"/>
        <v>16.031350457889712</v>
      </c>
      <c r="R59" s="26">
        <f t="shared" si="52"/>
        <v>19.232360119426396</v>
      </c>
      <c r="S59" s="26">
        <f t="shared" si="53"/>
        <v>24.032404788678612</v>
      </c>
      <c r="T59" s="26"/>
    </row>
    <row r="60" spans="7:50" x14ac:dyDescent="0.2">
      <c r="I60">
        <v>14.02055</v>
      </c>
      <c r="J60">
        <v>10.95481</v>
      </c>
      <c r="L60" s="26"/>
      <c r="M60" s="26">
        <f t="shared" si="54"/>
        <v>11.015525237486216</v>
      </c>
      <c r="N60" s="26">
        <f t="shared" si="49"/>
        <v>12.389984782749508</v>
      </c>
      <c r="O60" s="26">
        <f t="shared" si="55"/>
        <v>13.214533849725626</v>
      </c>
      <c r="P60" s="26">
        <f t="shared" si="50"/>
        <v>14.156768609929266</v>
      </c>
      <c r="Q60" s="26">
        <f t="shared" si="51"/>
        <v>16.51190243222868</v>
      </c>
      <c r="R60" s="26">
        <f t="shared" si="52"/>
        <v>19.808142499780264</v>
      </c>
      <c r="S60" s="26">
        <f t="shared" si="53"/>
        <v>24.750787280085934</v>
      </c>
      <c r="T60" s="26"/>
    </row>
    <row r="61" spans="7:50" x14ac:dyDescent="0.2">
      <c r="I61">
        <v>13.45637</v>
      </c>
      <c r="J61">
        <v>12.940390000000001</v>
      </c>
      <c r="L61" s="26"/>
      <c r="M61" s="26">
        <f t="shared" si="54"/>
        <v>10.210793605930663</v>
      </c>
      <c r="N61" s="26">
        <f t="shared" si="49"/>
        <v>11.485113500114506</v>
      </c>
      <c r="O61" s="26">
        <f t="shared" si="55"/>
        <v>12.249601819274627</v>
      </c>
      <c r="P61" s="26">
        <f t="shared" si="50"/>
        <v>13.123215195067591</v>
      </c>
      <c r="Q61" s="26">
        <f t="shared" si="51"/>
        <v>15.306877969884949</v>
      </c>
      <c r="R61" s="26">
        <f t="shared" si="52"/>
        <v>18.363230857825904</v>
      </c>
      <c r="S61" s="26">
        <f t="shared" si="53"/>
        <v>22.946356789433299</v>
      </c>
      <c r="T61" s="26"/>
    </row>
    <row r="62" spans="7:50" x14ac:dyDescent="0.2">
      <c r="I62">
        <v>12.03811</v>
      </c>
      <c r="J62">
        <v>11.91006</v>
      </c>
      <c r="L62" s="26"/>
      <c r="M62" s="26">
        <f t="shared" si="54"/>
        <v>9.5159816059181335</v>
      </c>
      <c r="N62" s="26">
        <f t="shared" si="49"/>
        <v>10.703588087951589</v>
      </c>
      <c r="O62" s="26">
        <f t="shared" si="55"/>
        <v>11.416055410652302</v>
      </c>
      <c r="P62" s="26">
        <f t="shared" si="50"/>
        <v>12.230222177268887</v>
      </c>
      <c r="Q62" s="26">
        <f t="shared" si="51"/>
        <v>14.265293651695794</v>
      </c>
      <c r="R62" s="26">
        <f t="shared" si="52"/>
        <v>17.113671455155473</v>
      </c>
      <c r="S62" s="26">
        <f t="shared" si="53"/>
        <v>21.384930256964076</v>
      </c>
      <c r="T62" s="26"/>
    </row>
    <row r="63" spans="7:50" x14ac:dyDescent="0.2">
      <c r="I63">
        <v>13.55124</v>
      </c>
      <c r="J63">
        <v>9.2362699999999993</v>
      </c>
      <c r="L63" s="26"/>
      <c r="M63" s="26">
        <f t="shared" si="54"/>
        <v>10.927657594895958</v>
      </c>
      <c r="N63" s="26">
        <f t="shared" si="49"/>
        <v>12.291443017207987</v>
      </c>
      <c r="O63" s="26">
        <f t="shared" si="55"/>
        <v>13.109603378634459</v>
      </c>
      <c r="P63" s="26">
        <f t="shared" si="50"/>
        <v>14.044550083995521</v>
      </c>
      <c r="Q63" s="26">
        <f t="shared" si="51"/>
        <v>16.381520159667673</v>
      </c>
      <c r="R63" s="26">
        <f t="shared" si="52"/>
        <v>19.652448858999271</v>
      </c>
      <c r="S63" s="26">
        <f t="shared" si="53"/>
        <v>24.557339979881871</v>
      </c>
      <c r="T63" s="26"/>
    </row>
    <row r="64" spans="7:50" x14ac:dyDescent="0.2">
      <c r="I64">
        <v>11.076560000000001</v>
      </c>
      <c r="J64">
        <v>8.9791600000000003</v>
      </c>
      <c r="L64" s="26"/>
      <c r="M64" s="26">
        <f t="shared" si="54"/>
        <v>9.9021855154988856</v>
      </c>
      <c r="N64" s="26">
        <f t="shared" si="49"/>
        <v>11.137990731556743</v>
      </c>
      <c r="O64" s="26">
        <f t="shared" si="55"/>
        <v>11.879373375542276</v>
      </c>
      <c r="P64" s="26">
        <f t="shared" si="50"/>
        <v>12.726582911821477</v>
      </c>
      <c r="Q64" s="26">
        <f t="shared" si="51"/>
        <v>14.84424729071671</v>
      </c>
      <c r="R64" s="26">
        <f t="shared" si="52"/>
        <v>17.808225847647265</v>
      </c>
      <c r="S64" s="26">
        <f t="shared" si="53"/>
        <v>22.252832698706385</v>
      </c>
      <c r="T64" s="26"/>
    </row>
    <row r="65" spans="12:41" x14ac:dyDescent="0.2">
      <c r="L65" s="26" t="s">
        <v>35</v>
      </c>
      <c r="M65" s="26">
        <f>$P$48*((1-(1-M51)^($B$6-1))/(1-(1-M51)^($B$5-1)))</f>
        <v>0.22009766206286127</v>
      </c>
      <c r="N65" s="26">
        <f t="shared" ref="N65" si="56">$P$48*((1-(1-N51)^($B$6-1))/(1-(1-N51)^($B$5-1)))</f>
        <v>0.22013374688062859</v>
      </c>
      <c r="O65" s="26">
        <f>$P$48*((1-(1-O51)^($B$6-1))/(1-(1-O51)^($B$5-1)))</f>
        <v>0.22014453503184983</v>
      </c>
      <c r="P65" s="26">
        <f>$P$48*((1-(1-P51)^($B$6-1))/(1-(1-P51)^($B$5-1)))</f>
        <v>0.22015301469920995</v>
      </c>
      <c r="Q65" s="26">
        <f>$P$48*((1-(1-Q51)^($B$6-1))/(1-(1-Q51)^($B$5-1)))</f>
        <v>0.22016574592503793</v>
      </c>
      <c r="R65" s="26">
        <f>$P$48*((1-(1-R51)^($B$6-1))/(1-(1-R51)^($B$5-1)))</f>
        <v>0.22017504754891221</v>
      </c>
      <c r="S65" s="26">
        <f t="shared" ref="S65" si="57">$P$48*((1-(1-S51)^($B$6-1))/(1-(1-S51)^($B$5-1)))</f>
        <v>0.22018226126394103</v>
      </c>
      <c r="T65" s="26"/>
    </row>
    <row r="66" spans="12:41" x14ac:dyDescent="0.2">
      <c r="L66" s="26" t="s">
        <v>39</v>
      </c>
      <c r="M66" s="26">
        <f>$P$49*((1-(1-M51)^($B$14-1))/(1-(1-M51)^($B$15-1)))</f>
        <v>3.3781616874215298E-2</v>
      </c>
      <c r="N66" s="26">
        <f t="shared" ref="N66" si="58">$P$49*((1-(1-N51)^($B$14-1))/(1-(1-N51)^($B$15-1)))</f>
        <v>3.3625274644699894E-2</v>
      </c>
      <c r="O66" s="26">
        <f t="shared" ref="O66" si="59">$P$49*((1-(1-O51)^($B$14-1))/(1-(1-O51)^($B$15-1)))</f>
        <v>3.3578676939706099E-2</v>
      </c>
      <c r="P66" s="26">
        <f>$P$49*((1-(1-P51)^($B$14-1))/(1-(1-P51)^($B$15-1)))</f>
        <v>3.354209494906147E-2</v>
      </c>
      <c r="Q66" s="26">
        <f>$P$49*((1-(1-Q51)^($B$14-1))/(1-(1-Q51)^($B$15-1)))</f>
        <v>3.3487242710476997E-2</v>
      </c>
      <c r="R66" s="26">
        <f>$P$49*((1-(1-R51)^($B$14-1))/(1-(1-R51)^($B$15-1)))</f>
        <v>3.3447218827494185E-2</v>
      </c>
      <c r="S66" s="26">
        <f t="shared" ref="S66" si="60">$P$49*((1-(1-S51)^($B$14-1))/(1-(1-S51)^($B$15-1)))</f>
        <v>3.3416207716044727E-2</v>
      </c>
      <c r="T66" s="26"/>
    </row>
    <row r="78" spans="12:41" x14ac:dyDescent="0.2">
      <c r="AE78" s="25"/>
      <c r="AI78" s="29"/>
      <c r="AJ78" s="29"/>
      <c r="AK78" s="29"/>
      <c r="AL78" s="29"/>
      <c r="AM78" s="29"/>
      <c r="AN78" s="29"/>
      <c r="AO78" s="29"/>
    </row>
    <row r="79" spans="12:41" ht="15.75" x14ac:dyDescent="0.25">
      <c r="AB79" s="30"/>
      <c r="AI79" s="29"/>
      <c r="AJ79" s="29"/>
      <c r="AK79" s="29"/>
      <c r="AL79" s="29"/>
      <c r="AM79" s="29"/>
      <c r="AN79" s="29"/>
      <c r="AO79" s="29"/>
    </row>
    <row r="80" spans="12:41" ht="15.75" x14ac:dyDescent="0.25">
      <c r="AB80" s="30"/>
      <c r="AI80" s="29"/>
      <c r="AJ80" s="29"/>
      <c r="AK80" s="29"/>
      <c r="AL80" s="29"/>
      <c r="AM80" s="29"/>
      <c r="AN80" s="29"/>
      <c r="AO80" s="29"/>
    </row>
    <row r="81" spans="28:41" ht="15.75" x14ac:dyDescent="0.25">
      <c r="AB81" s="30"/>
      <c r="AI81" s="29"/>
      <c r="AJ81" s="29"/>
      <c r="AK81" s="29"/>
      <c r="AL81" s="29"/>
      <c r="AM81" s="29"/>
      <c r="AN81" s="29"/>
      <c r="AO81" s="29"/>
    </row>
    <row r="82" spans="28:41" ht="15.75" x14ac:dyDescent="0.25">
      <c r="AB82" s="30"/>
      <c r="AI82" s="29"/>
      <c r="AJ82" s="29"/>
      <c r="AK82" s="29"/>
      <c r="AL82" s="29"/>
      <c r="AM82" s="29"/>
      <c r="AN82" s="29"/>
      <c r="AO82" s="29"/>
    </row>
    <row r="83" spans="28:41" ht="15.75" x14ac:dyDescent="0.25">
      <c r="AB83" s="30"/>
      <c r="AI83" s="29"/>
      <c r="AJ83" s="29"/>
      <c r="AK83" s="29"/>
      <c r="AL83" s="29"/>
      <c r="AM83" s="29"/>
      <c r="AN83" s="29"/>
      <c r="AO83" s="29"/>
    </row>
    <row r="84" spans="28:41" ht="15.75" x14ac:dyDescent="0.25">
      <c r="AB84" s="30"/>
      <c r="AI84" s="29"/>
      <c r="AJ84" s="29"/>
      <c r="AK84" s="29"/>
      <c r="AL84" s="29"/>
      <c r="AM84" s="29"/>
      <c r="AN84" s="29"/>
      <c r="AO84" s="29"/>
    </row>
    <row r="85" spans="28:41" ht="15.75" x14ac:dyDescent="0.25">
      <c r="AB85" s="30"/>
      <c r="AI85" s="29"/>
      <c r="AJ85" s="29"/>
      <c r="AK85" s="29"/>
      <c r="AL85" s="29"/>
      <c r="AM85" s="29"/>
      <c r="AN85" s="29"/>
      <c r="AO85" s="29"/>
    </row>
    <row r="86" spans="28:41" ht="15.75" x14ac:dyDescent="0.25">
      <c r="AB86" s="30"/>
      <c r="AI86" s="29"/>
      <c r="AJ86" s="29"/>
      <c r="AK86" s="29"/>
      <c r="AL86" s="29"/>
      <c r="AM86" s="29"/>
      <c r="AN86" s="29"/>
      <c r="AO86" s="29"/>
    </row>
    <row r="87" spans="28:41" ht="15.75" x14ac:dyDescent="0.25">
      <c r="AB87" s="30"/>
      <c r="AI87" s="29"/>
      <c r="AJ87" s="29"/>
      <c r="AK87" s="29"/>
      <c r="AL87" s="29"/>
      <c r="AM87" s="29"/>
      <c r="AN87" s="29"/>
      <c r="AO87" s="29"/>
    </row>
    <row r="88" spans="28:41" ht="15.75" x14ac:dyDescent="0.25">
      <c r="AB88" s="30"/>
      <c r="AI88" s="29"/>
      <c r="AJ88" s="29"/>
      <c r="AK88" s="29"/>
      <c r="AL88" s="29"/>
      <c r="AM88" s="29"/>
      <c r="AN88" s="29"/>
      <c r="AO88" s="29"/>
    </row>
    <row r="89" spans="28:41" ht="15.75" x14ac:dyDescent="0.25">
      <c r="AB89" s="30"/>
      <c r="AI89" s="29"/>
      <c r="AJ89" s="29"/>
      <c r="AK89" s="29"/>
      <c r="AL89" s="29"/>
      <c r="AM89" s="29"/>
      <c r="AN89" s="29"/>
      <c r="AO89" s="29"/>
    </row>
    <row r="90" spans="28:41" ht="15.75" x14ac:dyDescent="0.25">
      <c r="AB90" s="30"/>
      <c r="AI90" s="29"/>
      <c r="AJ90" s="29"/>
      <c r="AK90" s="29"/>
      <c r="AL90" s="29"/>
      <c r="AM90" s="29"/>
      <c r="AN90" s="29"/>
      <c r="AO90" s="29"/>
    </row>
    <row r="91" spans="28:41" x14ac:dyDescent="0.2">
      <c r="AF91" s="17"/>
      <c r="AG91" s="31"/>
      <c r="AH91" s="31"/>
      <c r="AI91" s="31"/>
      <c r="AJ91" s="31"/>
      <c r="AK91" s="31"/>
      <c r="AL91" s="31"/>
      <c r="AM91" s="31"/>
      <c r="AN91" s="31"/>
      <c r="AO91" s="31"/>
    </row>
  </sheetData>
  <mergeCells count="1">
    <mergeCell ref="G52:H5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 DMM+TL REE RESULTS</vt:lpstr>
      <vt:lpstr>EMM REE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Xinru Zhang</cp:lastModifiedBy>
  <dcterms:created xsi:type="dcterms:W3CDTF">2015-06-05T18:19:34Z</dcterms:created>
  <dcterms:modified xsi:type="dcterms:W3CDTF">2025-09-01T08:03:39Z</dcterms:modified>
</cp:coreProperties>
</file>